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bb48a199a92beb0/Documents/"/>
    </mc:Choice>
  </mc:AlternateContent>
  <xr:revisionPtr revIDLastSave="22" documentId="8_{6C136BCF-9D43-49D8-9DB4-45D414BBF418}" xr6:coauthVersionLast="47" xr6:coauthVersionMax="47" xr10:uidLastSave="{BF80CCBE-39DD-4745-AA16-B9B8331653F1}"/>
  <bookViews>
    <workbookView xWindow="-120" yWindow="-120" windowWidth="24240" windowHeight="13020" activeTab="3" xr2:uid="{BE354772-32BC-4C56-ADBD-6465778947A6}"/>
  </bookViews>
  <sheets>
    <sheet name="churn-bigml-20" sheetId="1" r:id="rId1"/>
    <sheet name="Dynamic Array Analysis 1" sheetId="4" r:id="rId2"/>
    <sheet name="Analysis" sheetId="2" r:id="rId3"/>
    <sheet name="Dashboard" sheetId="5" r:id="rId4"/>
  </sheets>
  <definedNames>
    <definedName name="Slicer_Area_code">#N/A</definedName>
    <definedName name="Slicer_Churn">#N/A</definedName>
    <definedName name="Slicer_International_plan">#N/A</definedName>
    <definedName name="Slicer_State">#N/A</definedName>
    <definedName name="Slicer_Voice_mail_pla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1" l="1"/>
  <c r="F4" i="2"/>
  <c r="F5" i="2"/>
  <c r="F6" i="2"/>
  <c r="F7" i="2"/>
  <c r="G36" i="2"/>
  <c r="G37" i="2"/>
  <c r="G40" i="2"/>
  <c r="G38" i="2"/>
  <c r="G39" i="2"/>
  <c r="X656" i="1" a="1"/>
  <c r="X656" i="1" s="1"/>
  <c r="V16" i="1"/>
  <c r="A2" i="4" a="1"/>
  <c r="A2" i="4" s="1"/>
  <c r="F2" i="4" a="1"/>
  <c r="F2" i="4" s="1"/>
  <c r="AA3" i="1"/>
  <c r="AA4" i="1"/>
  <c r="AA5" i="1"/>
  <c r="AA6" i="1"/>
  <c r="G13" i="2" s="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2" i="1"/>
  <c r="X2" i="1" a="1"/>
  <c r="X2" i="1" s="1"/>
  <c r="X3" i="1" l="1" a="1"/>
  <c r="X3" i="1" s="1"/>
  <c r="X4" i="1" l="1" a="1"/>
  <c r="X4" i="1" s="1"/>
  <c r="G17" i="2"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s="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s="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s="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s="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s="1"/>
  <c r="X265" i="1" a="1"/>
  <c r="X265" i="1" s="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X336" i="1" a="1"/>
  <c r="X336" i="1" s="1"/>
  <c r="X337" i="1" a="1"/>
  <c r="X337" i="1" s="1"/>
  <c r="X338" i="1" a="1"/>
  <c r="X338" i="1" s="1"/>
  <c r="X339" i="1" a="1"/>
  <c r="X339" i="1" s="1"/>
  <c r="X340" i="1" a="1"/>
  <c r="X340" i="1" s="1"/>
  <c r="X341" i="1" a="1"/>
  <c r="X341" i="1" s="1"/>
  <c r="X342" i="1" a="1"/>
  <c r="X342" i="1" s="1"/>
  <c r="X343" i="1" a="1"/>
  <c r="X343" i="1" s="1"/>
  <c r="X344" i="1" a="1"/>
  <c r="X344" i="1" s="1"/>
  <c r="X345" i="1" a="1"/>
  <c r="X345" i="1" s="1"/>
  <c r="X346" i="1" a="1"/>
  <c r="X346" i="1" s="1"/>
  <c r="X347" i="1" a="1"/>
  <c r="X347" i="1" s="1"/>
  <c r="X348" i="1" a="1"/>
  <c r="X348" i="1" s="1"/>
  <c r="X349" i="1" a="1"/>
  <c r="X349" i="1" s="1"/>
  <c r="X350" i="1" a="1"/>
  <c r="X350" i="1" s="1"/>
  <c r="X351" i="1" a="1"/>
  <c r="X351" i="1" s="1"/>
  <c r="X352" i="1" a="1"/>
  <c r="X352" i="1" s="1"/>
  <c r="X353" i="1" a="1"/>
  <c r="X353" i="1" s="1"/>
  <c r="X354" i="1" a="1"/>
  <c r="X354" i="1" s="1"/>
  <c r="X355" i="1" a="1"/>
  <c r="X355" i="1" s="1"/>
  <c r="X356" i="1" a="1"/>
  <c r="X356" i="1" s="1"/>
  <c r="X357" i="1" a="1"/>
  <c r="X357" i="1" s="1"/>
  <c r="X358" i="1" a="1"/>
  <c r="X358" i="1" s="1"/>
  <c r="X359" i="1" a="1"/>
  <c r="X359" i="1" s="1"/>
  <c r="X360" i="1" a="1"/>
  <c r="X360" i="1" s="1"/>
  <c r="X361" i="1" a="1"/>
  <c r="X361" i="1" s="1"/>
  <c r="X362" i="1" a="1"/>
  <c r="X362" i="1" s="1"/>
  <c r="X363" i="1" a="1"/>
  <c r="X363" i="1" s="1"/>
  <c r="X364" i="1" a="1"/>
  <c r="X364" i="1" s="1"/>
  <c r="X365" i="1" a="1"/>
  <c r="X365" i="1" s="1"/>
  <c r="X366" i="1" a="1"/>
  <c r="X366" i="1" s="1"/>
  <c r="X367" i="1" a="1"/>
  <c r="X367" i="1" s="1"/>
  <c r="X368" i="1" a="1"/>
  <c r="X368" i="1" s="1"/>
  <c r="X369" i="1" a="1"/>
  <c r="X369" i="1" s="1"/>
  <c r="X370" i="1" a="1"/>
  <c r="X370" i="1" s="1"/>
  <c r="X371" i="1" a="1"/>
  <c r="X371" i="1" s="1"/>
  <c r="X372" i="1" a="1"/>
  <c r="X372" i="1" s="1"/>
  <c r="X373" i="1" a="1"/>
  <c r="X373" i="1" s="1"/>
  <c r="X374" i="1" a="1"/>
  <c r="X374" i="1" s="1"/>
  <c r="X375" i="1" a="1"/>
  <c r="X375" i="1" s="1"/>
  <c r="X376" i="1" a="1"/>
  <c r="X376" i="1" s="1"/>
  <c r="X377" i="1" a="1"/>
  <c r="X377" i="1" s="1"/>
  <c r="X378" i="1" a="1"/>
  <c r="X378" i="1" s="1"/>
  <c r="X379" i="1" a="1"/>
  <c r="X379" i="1" s="1"/>
  <c r="X380" i="1" a="1"/>
  <c r="X380" i="1" s="1"/>
  <c r="X381" i="1" a="1"/>
  <c r="X381" i="1" s="1"/>
  <c r="X382" i="1" a="1"/>
  <c r="X382" i="1" s="1"/>
  <c r="X383" i="1" a="1"/>
  <c r="X383" i="1" s="1"/>
  <c r="X384" i="1" a="1"/>
  <c r="X384" i="1" s="1"/>
  <c r="X385" i="1" a="1"/>
  <c r="X385" i="1" s="1"/>
  <c r="X386" i="1" a="1"/>
  <c r="X386" i="1" s="1"/>
  <c r="X387" i="1" a="1"/>
  <c r="X387" i="1" s="1"/>
  <c r="X388" i="1" a="1"/>
  <c r="X388" i="1" s="1"/>
  <c r="X389" i="1" a="1"/>
  <c r="X389" i="1" s="1"/>
  <c r="X390" i="1" a="1"/>
  <c r="X390" i="1" s="1"/>
  <c r="X391" i="1" a="1"/>
  <c r="X391" i="1" s="1"/>
  <c r="X392" i="1" a="1"/>
  <c r="X392" i="1" s="1"/>
  <c r="X393" i="1" a="1"/>
  <c r="X393" i="1" s="1"/>
  <c r="X394" i="1" a="1"/>
  <c r="X394" i="1" s="1"/>
  <c r="X395" i="1" a="1"/>
  <c r="X395" i="1" s="1"/>
  <c r="X396" i="1" a="1"/>
  <c r="X396" i="1" s="1"/>
  <c r="X397" i="1" a="1"/>
  <c r="X397" i="1" s="1"/>
  <c r="X398" i="1" a="1"/>
  <c r="X398" i="1" s="1"/>
  <c r="X399" i="1" a="1"/>
  <c r="X399" i="1" s="1"/>
  <c r="X400" i="1" a="1"/>
  <c r="X400" i="1" s="1"/>
  <c r="X401" i="1" a="1"/>
  <c r="X401" i="1" s="1"/>
  <c r="X402" i="1" a="1"/>
  <c r="X402" i="1" s="1"/>
  <c r="X403" i="1" a="1"/>
  <c r="X403" i="1" s="1"/>
  <c r="X404" i="1" a="1"/>
  <c r="X404" i="1" s="1"/>
  <c r="X405" i="1" a="1"/>
  <c r="X405" i="1" s="1"/>
  <c r="X406" i="1" a="1"/>
  <c r="X406" i="1" s="1"/>
  <c r="X407" i="1" a="1"/>
  <c r="X407" i="1" s="1"/>
  <c r="X408" i="1" a="1"/>
  <c r="X408" i="1" s="1"/>
  <c r="X409" i="1" a="1"/>
  <c r="X409" i="1" s="1"/>
  <c r="X410" i="1" a="1"/>
  <c r="X410" i="1" s="1"/>
  <c r="X411" i="1" a="1"/>
  <c r="X411" i="1" s="1"/>
  <c r="X412" i="1" a="1"/>
  <c r="X412" i="1" s="1"/>
  <c r="X413" i="1" a="1"/>
  <c r="X413" i="1" s="1"/>
  <c r="X414" i="1" a="1"/>
  <c r="X414" i="1" s="1"/>
  <c r="X415" i="1" a="1"/>
  <c r="X415" i="1" s="1"/>
  <c r="X416" i="1" a="1"/>
  <c r="X416" i="1" s="1"/>
  <c r="X417" i="1" a="1"/>
  <c r="X417" i="1" s="1"/>
  <c r="X418" i="1" a="1"/>
  <c r="X418" i="1" s="1"/>
  <c r="X419" i="1" a="1"/>
  <c r="X419" i="1" s="1"/>
  <c r="X420" i="1" a="1"/>
  <c r="X420" i="1" s="1"/>
  <c r="X421" i="1" a="1"/>
  <c r="X421" i="1" s="1"/>
  <c r="X422" i="1" a="1"/>
  <c r="X422" i="1" s="1"/>
  <c r="X423" i="1" a="1"/>
  <c r="X423" i="1" s="1"/>
  <c r="X424" i="1" a="1"/>
  <c r="X424" i="1" s="1"/>
  <c r="X425" i="1" a="1"/>
  <c r="X425" i="1" s="1"/>
  <c r="X426" i="1" a="1"/>
  <c r="X426" i="1" s="1"/>
  <c r="X427" i="1" a="1"/>
  <c r="X427" i="1" s="1"/>
  <c r="X428" i="1" a="1"/>
  <c r="X428" i="1" s="1"/>
  <c r="X429" i="1" a="1"/>
  <c r="X429" i="1" s="1"/>
  <c r="X430" i="1" a="1"/>
  <c r="X430" i="1" s="1"/>
  <c r="X431" i="1" a="1"/>
  <c r="X431" i="1" s="1"/>
  <c r="X432" i="1" a="1"/>
  <c r="X432" i="1" s="1"/>
  <c r="X433" i="1" a="1"/>
  <c r="X433" i="1" s="1"/>
  <c r="X434" i="1" a="1"/>
  <c r="X434" i="1" s="1"/>
  <c r="X435" i="1" a="1"/>
  <c r="X435" i="1" s="1"/>
  <c r="X436" i="1" a="1"/>
  <c r="X436" i="1" s="1"/>
  <c r="X437" i="1" a="1"/>
  <c r="X437" i="1" s="1"/>
  <c r="X438" i="1" a="1"/>
  <c r="X438" i="1" s="1"/>
  <c r="X439" i="1" a="1"/>
  <c r="X439" i="1" s="1"/>
  <c r="X440" i="1" a="1"/>
  <c r="X440" i="1" s="1"/>
  <c r="X441" i="1" a="1"/>
  <c r="X441" i="1" s="1"/>
  <c r="X442" i="1" a="1"/>
  <c r="X442" i="1" s="1"/>
  <c r="X443" i="1" a="1"/>
  <c r="X443" i="1" s="1"/>
  <c r="X444" i="1" a="1"/>
  <c r="X444" i="1" s="1"/>
  <c r="X445" i="1" a="1"/>
  <c r="X445" i="1" s="1"/>
  <c r="X446" i="1" a="1"/>
  <c r="X446" i="1" s="1"/>
  <c r="X447" i="1" a="1"/>
  <c r="X447" i="1" s="1"/>
  <c r="X448" i="1" a="1"/>
  <c r="X448" i="1" s="1"/>
  <c r="X449" i="1" a="1"/>
  <c r="X449" i="1" s="1"/>
  <c r="X450" i="1" a="1"/>
  <c r="X450" i="1" s="1"/>
  <c r="X451" i="1" a="1"/>
  <c r="X451" i="1" s="1"/>
  <c r="X452" i="1" a="1"/>
  <c r="X452" i="1" s="1"/>
  <c r="X453" i="1" a="1"/>
  <c r="X453" i="1" s="1"/>
  <c r="X454" i="1" a="1"/>
  <c r="X454" i="1" s="1"/>
  <c r="X455" i="1" a="1"/>
  <c r="X455" i="1" s="1"/>
  <c r="X456" i="1" a="1"/>
  <c r="X456" i="1" s="1"/>
  <c r="X457" i="1" a="1"/>
  <c r="X457" i="1" s="1"/>
  <c r="X458" i="1" a="1"/>
  <c r="X458" i="1" s="1"/>
  <c r="X459" i="1" a="1"/>
  <c r="X459" i="1" s="1"/>
  <c r="X460" i="1" a="1"/>
  <c r="X460" i="1" s="1"/>
  <c r="X461" i="1" a="1"/>
  <c r="X461" i="1" s="1"/>
  <c r="X462" i="1" a="1"/>
  <c r="X462" i="1" s="1"/>
  <c r="X463" i="1" a="1"/>
  <c r="X463" i="1" s="1"/>
  <c r="X464" i="1" a="1"/>
  <c r="X464" i="1" s="1"/>
  <c r="X465" i="1" a="1"/>
  <c r="X465" i="1" s="1"/>
  <c r="X466" i="1" a="1"/>
  <c r="X466" i="1" s="1"/>
  <c r="X467" i="1" a="1"/>
  <c r="X467" i="1" s="1"/>
  <c r="X468" i="1" a="1"/>
  <c r="X468" i="1" s="1"/>
  <c r="X469" i="1" a="1"/>
  <c r="X469" i="1" s="1"/>
  <c r="X470" i="1" a="1"/>
  <c r="X470" i="1" s="1"/>
  <c r="X471" i="1" a="1"/>
  <c r="X471" i="1" s="1"/>
  <c r="X472" i="1" a="1"/>
  <c r="X472" i="1" s="1"/>
  <c r="X473" i="1" a="1"/>
  <c r="X473" i="1" s="1"/>
  <c r="X474" i="1" a="1"/>
  <c r="X474" i="1" s="1"/>
  <c r="X475" i="1" a="1"/>
  <c r="X475" i="1" s="1"/>
  <c r="X476" i="1" a="1"/>
  <c r="X476" i="1" s="1"/>
  <c r="X477" i="1" a="1"/>
  <c r="X477" i="1" s="1"/>
  <c r="X478" i="1" a="1"/>
  <c r="X478" i="1" s="1"/>
  <c r="X479" i="1" a="1"/>
  <c r="X479" i="1" s="1"/>
  <c r="X480" i="1" a="1"/>
  <c r="X480" i="1" s="1"/>
  <c r="X481" i="1" a="1"/>
  <c r="X481" i="1" s="1"/>
  <c r="X482" i="1" a="1"/>
  <c r="X482" i="1" s="1"/>
  <c r="X483" i="1" a="1"/>
  <c r="X483" i="1" s="1"/>
  <c r="X484" i="1" a="1"/>
  <c r="X484" i="1" s="1"/>
  <c r="X485" i="1" a="1"/>
  <c r="X485" i="1" s="1"/>
  <c r="X486" i="1" a="1"/>
  <c r="X486" i="1" s="1"/>
  <c r="X487" i="1" a="1"/>
  <c r="X487" i="1" s="1"/>
  <c r="X488" i="1" a="1"/>
  <c r="X488" i="1" s="1"/>
  <c r="X489" i="1" a="1"/>
  <c r="X489" i="1" s="1"/>
  <c r="X490" i="1" a="1"/>
  <c r="X490" i="1" s="1"/>
  <c r="X491" i="1" a="1"/>
  <c r="X491" i="1" s="1"/>
  <c r="X492" i="1" a="1"/>
  <c r="X492" i="1" s="1"/>
  <c r="X493" i="1" a="1"/>
  <c r="X493" i="1" s="1"/>
  <c r="X494" i="1" a="1"/>
  <c r="X494" i="1" s="1"/>
  <c r="X495" i="1" a="1"/>
  <c r="X495" i="1" s="1"/>
  <c r="X496" i="1" a="1"/>
  <c r="X496" i="1" s="1"/>
  <c r="X497" i="1" a="1"/>
  <c r="X497" i="1" s="1"/>
  <c r="X498" i="1" a="1"/>
  <c r="X498" i="1" s="1"/>
  <c r="X499" i="1" a="1"/>
  <c r="X499" i="1" s="1"/>
  <c r="X500" i="1" a="1"/>
  <c r="X500" i="1" s="1"/>
  <c r="X501" i="1" a="1"/>
  <c r="X501" i="1" s="1"/>
  <c r="X502" i="1" a="1"/>
  <c r="X502" i="1" s="1"/>
  <c r="X503" i="1" a="1"/>
  <c r="X503" i="1" s="1"/>
  <c r="X504" i="1" a="1"/>
  <c r="X504" i="1" s="1"/>
  <c r="X505" i="1" a="1"/>
  <c r="X505" i="1" s="1"/>
  <c r="X506" i="1" a="1"/>
  <c r="X506" i="1" s="1"/>
  <c r="X507" i="1" a="1"/>
  <c r="X507" i="1" s="1"/>
  <c r="X508" i="1" a="1"/>
  <c r="X508" i="1" s="1"/>
  <c r="X509" i="1" a="1"/>
  <c r="X509" i="1" s="1"/>
  <c r="X510" i="1" a="1"/>
  <c r="X510" i="1" s="1"/>
  <c r="X511" i="1" a="1"/>
  <c r="X511" i="1" s="1"/>
  <c r="X512" i="1" a="1"/>
  <c r="X512" i="1" s="1"/>
  <c r="X513" i="1" a="1"/>
  <c r="X513" i="1" s="1"/>
  <c r="X514" i="1" a="1"/>
  <c r="X514" i="1" s="1"/>
  <c r="X515" i="1" a="1"/>
  <c r="X515" i="1" s="1"/>
  <c r="X516" i="1" a="1"/>
  <c r="X516" i="1" s="1"/>
  <c r="X517" i="1" a="1"/>
  <c r="X517" i="1" s="1"/>
  <c r="X518" i="1" a="1"/>
  <c r="X518" i="1" s="1"/>
  <c r="X519" i="1" a="1"/>
  <c r="X519" i="1" s="1"/>
  <c r="X520" i="1" a="1"/>
  <c r="X520" i="1" s="1"/>
  <c r="X521" i="1" a="1"/>
  <c r="X521" i="1" s="1"/>
  <c r="X522" i="1" a="1"/>
  <c r="X522" i="1" s="1"/>
  <c r="X523" i="1" a="1"/>
  <c r="X523" i="1" s="1"/>
  <c r="X524" i="1" a="1"/>
  <c r="X524" i="1" s="1"/>
  <c r="X525" i="1" a="1"/>
  <c r="X525" i="1" s="1"/>
  <c r="X526" i="1" a="1"/>
  <c r="X526" i="1" s="1"/>
  <c r="X527" i="1" a="1"/>
  <c r="X527" i="1" s="1"/>
  <c r="X528" i="1" a="1"/>
  <c r="X528" i="1" s="1"/>
  <c r="X529" i="1" a="1"/>
  <c r="X529" i="1" s="1"/>
  <c r="X530" i="1" a="1"/>
  <c r="X530" i="1" s="1"/>
  <c r="X531" i="1" a="1"/>
  <c r="X531" i="1" s="1"/>
  <c r="X532" i="1" a="1"/>
  <c r="X532" i="1" s="1"/>
  <c r="X533" i="1" a="1"/>
  <c r="X533" i="1" s="1"/>
  <c r="X534" i="1" a="1"/>
  <c r="X534" i="1" s="1"/>
  <c r="X535" i="1" a="1"/>
  <c r="X535" i="1" s="1"/>
  <c r="X536" i="1" a="1"/>
  <c r="X536" i="1" s="1"/>
  <c r="X537" i="1" a="1"/>
  <c r="X537" i="1" s="1"/>
  <c r="X538" i="1" a="1"/>
  <c r="X538" i="1" s="1"/>
  <c r="X539" i="1" a="1"/>
  <c r="X539" i="1" s="1"/>
  <c r="X540" i="1" a="1"/>
  <c r="X540" i="1" s="1"/>
  <c r="X541" i="1" a="1"/>
  <c r="X541" i="1" s="1"/>
  <c r="X542" i="1" a="1"/>
  <c r="X542" i="1" s="1"/>
  <c r="X543" i="1" a="1"/>
  <c r="X543" i="1" s="1"/>
  <c r="X544" i="1" a="1"/>
  <c r="X544" i="1" s="1"/>
  <c r="X545" i="1" a="1"/>
  <c r="X545" i="1" s="1"/>
  <c r="X546" i="1" a="1"/>
  <c r="X546" i="1" s="1"/>
  <c r="X547" i="1" a="1"/>
  <c r="X547" i="1" s="1"/>
  <c r="X548" i="1" a="1"/>
  <c r="X548" i="1" s="1"/>
  <c r="X549" i="1" a="1"/>
  <c r="X549" i="1" s="1"/>
  <c r="X550" i="1" a="1"/>
  <c r="X550" i="1" s="1"/>
  <c r="X551" i="1" a="1"/>
  <c r="X551" i="1" s="1"/>
  <c r="X552" i="1" a="1"/>
  <c r="X552" i="1" s="1"/>
  <c r="X553" i="1" a="1"/>
  <c r="X553" i="1" s="1"/>
  <c r="X554" i="1" a="1"/>
  <c r="X554" i="1" s="1"/>
  <c r="X555" i="1" a="1"/>
  <c r="X555" i="1" s="1"/>
  <c r="X556" i="1" a="1"/>
  <c r="X556" i="1" s="1"/>
  <c r="X557" i="1" a="1"/>
  <c r="X557" i="1" s="1"/>
  <c r="X558" i="1" a="1"/>
  <c r="X558" i="1" s="1"/>
  <c r="X559" i="1" a="1"/>
  <c r="X559" i="1" s="1"/>
  <c r="X560" i="1" a="1"/>
  <c r="X560" i="1" s="1"/>
  <c r="X561" i="1" a="1"/>
  <c r="X561" i="1" s="1"/>
  <c r="X562" i="1" a="1"/>
  <c r="X562" i="1" s="1"/>
  <c r="X563" i="1" a="1"/>
  <c r="X563" i="1" s="1"/>
  <c r="X564" i="1" a="1"/>
  <c r="X564" i="1" s="1"/>
  <c r="X565" i="1" a="1"/>
  <c r="X565" i="1" s="1"/>
  <c r="X566" i="1" a="1"/>
  <c r="X566" i="1" s="1"/>
  <c r="X567" i="1" a="1"/>
  <c r="X567" i="1" s="1"/>
  <c r="X568" i="1" a="1"/>
  <c r="X568" i="1" s="1"/>
  <c r="X569" i="1" a="1"/>
  <c r="X569" i="1" s="1"/>
  <c r="X570" i="1" a="1"/>
  <c r="X570" i="1" s="1"/>
  <c r="X571" i="1" a="1"/>
  <c r="X571" i="1" s="1"/>
  <c r="X572" i="1" a="1"/>
  <c r="X572" i="1" s="1"/>
  <c r="X573" i="1" a="1"/>
  <c r="X573" i="1" s="1"/>
  <c r="X574" i="1" a="1"/>
  <c r="X574" i="1" s="1"/>
  <c r="X575" i="1" a="1"/>
  <c r="X575" i="1" s="1"/>
  <c r="X576" i="1" a="1"/>
  <c r="X576" i="1" s="1"/>
  <c r="X577" i="1" a="1"/>
  <c r="X577" i="1" s="1"/>
  <c r="X578" i="1" a="1"/>
  <c r="X578" i="1" s="1"/>
  <c r="X579" i="1" a="1"/>
  <c r="X579" i="1" s="1"/>
  <c r="X580" i="1" a="1"/>
  <c r="X580" i="1" s="1"/>
  <c r="X581" i="1" a="1"/>
  <c r="X581" i="1" s="1"/>
  <c r="X582" i="1" a="1"/>
  <c r="X582" i="1" s="1"/>
  <c r="X583" i="1" a="1"/>
  <c r="X583" i="1" s="1"/>
  <c r="X584" i="1" a="1"/>
  <c r="X584" i="1" s="1"/>
  <c r="X585" i="1" a="1"/>
  <c r="X585" i="1" s="1"/>
  <c r="X586" i="1" a="1"/>
  <c r="X586" i="1" s="1"/>
  <c r="X587" i="1" a="1"/>
  <c r="X587" i="1" s="1"/>
  <c r="X588" i="1" a="1"/>
  <c r="X588" i="1" s="1"/>
  <c r="X589" i="1" a="1"/>
  <c r="X589" i="1" s="1"/>
  <c r="X590" i="1" a="1"/>
  <c r="X590" i="1" s="1"/>
  <c r="X591" i="1" a="1"/>
  <c r="X591" i="1" s="1"/>
  <c r="X592" i="1" a="1"/>
  <c r="X592" i="1" s="1"/>
  <c r="X593" i="1" a="1"/>
  <c r="X593" i="1" s="1"/>
  <c r="X594" i="1" a="1"/>
  <c r="X594" i="1" s="1"/>
  <c r="X595" i="1" a="1"/>
  <c r="X595" i="1" s="1"/>
  <c r="X596" i="1" a="1"/>
  <c r="X596" i="1" s="1"/>
  <c r="X597" i="1" a="1"/>
  <c r="X597" i="1" s="1"/>
  <c r="X598" i="1" a="1"/>
  <c r="X598" i="1" s="1"/>
  <c r="X599" i="1" a="1"/>
  <c r="X599" i="1" s="1"/>
  <c r="X600" i="1" a="1"/>
  <c r="X600" i="1" s="1"/>
  <c r="X601" i="1" a="1"/>
  <c r="X601" i="1" s="1"/>
  <c r="X602" i="1" a="1"/>
  <c r="X602" i="1" s="1"/>
  <c r="X603" i="1" a="1"/>
  <c r="X603" i="1" s="1"/>
  <c r="X604" i="1" a="1"/>
  <c r="X604" i="1" s="1"/>
  <c r="X605" i="1" a="1"/>
  <c r="X605" i="1" s="1"/>
  <c r="X606" i="1" a="1"/>
  <c r="X606" i="1" s="1"/>
  <c r="X607" i="1" a="1"/>
  <c r="X607" i="1" s="1"/>
  <c r="X608" i="1" a="1"/>
  <c r="X608" i="1" s="1"/>
  <c r="X609" i="1" a="1"/>
  <c r="X609" i="1" s="1"/>
  <c r="X610" i="1" a="1"/>
  <c r="X610" i="1" s="1"/>
  <c r="X611" i="1" a="1"/>
  <c r="X611" i="1" s="1"/>
  <c r="X612" i="1" a="1"/>
  <c r="X612" i="1" s="1"/>
  <c r="X613" i="1" a="1"/>
  <c r="X613" i="1" s="1"/>
  <c r="X614" i="1" a="1"/>
  <c r="X614" i="1" s="1"/>
  <c r="X615" i="1" a="1"/>
  <c r="X615" i="1" s="1"/>
  <c r="X616" i="1" a="1"/>
  <c r="X616" i="1" s="1"/>
  <c r="X617" i="1" a="1"/>
  <c r="X617" i="1" s="1"/>
  <c r="X618" i="1" a="1"/>
  <c r="X618" i="1" s="1"/>
  <c r="X619" i="1" a="1"/>
  <c r="X619" i="1" s="1"/>
  <c r="X620" i="1" a="1"/>
  <c r="X620" i="1" s="1"/>
  <c r="X621" i="1" a="1"/>
  <c r="X621" i="1" s="1"/>
  <c r="X622" i="1" a="1"/>
  <c r="X622" i="1" s="1"/>
  <c r="X623" i="1" a="1"/>
  <c r="X623" i="1" s="1"/>
  <c r="X624" i="1" a="1"/>
  <c r="X624" i="1" s="1"/>
  <c r="X625" i="1" a="1"/>
  <c r="X625" i="1" s="1"/>
  <c r="X626" i="1" a="1"/>
  <c r="X626" i="1" s="1"/>
  <c r="X627" i="1" a="1"/>
  <c r="X627" i="1" s="1"/>
  <c r="X628" i="1" a="1"/>
  <c r="X628" i="1" s="1"/>
  <c r="X629" i="1" a="1"/>
  <c r="X629" i="1" s="1"/>
  <c r="X630" i="1" a="1"/>
  <c r="X630" i="1" s="1"/>
  <c r="X631" i="1" a="1"/>
  <c r="X631" i="1" s="1"/>
  <c r="X632" i="1" a="1"/>
  <c r="X632" i="1" s="1"/>
  <c r="X633" i="1" a="1"/>
  <c r="X633" i="1" s="1"/>
  <c r="X634" i="1" a="1"/>
  <c r="X634" i="1" s="1"/>
  <c r="X635" i="1" a="1"/>
  <c r="X635" i="1" s="1"/>
  <c r="X636" i="1" a="1"/>
  <c r="X636" i="1" s="1"/>
  <c r="X637" i="1" a="1"/>
  <c r="X637" i="1" s="1"/>
  <c r="X638" i="1" a="1"/>
  <c r="X638" i="1" s="1"/>
  <c r="X639" i="1" a="1"/>
  <c r="X639" i="1" s="1"/>
  <c r="X640" i="1" a="1"/>
  <c r="X640" i="1" s="1"/>
  <c r="X641" i="1" a="1"/>
  <c r="X641" i="1" s="1"/>
  <c r="X642" i="1" a="1"/>
  <c r="X642" i="1" s="1"/>
  <c r="X643" i="1" a="1"/>
  <c r="X643" i="1" s="1"/>
  <c r="X644" i="1" a="1"/>
  <c r="X644" i="1" s="1"/>
  <c r="X645" i="1" a="1"/>
  <c r="X645" i="1" s="1"/>
  <c r="X646" i="1" a="1"/>
  <c r="X646" i="1" s="1"/>
  <c r="X647" i="1" a="1"/>
  <c r="X647" i="1" s="1"/>
  <c r="X648" i="1" a="1"/>
  <c r="X648" i="1" s="1"/>
  <c r="X649" i="1" a="1"/>
  <c r="X649" i="1" s="1"/>
  <c r="X650" i="1" a="1"/>
  <c r="X650" i="1" s="1"/>
  <c r="X651" i="1" a="1"/>
  <c r="X651" i="1" s="1"/>
  <c r="X652" i="1" a="1"/>
  <c r="X652" i="1" s="1"/>
  <c r="X653" i="1" a="1"/>
  <c r="X653" i="1" s="1"/>
  <c r="X654" i="1" a="1"/>
  <c r="X654" i="1" s="1"/>
  <c r="X655" i="1" a="1"/>
  <c r="X655" i="1" s="1"/>
  <c r="X657" i="1" a="1"/>
  <c r="X657" i="1" s="1"/>
  <c r="X658" i="1" a="1"/>
  <c r="X658" i="1" s="1"/>
  <c r="X659" i="1" a="1"/>
  <c r="X659" i="1" s="1"/>
  <c r="X660" i="1" a="1"/>
  <c r="X660" i="1" s="1"/>
  <c r="X661" i="1" a="1"/>
  <c r="X661" i="1" s="1"/>
  <c r="X662" i="1" a="1"/>
  <c r="X662" i="1" s="1"/>
  <c r="X663" i="1" a="1"/>
  <c r="X663" i="1" s="1"/>
  <c r="X664" i="1" a="1"/>
  <c r="X664" i="1" s="1"/>
  <c r="X665" i="1" a="1"/>
  <c r="X665" i="1" s="1"/>
  <c r="X666" i="1" a="1"/>
  <c r="X666" i="1" s="1"/>
  <c r="X667" i="1" a="1"/>
  <c r="X667" i="1" s="1"/>
  <c r="X668" i="1" a="1"/>
  <c r="X668" i="1" s="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V2" i="1"/>
  <c r="V3" i="1"/>
  <c r="V4" i="1"/>
  <c r="V5" i="1"/>
  <c r="V6" i="1"/>
  <c r="V7" i="1"/>
  <c r="V8" i="1"/>
  <c r="V9" i="1"/>
  <c r="V10" i="1"/>
  <c r="V11" i="1"/>
  <c r="V12" i="1"/>
  <c r="V13" i="1"/>
  <c r="V14" i="1"/>
  <c r="V15"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G14" i="2" l="1"/>
  <c r="Y659" i="1" a="1"/>
  <c r="Y659" i="1" s="1"/>
  <c r="Z666" i="1" a="1"/>
  <c r="Z666" i="1" s="1"/>
  <c r="AC666" i="1" s="1" a="1"/>
  <c r="AC666" i="1" s="1"/>
  <c r="Z658" i="1" a="1"/>
  <c r="Z658" i="1" s="1"/>
  <c r="AC658" i="1" s="1" a="1"/>
  <c r="AC658" i="1" s="1"/>
  <c r="Y668" i="1" a="1"/>
  <c r="Y668" i="1" s="1"/>
  <c r="Y664" i="1" a="1"/>
  <c r="Y664" i="1" s="1"/>
  <c r="Z662" i="1" a="1"/>
  <c r="Z662" i="1" s="1"/>
  <c r="AC662" i="1" s="1" a="1"/>
  <c r="AC662" i="1" s="1"/>
  <c r="Y660" i="1" a="1"/>
  <c r="Y660" i="1" s="1"/>
  <c r="Z646" i="1" a="1"/>
  <c r="Z646" i="1" s="1"/>
  <c r="AC646" i="1" s="1" a="1"/>
  <c r="AC646" i="1" s="1"/>
  <c r="Z626" i="1" a="1"/>
  <c r="Z626" i="1" s="1"/>
  <c r="AC626" i="1" s="1" a="1"/>
  <c r="AC626" i="1" s="1"/>
  <c r="Z610" i="1" a="1"/>
  <c r="Z610" i="1" s="1"/>
  <c r="AC610" i="1" s="1" a="1"/>
  <c r="AC610" i="1" s="1"/>
  <c r="Z598" i="1" a="1"/>
  <c r="Z598" i="1" s="1"/>
  <c r="AC598" i="1" s="1" a="1"/>
  <c r="AC598" i="1" s="1"/>
  <c r="Z582" i="1" a="1"/>
  <c r="Z582" i="1" s="1"/>
  <c r="AC582" i="1" s="1" a="1"/>
  <c r="AC582" i="1" s="1"/>
  <c r="Z566" i="1" a="1"/>
  <c r="Z566" i="1" s="1"/>
  <c r="AC566" i="1" s="1" a="1"/>
  <c r="AC566" i="1" s="1"/>
  <c r="Z550" i="1" a="1"/>
  <c r="Z550" i="1" s="1"/>
  <c r="AC550" i="1" s="1" a="1"/>
  <c r="AC550" i="1" s="1"/>
  <c r="Z530" i="1" a="1"/>
  <c r="Z530" i="1" s="1"/>
  <c r="AC530" i="1" s="1" a="1"/>
  <c r="AC530" i="1" s="1"/>
  <c r="Z518" i="1" a="1"/>
  <c r="Z518" i="1" s="1"/>
  <c r="AC518" i="1" s="1" a="1"/>
  <c r="AC518" i="1" s="1"/>
  <c r="Z498" i="1" a="1"/>
  <c r="Z498" i="1" s="1"/>
  <c r="AC498" i="1" s="1" a="1"/>
  <c r="AC498" i="1" s="1"/>
  <c r="Z482" i="1" a="1"/>
  <c r="Z482" i="1" s="1"/>
  <c r="AC482" i="1" s="1" a="1"/>
  <c r="AC482" i="1" s="1"/>
  <c r="Z466" i="1" a="1"/>
  <c r="Z466" i="1" s="1"/>
  <c r="AC466" i="1" s="1" a="1"/>
  <c r="AC466" i="1" s="1"/>
  <c r="Z454" i="1" a="1"/>
  <c r="Z454" i="1" s="1"/>
  <c r="AC454" i="1" s="1" a="1"/>
  <c r="AC454" i="1" s="1"/>
  <c r="Z434" i="1" a="1"/>
  <c r="Z434" i="1" s="1"/>
  <c r="AC434" i="1" s="1" a="1"/>
  <c r="AC434" i="1" s="1"/>
  <c r="Z422" i="1" a="1"/>
  <c r="Z422" i="1" s="1"/>
  <c r="AC422" i="1" s="1" a="1"/>
  <c r="AC422" i="1" s="1"/>
  <c r="Z406" i="1" a="1"/>
  <c r="Z406" i="1" s="1"/>
  <c r="AC406" i="1" s="1" a="1"/>
  <c r="AC406" i="1" s="1"/>
  <c r="Z390" i="1" a="1"/>
  <c r="Z390" i="1" s="1"/>
  <c r="AC390" i="1" s="1" a="1"/>
  <c r="AC390" i="1" s="1"/>
  <c r="Z374" i="1" a="1"/>
  <c r="Z374" i="1" s="1"/>
  <c r="AC374" i="1" s="1" a="1"/>
  <c r="AC374" i="1" s="1"/>
  <c r="Z358" i="1" a="1"/>
  <c r="Z358" i="1" s="1"/>
  <c r="AC358" i="1" s="1" a="1"/>
  <c r="AC358" i="1" s="1"/>
  <c r="Z342" i="1" a="1"/>
  <c r="Z342" i="1" s="1"/>
  <c r="AC342" i="1" s="1" a="1"/>
  <c r="AC342" i="1" s="1"/>
  <c r="Z326" i="1" a="1"/>
  <c r="Z326" i="1" s="1"/>
  <c r="AC326" i="1" s="1" a="1"/>
  <c r="AC326" i="1" s="1"/>
  <c r="Z302" i="1" a="1"/>
  <c r="Z302" i="1" s="1"/>
  <c r="AC302" i="1" s="1" a="1"/>
  <c r="AC302" i="1" s="1"/>
  <c r="Z294" i="1" a="1"/>
  <c r="Z294" i="1" s="1"/>
  <c r="AC294" i="1" s="1" a="1"/>
  <c r="AC294" i="1" s="1"/>
  <c r="Z274" i="1" a="1"/>
  <c r="Z274" i="1" s="1"/>
  <c r="AC274" i="1" s="1" a="1"/>
  <c r="AC274" i="1" s="1"/>
  <c r="Z258" i="1" a="1"/>
  <c r="Z258" i="1" s="1"/>
  <c r="AC258" i="1" s="1" a="1"/>
  <c r="AC258" i="1" s="1"/>
  <c r="Z242" i="1" a="1"/>
  <c r="Z242" i="1" s="1"/>
  <c r="AC242" i="1" s="1" a="1"/>
  <c r="AC242" i="1" s="1"/>
  <c r="Z226" i="1" a="1"/>
  <c r="Z226" i="1" s="1"/>
  <c r="AC226" i="1" s="1" a="1"/>
  <c r="AC226" i="1" s="1"/>
  <c r="Z210" i="1" a="1"/>
  <c r="Z210" i="1" s="1"/>
  <c r="AC210" i="1" s="1" a="1"/>
  <c r="AC210" i="1" s="1"/>
  <c r="Z194" i="1" a="1"/>
  <c r="Z194" i="1" s="1"/>
  <c r="AC194" i="1" s="1" a="1"/>
  <c r="AC194" i="1" s="1"/>
  <c r="Z182" i="1" a="1"/>
  <c r="Z182" i="1" s="1"/>
  <c r="AC182" i="1" s="1" a="1"/>
  <c r="AC182" i="1" s="1"/>
  <c r="Z166" i="1" a="1"/>
  <c r="Z166" i="1" s="1"/>
  <c r="AC166" i="1" s="1" a="1"/>
  <c r="AC166" i="1" s="1"/>
  <c r="Z146" i="1" a="1"/>
  <c r="Z146" i="1" s="1"/>
  <c r="AC146" i="1" s="1" a="1"/>
  <c r="AC146" i="1" s="1"/>
  <c r="Z126" i="1" a="1"/>
  <c r="Z126" i="1" s="1"/>
  <c r="AC126" i="1" s="1" a="1"/>
  <c r="AC126" i="1" s="1"/>
  <c r="Z110" i="1" a="1"/>
  <c r="Z110" i="1" s="1"/>
  <c r="AC110" i="1" s="1" a="1"/>
  <c r="AC110" i="1" s="1"/>
  <c r="Z94" i="1" a="1"/>
  <c r="Z94" i="1" s="1"/>
  <c r="AC94" i="1" s="1" a="1"/>
  <c r="AC94" i="1" s="1"/>
  <c r="Z74" i="1" a="1"/>
  <c r="Z74" i="1" s="1"/>
  <c r="AC74" i="1" s="1" a="1"/>
  <c r="AC74" i="1" s="1"/>
  <c r="Z58" i="1" a="1"/>
  <c r="Z58" i="1" s="1"/>
  <c r="AC58" i="1" s="1" a="1"/>
  <c r="AC58" i="1" s="1"/>
  <c r="Z46" i="1" a="1"/>
  <c r="Z46" i="1" s="1"/>
  <c r="AC46" i="1" s="1" a="1"/>
  <c r="AC46" i="1" s="1"/>
  <c r="Z30" i="1" a="1"/>
  <c r="Z30" i="1" s="1"/>
  <c r="AC30" i="1" s="1" a="1"/>
  <c r="AC30" i="1" s="1"/>
  <c r="Z14" i="1" a="1"/>
  <c r="Z14" i="1" s="1"/>
  <c r="AC14" i="1" s="1" a="1"/>
  <c r="AC14" i="1" s="1"/>
  <c r="Y648" i="1" a="1"/>
  <c r="Y648" i="1" s="1"/>
  <c r="Y640" i="1" a="1"/>
  <c r="Y640" i="1" s="1"/>
  <c r="Y624" i="1" a="1"/>
  <c r="Y624" i="1" s="1"/>
  <c r="Y608" i="1" a="1"/>
  <c r="Y608" i="1" s="1"/>
  <c r="Y592" i="1" a="1"/>
  <c r="Y592" i="1" s="1"/>
  <c r="Y576" i="1" a="1"/>
  <c r="Y576" i="1" s="1"/>
  <c r="Y560" i="1" a="1"/>
  <c r="Y560" i="1" s="1"/>
  <c r="Y544" i="1" a="1"/>
  <c r="Y544" i="1" s="1"/>
  <c r="Y524" i="1" a="1"/>
  <c r="Y524" i="1" s="1"/>
  <c r="Y512" i="1" a="1"/>
  <c r="Y512" i="1" s="1"/>
  <c r="Y496" i="1" a="1"/>
  <c r="Y496" i="1" s="1"/>
  <c r="Y480" i="1" a="1"/>
  <c r="Y480" i="1" s="1"/>
  <c r="Y464" i="1" a="1"/>
  <c r="Y464" i="1" s="1"/>
  <c r="Y436" i="1" a="1"/>
  <c r="Y436" i="1" s="1"/>
  <c r="Y420" i="1" a="1"/>
  <c r="Y420" i="1" s="1"/>
  <c r="Y404" i="1" a="1"/>
  <c r="Y404" i="1" s="1"/>
  <c r="Y388" i="1" a="1"/>
  <c r="Y388" i="1" s="1"/>
  <c r="Y372" i="1" a="1"/>
  <c r="Y372" i="1" s="1"/>
  <c r="Y360" i="1" a="1"/>
  <c r="Y360" i="1" s="1"/>
  <c r="Y340" i="1" a="1"/>
  <c r="Y340" i="1" s="1"/>
  <c r="Y328" i="1" a="1"/>
  <c r="Y328" i="1" s="1"/>
  <c r="Y308" i="1" a="1"/>
  <c r="Y308" i="1" s="1"/>
  <c r="Y292" i="1" a="1"/>
  <c r="Y292" i="1" s="1"/>
  <c r="Y280" i="1" a="1"/>
  <c r="Y280" i="1" s="1"/>
  <c r="Y264" i="1" a="1"/>
  <c r="Y264" i="1" s="1"/>
  <c r="Y244" i="1" a="1"/>
  <c r="Y244" i="1" s="1"/>
  <c r="Y232" i="1" a="1"/>
  <c r="Y232" i="1" s="1"/>
  <c r="Y212" i="1" a="1"/>
  <c r="Y212" i="1" s="1"/>
  <c r="Y196" i="1" a="1"/>
  <c r="Y196" i="1" s="1"/>
  <c r="Y180" i="1" a="1"/>
  <c r="Y180" i="1" s="1"/>
  <c r="Y164" i="1" a="1"/>
  <c r="Y164" i="1" s="1"/>
  <c r="Y152" i="1" a="1"/>
  <c r="Y152" i="1" s="1"/>
  <c r="Y132" i="1" a="1"/>
  <c r="Y132" i="1" s="1"/>
  <c r="Y120" i="1" a="1"/>
  <c r="Y120" i="1" s="1"/>
  <c r="Y100" i="1" a="1"/>
  <c r="Y100" i="1" s="1"/>
  <c r="Y84" i="1" a="1"/>
  <c r="Y84" i="1" s="1"/>
  <c r="Y68" i="1" a="1"/>
  <c r="Y68" i="1" s="1"/>
  <c r="Y56" i="1" a="1"/>
  <c r="Y56" i="1" s="1"/>
  <c r="Y36" i="1" a="1"/>
  <c r="Y36" i="1" s="1"/>
  <c r="Y32" i="1" a="1"/>
  <c r="Y32" i="1" s="1"/>
  <c r="Y4" i="1" a="1"/>
  <c r="Y4" i="1" s="1"/>
  <c r="Z650" i="1" a="1"/>
  <c r="Z650" i="1" s="1"/>
  <c r="AC650" i="1" s="1" a="1"/>
  <c r="AC650" i="1" s="1"/>
  <c r="Z634" i="1" a="1"/>
  <c r="Z634" i="1" s="1"/>
  <c r="AC634" i="1" s="1" a="1"/>
  <c r="AC634" i="1" s="1"/>
  <c r="Z622" i="1" a="1"/>
  <c r="Z622" i="1" s="1"/>
  <c r="AC622" i="1" s="1" a="1"/>
  <c r="AC622" i="1" s="1"/>
  <c r="Z606" i="1" a="1"/>
  <c r="Z606" i="1" s="1"/>
  <c r="AC606" i="1" s="1" a="1"/>
  <c r="AC606" i="1" s="1"/>
  <c r="Z586" i="1" a="1"/>
  <c r="Z586" i="1" s="1"/>
  <c r="AC586" i="1" s="1" a="1"/>
  <c r="AC586" i="1" s="1"/>
  <c r="Z574" i="1" a="1"/>
  <c r="Z574" i="1" s="1"/>
  <c r="AC574" i="1" s="1" a="1"/>
  <c r="AC574" i="1" s="1"/>
  <c r="Z554" i="1" a="1"/>
  <c r="Z554" i="1" s="1"/>
  <c r="AC554" i="1" s="1" a="1"/>
  <c r="AC554" i="1" s="1"/>
  <c r="Z542" i="1" a="1"/>
  <c r="Z542" i="1" s="1"/>
  <c r="AC542" i="1" s="1" a="1"/>
  <c r="AC542" i="1" s="1"/>
  <c r="Z526" i="1" a="1"/>
  <c r="Z526" i="1" s="1"/>
  <c r="AC526" i="1" s="1" a="1"/>
  <c r="AC526" i="1" s="1"/>
  <c r="Z510" i="1" a="1"/>
  <c r="Z510" i="1" s="1"/>
  <c r="AC510" i="1" s="1" a="1"/>
  <c r="AC510" i="1" s="1"/>
  <c r="Z494" i="1" a="1"/>
  <c r="Z494" i="1" s="1"/>
  <c r="AC494" i="1" s="1" a="1"/>
  <c r="AC494" i="1" s="1"/>
  <c r="Z474" i="1" a="1"/>
  <c r="Z474" i="1" s="1"/>
  <c r="AC474" i="1" s="1" a="1"/>
  <c r="AC474" i="1" s="1"/>
  <c r="Z458" i="1" a="1"/>
  <c r="Z458" i="1" s="1"/>
  <c r="AC458" i="1" s="1" a="1"/>
  <c r="AC458" i="1" s="1"/>
  <c r="Z442" i="1" a="1"/>
  <c r="Z442" i="1" s="1"/>
  <c r="AC442" i="1" s="1" a="1"/>
  <c r="AC442" i="1" s="1"/>
  <c r="Z426" i="1" a="1"/>
  <c r="Z426" i="1" s="1"/>
  <c r="AC426" i="1" s="1" a="1"/>
  <c r="AC426" i="1" s="1"/>
  <c r="Z410" i="1" a="1"/>
  <c r="Z410" i="1" s="1"/>
  <c r="AC410" i="1" s="1" a="1"/>
  <c r="AC410" i="1" s="1"/>
  <c r="Z398" i="1" a="1"/>
  <c r="Z398" i="1" s="1"/>
  <c r="AC398" i="1" s="1" a="1"/>
  <c r="AC398" i="1" s="1"/>
  <c r="Z382" i="1" a="1"/>
  <c r="Z382" i="1" s="1"/>
  <c r="AC382" i="1" s="1" a="1"/>
  <c r="AC382" i="1" s="1"/>
  <c r="Z366" i="1" a="1"/>
  <c r="Z366" i="1" s="1"/>
  <c r="AC366" i="1" s="1" a="1"/>
  <c r="AC366" i="1" s="1"/>
  <c r="Z346" i="1" a="1"/>
  <c r="Z346" i="1" s="1"/>
  <c r="AC346" i="1" s="1" a="1"/>
  <c r="AC346" i="1" s="1"/>
  <c r="Z334" i="1" a="1"/>
  <c r="Z334" i="1" s="1"/>
  <c r="AC334" i="1" s="1" a="1"/>
  <c r="AC334" i="1" s="1"/>
  <c r="Z318" i="1" a="1"/>
  <c r="Z318" i="1" s="1"/>
  <c r="AC318" i="1" s="1" a="1"/>
  <c r="AC318" i="1" s="1"/>
  <c r="Z298" i="1" a="1"/>
  <c r="Z298" i="1" s="1"/>
  <c r="AC298" i="1" s="1" a="1"/>
  <c r="AC298" i="1" s="1"/>
  <c r="Z286" i="1" a="1"/>
  <c r="Z286" i="1" s="1"/>
  <c r="AC286" i="1" s="1" a="1"/>
  <c r="AC286" i="1" s="1"/>
  <c r="Z266" i="1" a="1"/>
  <c r="Z266" i="1" s="1"/>
  <c r="AC266" i="1" s="1" a="1"/>
  <c r="AC266" i="1" s="1"/>
  <c r="Z254" i="1" a="1"/>
  <c r="Z254" i="1" s="1"/>
  <c r="AC254" i="1" s="1" a="1"/>
  <c r="AC254" i="1" s="1"/>
  <c r="Z238" i="1" a="1"/>
  <c r="Z238" i="1" s="1"/>
  <c r="AC238" i="1" s="1" a="1"/>
  <c r="AC238" i="1" s="1"/>
  <c r="Z222" i="1" a="1"/>
  <c r="Z222" i="1" s="1"/>
  <c r="AC222" i="1" s="1" a="1"/>
  <c r="AC222" i="1" s="1"/>
  <c r="Z202" i="1" a="1"/>
  <c r="Z202" i="1" s="1"/>
  <c r="AC202" i="1" s="1" a="1"/>
  <c r="AC202" i="1" s="1"/>
  <c r="Z190" i="1" a="1"/>
  <c r="Z190" i="1" s="1"/>
  <c r="AC190" i="1" s="1" a="1"/>
  <c r="AC190" i="1" s="1"/>
  <c r="Z174" i="1" a="1"/>
  <c r="Z174" i="1" s="1"/>
  <c r="AC174" i="1" s="1" a="1"/>
  <c r="AC174" i="1" s="1"/>
  <c r="Z158" i="1" a="1"/>
  <c r="Z158" i="1" s="1"/>
  <c r="AC158" i="1" s="1" a="1"/>
  <c r="AC158" i="1" s="1"/>
  <c r="Z150" i="1" a="1"/>
  <c r="Z150" i="1" s="1"/>
  <c r="AC150" i="1" s="1" a="1"/>
  <c r="AC150" i="1" s="1"/>
  <c r="Z134" i="1" a="1"/>
  <c r="Z134" i="1" s="1"/>
  <c r="AC134" i="1" s="1" a="1"/>
  <c r="AC134" i="1" s="1"/>
  <c r="Z118" i="1" a="1"/>
  <c r="Z118" i="1" s="1"/>
  <c r="AC118" i="1" s="1" a="1"/>
  <c r="AC118" i="1" s="1"/>
  <c r="Z102" i="1" a="1"/>
  <c r="Z102" i="1" s="1"/>
  <c r="AC102" i="1" s="1" a="1"/>
  <c r="AC102" i="1" s="1"/>
  <c r="Z86" i="1" a="1"/>
  <c r="Z86" i="1" s="1"/>
  <c r="AC86" i="1" s="1" a="1"/>
  <c r="AC86" i="1" s="1"/>
  <c r="Z70" i="1" a="1"/>
  <c r="Z70" i="1" s="1"/>
  <c r="AC70" i="1" s="1" a="1"/>
  <c r="AC70" i="1" s="1"/>
  <c r="Z50" i="1" a="1"/>
  <c r="Z50" i="1" s="1"/>
  <c r="AC50" i="1" s="1" a="1"/>
  <c r="AC50" i="1" s="1"/>
  <c r="Z34" i="1" a="1"/>
  <c r="Z34" i="1" s="1"/>
  <c r="AC34" i="1" s="1" a="1"/>
  <c r="AC34" i="1" s="1"/>
  <c r="Z22" i="1" a="1"/>
  <c r="Z22" i="1" s="1"/>
  <c r="AC22" i="1" s="1" a="1"/>
  <c r="AC22" i="1" s="1"/>
  <c r="Z2" i="1" a="1"/>
  <c r="Z2" i="1" s="1"/>
  <c r="Y644" i="1" a="1"/>
  <c r="Y644" i="1" s="1"/>
  <c r="Y632" i="1" a="1"/>
  <c r="Y632" i="1" s="1"/>
  <c r="Y612" i="1" a="1"/>
  <c r="Y612" i="1" s="1"/>
  <c r="Y596" i="1" a="1"/>
  <c r="Y596" i="1" s="1"/>
  <c r="Y580" i="1" a="1"/>
  <c r="Y580" i="1" s="1"/>
  <c r="Y564" i="1" a="1"/>
  <c r="Y564" i="1" s="1"/>
  <c r="Y548" i="1" a="1"/>
  <c r="Y548" i="1" s="1"/>
  <c r="Y532" i="1" a="1"/>
  <c r="Y532" i="1" s="1"/>
  <c r="Y520" i="1" a="1"/>
  <c r="Y520" i="1" s="1"/>
  <c r="Y500" i="1" a="1"/>
  <c r="Y500" i="1" s="1"/>
  <c r="Y484" i="1" a="1"/>
  <c r="Y484" i="1" s="1"/>
  <c r="Y468" i="1" a="1"/>
  <c r="Y468" i="1" s="1"/>
  <c r="Y452" i="1" a="1"/>
  <c r="Y452" i="1" s="1"/>
  <c r="Y448" i="1" a="1"/>
  <c r="Y448" i="1" s="1"/>
  <c r="Y432" i="1" a="1"/>
  <c r="Y432" i="1" s="1"/>
  <c r="Y416" i="1" a="1"/>
  <c r="Y416" i="1" s="1"/>
  <c r="Y396" i="1" a="1"/>
  <c r="Y396" i="1" s="1"/>
  <c r="Y380" i="1" a="1"/>
  <c r="Y380" i="1" s="1"/>
  <c r="Y368" i="1" a="1"/>
  <c r="Y368" i="1" s="1"/>
  <c r="Y352" i="1" a="1"/>
  <c r="Y352" i="1" s="1"/>
  <c r="Y332" i="1" a="1"/>
  <c r="Y332" i="1" s="1"/>
  <c r="Y316" i="1" a="1"/>
  <c r="Y316" i="1" s="1"/>
  <c r="Y300" i="1" a="1"/>
  <c r="Y300" i="1" s="1"/>
  <c r="Y284" i="1" a="1"/>
  <c r="Y284" i="1" s="1"/>
  <c r="Y272" i="1" a="1"/>
  <c r="Y272" i="1" s="1"/>
  <c r="Y252" i="1" a="1"/>
  <c r="Y252" i="1" s="1"/>
  <c r="Y236" i="1" a="1"/>
  <c r="Y236" i="1" s="1"/>
  <c r="Y224" i="1" a="1"/>
  <c r="Y224" i="1" s="1"/>
  <c r="Y208" i="1" a="1"/>
  <c r="Y208" i="1" s="1"/>
  <c r="Y188" i="1" a="1"/>
  <c r="Y188" i="1" s="1"/>
  <c r="Y168" i="1" a="1"/>
  <c r="Y168" i="1" s="1"/>
  <c r="Y156" i="1" a="1"/>
  <c r="Y156" i="1" s="1"/>
  <c r="Y144" i="1" a="1"/>
  <c r="Y144" i="1" s="1"/>
  <c r="Y128" i="1" a="1"/>
  <c r="Y128" i="1" s="1"/>
  <c r="Y108" i="1" a="1"/>
  <c r="Y108" i="1" s="1"/>
  <c r="Y96" i="1" a="1"/>
  <c r="Y96" i="1" s="1"/>
  <c r="Y80" i="1" a="1"/>
  <c r="Y80" i="1" s="1"/>
  <c r="Y60" i="1" a="1"/>
  <c r="Y60" i="1" s="1"/>
  <c r="Y44" i="1" a="1"/>
  <c r="Y44" i="1" s="1"/>
  <c r="Y20" i="1" a="1"/>
  <c r="Y20" i="1" s="1"/>
  <c r="Y8" i="1" a="1"/>
  <c r="Y8" i="1" s="1"/>
  <c r="Z642" i="1" a="1"/>
  <c r="Z642" i="1" s="1"/>
  <c r="AC642" i="1" s="1" a="1"/>
  <c r="AC642" i="1" s="1"/>
  <c r="Z630" i="1" a="1"/>
  <c r="Z630" i="1" s="1"/>
  <c r="AC630" i="1" s="1" a="1"/>
  <c r="AC630" i="1" s="1"/>
  <c r="Z614" i="1" a="1"/>
  <c r="Z614" i="1" s="1"/>
  <c r="AC614" i="1" s="1" a="1"/>
  <c r="AC614" i="1" s="1"/>
  <c r="Z594" i="1" a="1"/>
  <c r="Z594" i="1" s="1"/>
  <c r="AC594" i="1" s="1" a="1"/>
  <c r="AC594" i="1" s="1"/>
  <c r="Z578" i="1" a="1"/>
  <c r="Z578" i="1" s="1"/>
  <c r="AC578" i="1" s="1" a="1"/>
  <c r="AC578" i="1" s="1"/>
  <c r="Z562" i="1" a="1"/>
  <c r="Z562" i="1" s="1"/>
  <c r="AC562" i="1" s="1" a="1"/>
  <c r="AC562" i="1" s="1"/>
  <c r="Z546" i="1" a="1"/>
  <c r="Z546" i="1" s="1"/>
  <c r="AC546" i="1" s="1" a="1"/>
  <c r="AC546" i="1" s="1"/>
  <c r="Z534" i="1" a="1"/>
  <c r="Z534" i="1" s="1"/>
  <c r="AC534" i="1" s="1" a="1"/>
  <c r="AC534" i="1" s="1"/>
  <c r="Z514" i="1" a="1"/>
  <c r="Z514" i="1" s="1"/>
  <c r="AC514" i="1" s="1" a="1"/>
  <c r="AC514" i="1" s="1"/>
  <c r="Z502" i="1" a="1"/>
  <c r="Z502" i="1" s="1"/>
  <c r="AC502" i="1" s="1" a="1"/>
  <c r="AC502" i="1" s="1"/>
  <c r="Z486" i="1" a="1"/>
  <c r="Z486" i="1" s="1"/>
  <c r="AC486" i="1" s="1" a="1"/>
  <c r="AC486" i="1" s="1"/>
  <c r="Z470" i="1" a="1"/>
  <c r="Z470" i="1" s="1"/>
  <c r="AC470" i="1" s="1" a="1"/>
  <c r="AC470" i="1" s="1"/>
  <c r="Z450" i="1" a="1"/>
  <c r="Z450" i="1" s="1"/>
  <c r="AC450" i="1" s="1" a="1"/>
  <c r="AC450" i="1" s="1"/>
  <c r="Z438" i="1" a="1"/>
  <c r="Z438" i="1" s="1"/>
  <c r="AC438" i="1" s="1" a="1"/>
  <c r="AC438" i="1" s="1"/>
  <c r="Z418" i="1" a="1"/>
  <c r="Z418" i="1" s="1"/>
  <c r="AC418" i="1" s="1" a="1"/>
  <c r="AC418" i="1" s="1"/>
  <c r="Z402" i="1" a="1"/>
  <c r="Z402" i="1" s="1"/>
  <c r="AC402" i="1" s="1" a="1"/>
  <c r="AC402" i="1" s="1"/>
  <c r="Z386" i="1" a="1"/>
  <c r="Z386" i="1" s="1"/>
  <c r="AC386" i="1" s="1" a="1"/>
  <c r="AC386" i="1" s="1"/>
  <c r="Z370" i="1" a="1"/>
  <c r="Z370" i="1" s="1"/>
  <c r="AC370" i="1" s="1" a="1"/>
  <c r="AC370" i="1" s="1"/>
  <c r="Z354" i="1" a="1"/>
  <c r="Z354" i="1" s="1"/>
  <c r="AC354" i="1" s="1" a="1"/>
  <c r="AC354" i="1" s="1"/>
  <c r="Z338" i="1" a="1"/>
  <c r="Z338" i="1" s="1"/>
  <c r="AC338" i="1" s="1" a="1"/>
  <c r="AC338" i="1" s="1"/>
  <c r="Z322" i="1" a="1"/>
  <c r="Z322" i="1" s="1"/>
  <c r="AC322" i="1" s="1" a="1"/>
  <c r="AC322" i="1" s="1"/>
  <c r="Z310" i="1" a="1"/>
  <c r="Z310" i="1" s="1"/>
  <c r="AC310" i="1" s="1" a="1"/>
  <c r="AC310" i="1" s="1"/>
  <c r="Z290" i="1" a="1"/>
  <c r="Z290" i="1" s="1"/>
  <c r="AC290" i="1" s="1" a="1"/>
  <c r="AC290" i="1" s="1"/>
  <c r="Z278" i="1" a="1"/>
  <c r="Z278" i="1" s="1"/>
  <c r="AC278" i="1" s="1" a="1"/>
  <c r="AC278" i="1" s="1"/>
  <c r="Z262" i="1" a="1"/>
  <c r="Z262" i="1" s="1"/>
  <c r="AC262" i="1" s="1" a="1"/>
  <c r="AC262" i="1" s="1"/>
  <c r="Z246" i="1" a="1"/>
  <c r="Z246" i="1" s="1"/>
  <c r="AC246" i="1" s="1" a="1"/>
  <c r="AC246" i="1" s="1"/>
  <c r="Z230" i="1" a="1"/>
  <c r="Z230" i="1" s="1"/>
  <c r="AC230" i="1" s="1" a="1"/>
  <c r="AC230" i="1" s="1"/>
  <c r="Z214" i="1" a="1"/>
  <c r="Z214" i="1" s="1"/>
  <c r="AC214" i="1" s="1" a="1"/>
  <c r="AC214" i="1" s="1"/>
  <c r="Z198" i="1" a="1"/>
  <c r="Z198" i="1" s="1"/>
  <c r="AC198" i="1" s="1" a="1"/>
  <c r="AC198" i="1" s="1"/>
  <c r="Z178" i="1" a="1"/>
  <c r="Z178" i="1" s="1"/>
  <c r="AC178" i="1" s="1" a="1"/>
  <c r="AC178" i="1" s="1"/>
  <c r="Z162" i="1" a="1"/>
  <c r="Z162" i="1" s="1"/>
  <c r="AC162" i="1" s="1" a="1"/>
  <c r="AC162" i="1" s="1"/>
  <c r="Z142" i="1" a="1"/>
  <c r="Z142" i="1" s="1"/>
  <c r="AC142" i="1" s="1" a="1"/>
  <c r="AC142" i="1" s="1"/>
  <c r="Z130" i="1" a="1"/>
  <c r="Z130" i="1" s="1"/>
  <c r="AC130" i="1" s="1" a="1"/>
  <c r="AC130" i="1" s="1"/>
  <c r="Z114" i="1" a="1"/>
  <c r="Z114" i="1" s="1"/>
  <c r="AC114" i="1" s="1" a="1"/>
  <c r="AC114" i="1" s="1"/>
  <c r="Z90" i="1" a="1"/>
  <c r="Z90" i="1" s="1"/>
  <c r="AC90" i="1" s="1" a="1"/>
  <c r="AC90" i="1" s="1"/>
  <c r="Z78" i="1" a="1"/>
  <c r="Z78" i="1" s="1"/>
  <c r="AC78" i="1" s="1" a="1"/>
  <c r="AC78" i="1" s="1"/>
  <c r="Z62" i="1" a="1"/>
  <c r="Z62" i="1" s="1"/>
  <c r="AC62" i="1" s="1" a="1"/>
  <c r="AC62" i="1" s="1"/>
  <c r="Z42" i="1" a="1"/>
  <c r="Z42" i="1" s="1"/>
  <c r="AC42" i="1" s="1" a="1"/>
  <c r="AC42" i="1" s="1"/>
  <c r="Z26" i="1" a="1"/>
  <c r="Z26" i="1" s="1"/>
  <c r="AC26" i="1" s="1" a="1"/>
  <c r="AC26" i="1" s="1"/>
  <c r="Z10" i="1" a="1"/>
  <c r="Z10" i="1" s="1"/>
  <c r="AC10" i="1" s="1" a="1"/>
  <c r="AC10" i="1" s="1"/>
  <c r="Y656" i="1" a="1"/>
  <c r="Y656" i="1" s="1"/>
  <c r="Y636" i="1" a="1"/>
  <c r="Y636" i="1" s="1"/>
  <c r="Y620" i="1" a="1"/>
  <c r="Y620" i="1" s="1"/>
  <c r="Y604" i="1" a="1"/>
  <c r="Y604" i="1" s="1"/>
  <c r="Y588" i="1" a="1"/>
  <c r="Y588" i="1" s="1"/>
  <c r="Y572" i="1" a="1"/>
  <c r="Y572" i="1" s="1"/>
  <c r="Y556" i="1" a="1"/>
  <c r="Y556" i="1" s="1"/>
  <c r="Y540" i="1" a="1"/>
  <c r="Y540" i="1" s="1"/>
  <c r="Y528" i="1" a="1"/>
  <c r="Y528" i="1" s="1"/>
  <c r="Y504" i="1" a="1"/>
  <c r="Y504" i="1" s="1"/>
  <c r="Y492" i="1" a="1"/>
  <c r="Y492" i="1" s="1"/>
  <c r="Y476" i="1" a="1"/>
  <c r="Y476" i="1" s="1"/>
  <c r="Y456" i="1" a="1"/>
  <c r="Y456" i="1" s="1"/>
  <c r="Y440" i="1" a="1"/>
  <c r="Y440" i="1" s="1"/>
  <c r="Y424" i="1" a="1"/>
  <c r="Y424" i="1" s="1"/>
  <c r="Y408" i="1" a="1"/>
  <c r="Y408" i="1" s="1"/>
  <c r="Y392" i="1" a="1"/>
  <c r="Y392" i="1" s="1"/>
  <c r="Y376" i="1" a="1"/>
  <c r="Y376" i="1" s="1"/>
  <c r="Y356" i="1" a="1"/>
  <c r="Y356" i="1" s="1"/>
  <c r="Y344" i="1" a="1"/>
  <c r="Y344" i="1" s="1"/>
  <c r="Y324" i="1" a="1"/>
  <c r="Y324" i="1" s="1"/>
  <c r="Y312" i="1" a="1"/>
  <c r="Y312" i="1" s="1"/>
  <c r="Y296" i="1" a="1"/>
  <c r="Y296" i="1" s="1"/>
  <c r="Y276" i="1" a="1"/>
  <c r="Y276" i="1" s="1"/>
  <c r="Y260" i="1" a="1"/>
  <c r="Y260" i="1" s="1"/>
  <c r="Y248" i="1" a="1"/>
  <c r="Y248" i="1" s="1"/>
  <c r="Y228" i="1" a="1"/>
  <c r="Y228" i="1" s="1"/>
  <c r="Y216" i="1" a="1"/>
  <c r="Y216" i="1" s="1"/>
  <c r="Y200" i="1" a="1"/>
  <c r="Y200" i="1" s="1"/>
  <c r="Y184" i="1" a="1"/>
  <c r="Y184" i="1" s="1"/>
  <c r="Y176" i="1" a="1"/>
  <c r="Y176" i="1" s="1"/>
  <c r="Y148" i="1" a="1"/>
  <c r="Y148" i="1" s="1"/>
  <c r="Y136" i="1" a="1"/>
  <c r="Y136" i="1" s="1"/>
  <c r="Y116" i="1" a="1"/>
  <c r="Y116" i="1" s="1"/>
  <c r="Y104" i="1" a="1"/>
  <c r="Y104" i="1" s="1"/>
  <c r="Y88" i="1" a="1"/>
  <c r="Y88" i="1" s="1"/>
  <c r="Y72" i="1" a="1"/>
  <c r="Y72" i="1" s="1"/>
  <c r="Y52" i="1" a="1"/>
  <c r="Y52" i="1" s="1"/>
  <c r="Y48" i="1" a="1"/>
  <c r="Y48" i="1" s="1"/>
  <c r="Y28" i="1" a="1"/>
  <c r="Y28" i="1" s="1"/>
  <c r="Y16" i="1" a="1"/>
  <c r="Y16" i="1" s="1"/>
  <c r="Z661" i="1" a="1"/>
  <c r="Z661" i="1" s="1"/>
  <c r="AC661" i="1" s="1" a="1"/>
  <c r="AC661" i="1" s="1"/>
  <c r="Z649" i="1" a="1"/>
  <c r="Z649" i="1" s="1"/>
  <c r="AC649" i="1" s="1" a="1"/>
  <c r="AC649" i="1" s="1"/>
  <c r="Z641" i="1" a="1"/>
  <c r="Z641" i="1" s="1"/>
  <c r="AC641" i="1" s="1" a="1"/>
  <c r="AC641" i="1" s="1"/>
  <c r="Z633" i="1" a="1"/>
  <c r="Z633" i="1" s="1"/>
  <c r="AC633" i="1" s="1" a="1"/>
  <c r="AC633" i="1" s="1"/>
  <c r="Z625" i="1" a="1"/>
  <c r="Z625" i="1" s="1"/>
  <c r="AC625" i="1" s="1" a="1"/>
  <c r="AC625" i="1" s="1"/>
  <c r="Z617" i="1" a="1"/>
  <c r="Z617" i="1" s="1"/>
  <c r="AC617" i="1" s="1" a="1"/>
  <c r="AC617" i="1" s="1"/>
  <c r="Z609" i="1" a="1"/>
  <c r="Z609" i="1" s="1"/>
  <c r="AC609" i="1" s="1" a="1"/>
  <c r="AC609" i="1" s="1"/>
  <c r="Z605" i="1" a="1"/>
  <c r="Z605" i="1" s="1"/>
  <c r="AC605" i="1" s="1" a="1"/>
  <c r="AC605" i="1" s="1"/>
  <c r="Z597" i="1" a="1"/>
  <c r="Z597" i="1" s="1"/>
  <c r="AC597" i="1" s="1" a="1"/>
  <c r="AC597" i="1" s="1"/>
  <c r="Z589" i="1" a="1"/>
  <c r="Z589" i="1" s="1"/>
  <c r="AC589" i="1" s="1" a="1"/>
  <c r="AC589" i="1" s="1"/>
  <c r="Z581" i="1" a="1"/>
  <c r="Z581" i="1" s="1"/>
  <c r="AC581" i="1" s="1" a="1"/>
  <c r="AC581" i="1" s="1"/>
  <c r="Z573" i="1" a="1"/>
  <c r="Z573" i="1" s="1"/>
  <c r="AC573" i="1" s="1" a="1"/>
  <c r="AC573" i="1" s="1"/>
  <c r="Z565" i="1" a="1"/>
  <c r="Z565" i="1" s="1"/>
  <c r="AC565" i="1" s="1" a="1"/>
  <c r="AC565" i="1" s="1"/>
  <c r="Z557" i="1" a="1"/>
  <c r="Z557" i="1" s="1"/>
  <c r="AC557" i="1" s="1" a="1"/>
  <c r="AC557" i="1" s="1"/>
  <c r="Z549" i="1" a="1"/>
  <c r="Z549" i="1" s="1"/>
  <c r="AC549" i="1" s="1" a="1"/>
  <c r="AC549" i="1" s="1"/>
  <c r="Z541" i="1" a="1"/>
  <c r="Z541" i="1" s="1"/>
  <c r="AC541" i="1" s="1" a="1"/>
  <c r="AC541" i="1" s="1"/>
  <c r="Z533" i="1" a="1"/>
  <c r="Z533" i="1" s="1"/>
  <c r="AC533" i="1" s="1" a="1"/>
  <c r="AC533" i="1" s="1"/>
  <c r="Z521" i="1" a="1"/>
  <c r="Z521" i="1" s="1"/>
  <c r="AC521" i="1" s="1" a="1"/>
  <c r="AC521" i="1" s="1"/>
  <c r="Z513" i="1" a="1"/>
  <c r="Z513" i="1" s="1"/>
  <c r="AC513" i="1" s="1" a="1"/>
  <c r="AC513" i="1" s="1"/>
  <c r="Z505" i="1" a="1"/>
  <c r="Z505" i="1" s="1"/>
  <c r="AC505" i="1" s="1" a="1"/>
  <c r="AC505" i="1" s="1"/>
  <c r="Z497" i="1" a="1"/>
  <c r="Z497" i="1" s="1"/>
  <c r="AC497" i="1" s="1" a="1"/>
  <c r="AC497" i="1" s="1"/>
  <c r="Z489" i="1" a="1"/>
  <c r="Z489" i="1" s="1"/>
  <c r="AC489" i="1" s="1" a="1"/>
  <c r="AC489" i="1" s="1"/>
  <c r="Z481" i="1" a="1"/>
  <c r="Z481" i="1" s="1"/>
  <c r="AC481" i="1" s="1" a="1"/>
  <c r="AC481" i="1" s="1"/>
  <c r="Z473" i="1" a="1"/>
  <c r="Z473" i="1" s="1"/>
  <c r="AC473" i="1" s="1" a="1"/>
  <c r="AC473" i="1" s="1"/>
  <c r="Z465" i="1" a="1"/>
  <c r="Z465" i="1" s="1"/>
  <c r="AC465" i="1" s="1" a="1"/>
  <c r="AC465" i="1" s="1"/>
  <c r="Z457" i="1" a="1"/>
  <c r="Z457" i="1" s="1"/>
  <c r="AC457" i="1" s="1" a="1"/>
  <c r="AC457" i="1" s="1"/>
  <c r="Z449" i="1" a="1"/>
  <c r="Z449" i="1" s="1"/>
  <c r="AC449" i="1" s="1" a="1"/>
  <c r="AC449" i="1" s="1"/>
  <c r="Z445" i="1" a="1"/>
  <c r="Z445" i="1" s="1"/>
  <c r="AC445" i="1" s="1" a="1"/>
  <c r="AC445" i="1" s="1"/>
  <c r="Z433" i="1" a="1"/>
  <c r="Z433" i="1" s="1"/>
  <c r="AC433" i="1" s="1" a="1"/>
  <c r="AC433" i="1" s="1"/>
  <c r="Z425" i="1" a="1"/>
  <c r="Z425" i="1" s="1"/>
  <c r="AC425" i="1" s="1" a="1"/>
  <c r="AC425" i="1" s="1"/>
  <c r="Z417" i="1" a="1"/>
  <c r="Z417" i="1" s="1"/>
  <c r="AC417" i="1" s="1" a="1"/>
  <c r="AC417" i="1" s="1"/>
  <c r="Z409" i="1" a="1"/>
  <c r="Z409" i="1" s="1"/>
  <c r="AC409" i="1" s="1" a="1"/>
  <c r="AC409" i="1" s="1"/>
  <c r="Z401" i="1" a="1"/>
  <c r="Z401" i="1" s="1"/>
  <c r="AC401" i="1" s="1" a="1"/>
  <c r="AC401" i="1" s="1"/>
  <c r="Z393" i="1" a="1"/>
  <c r="Z393" i="1" s="1"/>
  <c r="AC393" i="1" s="1" a="1"/>
  <c r="AC393" i="1" s="1"/>
  <c r="Z385" i="1" a="1"/>
  <c r="Z385" i="1" s="1"/>
  <c r="AC385" i="1" s="1" a="1"/>
  <c r="AC385" i="1" s="1"/>
  <c r="Z377" i="1" a="1"/>
  <c r="Z377" i="1" s="1"/>
  <c r="AC377" i="1" s="1" a="1"/>
  <c r="AC377" i="1" s="1"/>
  <c r="Z369" i="1" a="1"/>
  <c r="Z369" i="1" s="1"/>
  <c r="AC369" i="1" s="1" a="1"/>
  <c r="AC369" i="1" s="1"/>
  <c r="Z361" i="1" a="1"/>
  <c r="Z361" i="1" s="1"/>
  <c r="AC361" i="1" s="1" a="1"/>
  <c r="AC361" i="1" s="1"/>
  <c r="Z353" i="1" a="1"/>
  <c r="Z353" i="1" s="1"/>
  <c r="AC353" i="1" s="1" a="1"/>
  <c r="AC353" i="1" s="1"/>
  <c r="Z345" i="1" a="1"/>
  <c r="Z345" i="1" s="1"/>
  <c r="AC345" i="1" s="1" a="1"/>
  <c r="AC345" i="1" s="1"/>
  <c r="Z337" i="1" a="1"/>
  <c r="Z337" i="1" s="1"/>
  <c r="AC337" i="1" s="1" a="1"/>
  <c r="AC337" i="1" s="1"/>
  <c r="Z329" i="1" a="1"/>
  <c r="Z329" i="1" s="1"/>
  <c r="AC329" i="1" s="1" a="1"/>
  <c r="AC329" i="1" s="1"/>
  <c r="Z321" i="1" a="1"/>
  <c r="Z321" i="1" s="1"/>
  <c r="AC321" i="1" s="1" a="1"/>
  <c r="AC321" i="1" s="1"/>
  <c r="Z313" i="1" a="1"/>
  <c r="Z313" i="1" s="1"/>
  <c r="AC313" i="1" s="1" a="1"/>
  <c r="AC313" i="1" s="1"/>
  <c r="Z305" i="1" a="1"/>
  <c r="Z305" i="1" s="1"/>
  <c r="AC305" i="1" s="1" a="1"/>
  <c r="AC305" i="1" s="1"/>
  <c r="Z297" i="1" a="1"/>
  <c r="Z297" i="1" s="1"/>
  <c r="AC297" i="1" s="1" a="1"/>
  <c r="AC297" i="1" s="1"/>
  <c r="Z289" i="1" a="1"/>
  <c r="Z289" i="1" s="1"/>
  <c r="AC289" i="1" s="1" a="1"/>
  <c r="AC289" i="1" s="1"/>
  <c r="Z281" i="1" a="1"/>
  <c r="Z281" i="1" s="1"/>
  <c r="AC281" i="1" s="1" a="1"/>
  <c r="AC281" i="1" s="1"/>
  <c r="Z273" i="1" a="1"/>
  <c r="Z273" i="1" s="1"/>
  <c r="AC273" i="1" s="1" a="1"/>
  <c r="AC273" i="1" s="1"/>
  <c r="Z265" i="1" a="1"/>
  <c r="Z265" i="1" s="1"/>
  <c r="AC265" i="1" s="1" a="1"/>
  <c r="AC265" i="1" s="1"/>
  <c r="Z257" i="1" a="1"/>
  <c r="Z257" i="1" s="1"/>
  <c r="AC257" i="1" s="1" a="1"/>
  <c r="AC257" i="1" s="1"/>
  <c r="Z253" i="1" a="1"/>
  <c r="Z253" i="1" s="1"/>
  <c r="AC253" i="1" s="1" a="1"/>
  <c r="AC253" i="1" s="1"/>
  <c r="Z245" i="1" a="1"/>
  <c r="Z245" i="1" s="1"/>
  <c r="AC245" i="1" s="1" a="1"/>
  <c r="AC245" i="1" s="1"/>
  <c r="Z233" i="1" a="1"/>
  <c r="Z233" i="1" s="1"/>
  <c r="AC233" i="1" s="1" a="1"/>
  <c r="AC233" i="1" s="1"/>
  <c r="Z225" i="1" a="1"/>
  <c r="Z225" i="1" s="1"/>
  <c r="AC225" i="1" s="1" a="1"/>
  <c r="AC225" i="1" s="1"/>
  <c r="Z217" i="1" a="1"/>
  <c r="Z217" i="1" s="1"/>
  <c r="AC217" i="1" s="1" a="1"/>
  <c r="AC217" i="1" s="1"/>
  <c r="Z209" i="1" a="1"/>
  <c r="Z209" i="1" s="1"/>
  <c r="AC209" i="1" s="1" a="1"/>
  <c r="AC209" i="1" s="1"/>
  <c r="Z205" i="1" a="1"/>
  <c r="Z205" i="1" s="1"/>
  <c r="AC205" i="1" s="1" a="1"/>
  <c r="AC205" i="1" s="1"/>
  <c r="Z197" i="1" a="1"/>
  <c r="Z197" i="1" s="1"/>
  <c r="AC197" i="1" s="1" a="1"/>
  <c r="AC197" i="1" s="1"/>
  <c r="Z185" i="1" a="1"/>
  <c r="Z185" i="1" s="1"/>
  <c r="AC185" i="1" s="1" a="1"/>
  <c r="AC185" i="1" s="1"/>
  <c r="Z181" i="1" a="1"/>
  <c r="Z181" i="1" s="1"/>
  <c r="AC181" i="1" s="1" a="1"/>
  <c r="AC181" i="1" s="1"/>
  <c r="Z173" i="1" a="1"/>
  <c r="Z173" i="1" s="1"/>
  <c r="AC173" i="1" s="1" a="1"/>
  <c r="AC173" i="1" s="1"/>
  <c r="Z165" i="1" a="1"/>
  <c r="Z165" i="1" s="1"/>
  <c r="AC165" i="1" s="1" a="1"/>
  <c r="AC165" i="1" s="1"/>
  <c r="Z157" i="1" a="1"/>
  <c r="Z157" i="1" s="1"/>
  <c r="AC157" i="1" s="1" a="1"/>
  <c r="AC157" i="1" s="1"/>
  <c r="Z149" i="1" a="1"/>
  <c r="Z149" i="1" s="1"/>
  <c r="AC149" i="1" s="1" a="1"/>
  <c r="AC149" i="1" s="1"/>
  <c r="Z141" i="1" a="1"/>
  <c r="Z141" i="1" s="1"/>
  <c r="AC141" i="1" s="1" a="1"/>
  <c r="AC141" i="1" s="1"/>
  <c r="Z133" i="1" a="1"/>
  <c r="Z133" i="1" s="1"/>
  <c r="AC133" i="1" s="1" a="1"/>
  <c r="AC133" i="1" s="1"/>
  <c r="Z125" i="1" a="1"/>
  <c r="Z125" i="1" s="1"/>
  <c r="AC125" i="1" s="1" a="1"/>
  <c r="AC125" i="1" s="1"/>
  <c r="Z117" i="1" a="1"/>
  <c r="Z117" i="1" s="1"/>
  <c r="AC117" i="1" s="1" a="1"/>
  <c r="AC117" i="1" s="1"/>
  <c r="Z109" i="1" a="1"/>
  <c r="Z109" i="1" s="1"/>
  <c r="AC109" i="1" s="1" a="1"/>
  <c r="AC109" i="1" s="1"/>
  <c r="Z101" i="1" a="1"/>
  <c r="Z101" i="1" s="1"/>
  <c r="AC101" i="1" s="1" a="1"/>
  <c r="AC101" i="1" s="1"/>
  <c r="Z93" i="1" a="1"/>
  <c r="Z93" i="1" s="1"/>
  <c r="AC93" i="1" s="1" a="1"/>
  <c r="AC93" i="1" s="1"/>
  <c r="Z81" i="1" a="1"/>
  <c r="Z81" i="1" s="1"/>
  <c r="AC81" i="1" s="1" a="1"/>
  <c r="AC81" i="1" s="1"/>
  <c r="Z77" i="1" a="1"/>
  <c r="Z77" i="1" s="1"/>
  <c r="AC77" i="1" s="1" a="1"/>
  <c r="AC77" i="1" s="1"/>
  <c r="Z69" i="1" a="1"/>
  <c r="Z69" i="1" s="1"/>
  <c r="AC69" i="1" s="1" a="1"/>
  <c r="AC69" i="1" s="1"/>
  <c r="Z61" i="1" a="1"/>
  <c r="Z61" i="1" s="1"/>
  <c r="AC61" i="1" s="1" a="1"/>
  <c r="AC61" i="1" s="1"/>
  <c r="Z53" i="1" a="1"/>
  <c r="Z53" i="1" s="1"/>
  <c r="AC53" i="1" s="1" a="1"/>
  <c r="AC53" i="1" s="1"/>
  <c r="Z45" i="1" a="1"/>
  <c r="Z45" i="1" s="1"/>
  <c r="AC45" i="1" s="1" a="1"/>
  <c r="AC45" i="1" s="1"/>
  <c r="Z37" i="1" a="1"/>
  <c r="Z37" i="1" s="1"/>
  <c r="AC37" i="1" s="1" a="1"/>
  <c r="AC37" i="1" s="1"/>
  <c r="Z29" i="1" a="1"/>
  <c r="Z29" i="1" s="1"/>
  <c r="AC29" i="1" s="1" a="1"/>
  <c r="AC29" i="1" s="1"/>
  <c r="Z21" i="1" a="1"/>
  <c r="Z21" i="1" s="1"/>
  <c r="AC21" i="1" s="1" a="1"/>
  <c r="AC21" i="1" s="1"/>
  <c r="Z13" i="1" a="1"/>
  <c r="Z13" i="1" s="1"/>
  <c r="AC13" i="1" s="1" a="1"/>
  <c r="AC13" i="1" s="1"/>
  <c r="Z5" i="1" a="1"/>
  <c r="Z5" i="1" s="1"/>
  <c r="AC5" i="1" s="1" a="1"/>
  <c r="AC5" i="1" s="1"/>
  <c r="Y667" i="1" a="1"/>
  <c r="Y667" i="1" s="1"/>
  <c r="Y655" i="1" a="1"/>
  <c r="Y655" i="1" s="1"/>
  <c r="Y647" i="1" a="1"/>
  <c r="Y647" i="1" s="1"/>
  <c r="Y635" i="1" a="1"/>
  <c r="Y635" i="1" s="1"/>
  <c r="Y631" i="1" a="1"/>
  <c r="Y631" i="1" s="1"/>
  <c r="Y623" i="1" a="1"/>
  <c r="Y623" i="1" s="1"/>
  <c r="Y615" i="1" a="1"/>
  <c r="Y615" i="1" s="1"/>
  <c r="Y603" i="1" a="1"/>
  <c r="Y603" i="1" s="1"/>
  <c r="Y595" i="1" a="1"/>
  <c r="Y595" i="1" s="1"/>
  <c r="Y587" i="1" a="1"/>
  <c r="Y587" i="1" s="1"/>
  <c r="Y579" i="1" a="1"/>
  <c r="Y579" i="1" s="1"/>
  <c r="Y571" i="1" a="1"/>
  <c r="Y571" i="1" s="1"/>
  <c r="Y563" i="1" a="1"/>
  <c r="Y563" i="1" s="1"/>
  <c r="Y559" i="1" a="1"/>
  <c r="Y559" i="1" s="1"/>
  <c r="Y551" i="1" a="1"/>
  <c r="Y551" i="1" s="1"/>
  <c r="Y543" i="1" a="1"/>
  <c r="Y543" i="1" s="1"/>
  <c r="Y535" i="1" a="1"/>
  <c r="Y535" i="1" s="1"/>
  <c r="Y523" i="1" a="1"/>
  <c r="Y523" i="1" s="1"/>
  <c r="Y515" i="1" a="1"/>
  <c r="Y515" i="1" s="1"/>
  <c r="Y507" i="1" a="1"/>
  <c r="Y507" i="1" s="1"/>
  <c r="Y499" i="1" a="1"/>
  <c r="Y499" i="1" s="1"/>
  <c r="Y495" i="1" a="1"/>
  <c r="Y495" i="1" s="1"/>
  <c r="Y487" i="1" a="1"/>
  <c r="Y487" i="1" s="1"/>
  <c r="Y479" i="1" a="1"/>
  <c r="Y479" i="1" s="1"/>
  <c r="Y471" i="1" a="1"/>
  <c r="Y471" i="1" s="1"/>
  <c r="Y463" i="1" a="1"/>
  <c r="Y463" i="1" s="1"/>
  <c r="Y455" i="1" a="1"/>
  <c r="Y455" i="1" s="1"/>
  <c r="Y447" i="1" a="1"/>
  <c r="Y447" i="1" s="1"/>
  <c r="Y439" i="1" a="1"/>
  <c r="Y439" i="1" s="1"/>
  <c r="Y431" i="1" a="1"/>
  <c r="Y431" i="1" s="1"/>
  <c r="Y423" i="1" a="1"/>
  <c r="Y423" i="1" s="1"/>
  <c r="Y415" i="1" a="1"/>
  <c r="Y415" i="1" s="1"/>
  <c r="Y407" i="1" a="1"/>
  <c r="Y407" i="1" s="1"/>
  <c r="Y399" i="1" a="1"/>
  <c r="Y399" i="1" s="1"/>
  <c r="Y391" i="1" a="1"/>
  <c r="Y391" i="1" s="1"/>
  <c r="Y379" i="1" a="1"/>
  <c r="Y379" i="1" s="1"/>
  <c r="Y371" i="1" a="1"/>
  <c r="Y371" i="1" s="1"/>
  <c r="Y367" i="1" a="1"/>
  <c r="Y367" i="1" s="1"/>
  <c r="Y355" i="1" a="1"/>
  <c r="Y355" i="1" s="1"/>
  <c r="Y347" i="1" a="1"/>
  <c r="Y347" i="1" s="1"/>
  <c r="Y343" i="1" a="1"/>
  <c r="Y343" i="1" s="1"/>
  <c r="Y335" i="1" a="1"/>
  <c r="Y335" i="1" s="1"/>
  <c r="Y323" i="1" a="1"/>
  <c r="Y323" i="1" s="1"/>
  <c r="Y315" i="1" a="1"/>
  <c r="Y315" i="1" s="1"/>
  <c r="Y311" i="1" a="1"/>
  <c r="Y311" i="1" s="1"/>
  <c r="Y303" i="1" a="1"/>
  <c r="Y303" i="1" s="1"/>
  <c r="Y295" i="1" a="1"/>
  <c r="Y295" i="1" s="1"/>
  <c r="Y287" i="1" a="1"/>
  <c r="Y287" i="1" s="1"/>
  <c r="Y275" i="1" a="1"/>
  <c r="Y275" i="1" s="1"/>
  <c r="Y267" i="1" a="1"/>
  <c r="Y267" i="1" s="1"/>
  <c r="Y259" i="1" a="1"/>
  <c r="Y259" i="1" s="1"/>
  <c r="Y251" i="1" a="1"/>
  <c r="Y251" i="1" s="1"/>
  <c r="Y243" i="1" a="1"/>
  <c r="Y243" i="1" s="1"/>
  <c r="Y235" i="1" a="1"/>
  <c r="Y235" i="1" s="1"/>
  <c r="Y227" i="1" a="1"/>
  <c r="Y227" i="1" s="1"/>
  <c r="Y219" i="1" a="1"/>
  <c r="Y219" i="1" s="1"/>
  <c r="Y215" i="1" a="1"/>
  <c r="Y215" i="1" s="1"/>
  <c r="Y207" i="1" a="1"/>
  <c r="Y207" i="1" s="1"/>
  <c r="Y199" i="1" a="1"/>
  <c r="Y199" i="1" s="1"/>
  <c r="Y187" i="1" a="1"/>
  <c r="Y187" i="1" s="1"/>
  <c r="Y179" i="1" a="1"/>
  <c r="Y179" i="1" s="1"/>
  <c r="Y171" i="1" a="1"/>
  <c r="Y171" i="1" s="1"/>
  <c r="Y163" i="1" a="1"/>
  <c r="Y163" i="1" s="1"/>
  <c r="Y155" i="1" a="1"/>
  <c r="Y155" i="1" s="1"/>
  <c r="Y147" i="1" a="1"/>
  <c r="Y147" i="1" s="1"/>
  <c r="Y139" i="1" a="1"/>
  <c r="Y139" i="1" s="1"/>
  <c r="Y131" i="1" a="1"/>
  <c r="Y131" i="1" s="1"/>
  <c r="Y123" i="1" a="1"/>
  <c r="Y123" i="1" s="1"/>
  <c r="Y115" i="1" a="1"/>
  <c r="Y115" i="1" s="1"/>
  <c r="Y107" i="1" a="1"/>
  <c r="Y107" i="1" s="1"/>
  <c r="Y99" i="1" a="1"/>
  <c r="Y99" i="1" s="1"/>
  <c r="Y91" i="1" a="1"/>
  <c r="Y91" i="1" s="1"/>
  <c r="Y83" i="1" a="1"/>
  <c r="Y83" i="1" s="1"/>
  <c r="Y75" i="1" a="1"/>
  <c r="Y75" i="1" s="1"/>
  <c r="Y67" i="1" a="1"/>
  <c r="Y67" i="1" s="1"/>
  <c r="Y59" i="1" a="1"/>
  <c r="Y59" i="1" s="1"/>
  <c r="Y51" i="1" a="1"/>
  <c r="Y51" i="1" s="1"/>
  <c r="Y43" i="1" a="1"/>
  <c r="Y43" i="1" s="1"/>
  <c r="Y35" i="1" a="1"/>
  <c r="Y35" i="1" s="1"/>
  <c r="Y27" i="1" a="1"/>
  <c r="Y27" i="1" s="1"/>
  <c r="Y19" i="1" a="1"/>
  <c r="Y19" i="1" s="1"/>
  <c r="Y11" i="1" a="1"/>
  <c r="Y11" i="1" s="1"/>
  <c r="Y3" i="1" a="1"/>
  <c r="Y3" i="1" s="1"/>
  <c r="Z668" i="1" a="1"/>
  <c r="Z668" i="1" s="1"/>
  <c r="AC668" i="1" s="1" a="1"/>
  <c r="AC668" i="1" s="1"/>
  <c r="Z664" i="1" a="1"/>
  <c r="Z664" i="1" s="1"/>
  <c r="AC664" i="1" s="1" a="1"/>
  <c r="AC664" i="1" s="1"/>
  <c r="Z660" i="1" a="1"/>
  <c r="Z660" i="1" s="1"/>
  <c r="AC660" i="1" s="1" a="1"/>
  <c r="AC660" i="1" s="1"/>
  <c r="Z656" i="1" a="1"/>
  <c r="Z656" i="1" s="1"/>
  <c r="AC656" i="1" s="1" a="1"/>
  <c r="AC656" i="1" s="1"/>
  <c r="Z652" i="1" a="1"/>
  <c r="Z652" i="1" s="1"/>
  <c r="AC652" i="1" s="1" a="1"/>
  <c r="AC652" i="1" s="1"/>
  <c r="Z648" i="1" a="1"/>
  <c r="Z648" i="1" s="1"/>
  <c r="AC648" i="1" s="1" a="1"/>
  <c r="AC648" i="1" s="1"/>
  <c r="Z644" i="1" a="1"/>
  <c r="Z644" i="1" s="1"/>
  <c r="AC644" i="1" s="1" a="1"/>
  <c r="AC644" i="1" s="1"/>
  <c r="Z640" i="1" a="1"/>
  <c r="Z640" i="1" s="1"/>
  <c r="AC640" i="1" s="1" a="1"/>
  <c r="AC640" i="1" s="1"/>
  <c r="Z636" i="1" a="1"/>
  <c r="Z636" i="1" s="1"/>
  <c r="AC636" i="1" s="1" a="1"/>
  <c r="AC636" i="1" s="1"/>
  <c r="Z632" i="1" a="1"/>
  <c r="Z632" i="1" s="1"/>
  <c r="AC632" i="1" s="1" a="1"/>
  <c r="AC632" i="1" s="1"/>
  <c r="Z628" i="1" a="1"/>
  <c r="Z628" i="1" s="1"/>
  <c r="AC628" i="1" s="1" a="1"/>
  <c r="AC628" i="1" s="1"/>
  <c r="Z624" i="1" a="1"/>
  <c r="Z624" i="1" s="1"/>
  <c r="AC624" i="1" s="1" a="1"/>
  <c r="AC624" i="1" s="1"/>
  <c r="Z620" i="1" a="1"/>
  <c r="Z620" i="1" s="1"/>
  <c r="AC620" i="1" s="1" a="1"/>
  <c r="AC620" i="1" s="1"/>
  <c r="Z616" i="1" a="1"/>
  <c r="Z616" i="1" s="1"/>
  <c r="AC616" i="1" s="1" a="1"/>
  <c r="AC616" i="1" s="1"/>
  <c r="Z612" i="1" a="1"/>
  <c r="Z612" i="1" s="1"/>
  <c r="AC612" i="1" s="1" a="1"/>
  <c r="AC612" i="1" s="1"/>
  <c r="Z608" i="1" a="1"/>
  <c r="Z608" i="1" s="1"/>
  <c r="AC608" i="1" s="1" a="1"/>
  <c r="AC608" i="1" s="1"/>
  <c r="Z604" i="1" a="1"/>
  <c r="Z604" i="1" s="1"/>
  <c r="AC604" i="1" s="1" a="1"/>
  <c r="AC604" i="1" s="1"/>
  <c r="Z600" i="1" a="1"/>
  <c r="Z600" i="1" s="1"/>
  <c r="AC600" i="1" s="1" a="1"/>
  <c r="AC600" i="1" s="1"/>
  <c r="Z596" i="1" a="1"/>
  <c r="Z596" i="1" s="1"/>
  <c r="AC596" i="1" s="1" a="1"/>
  <c r="AC596" i="1" s="1"/>
  <c r="Z592" i="1" a="1"/>
  <c r="Z592" i="1" s="1"/>
  <c r="AC592" i="1" s="1" a="1"/>
  <c r="AC592" i="1" s="1"/>
  <c r="Z588" i="1" a="1"/>
  <c r="Z588" i="1" s="1"/>
  <c r="AC588" i="1" s="1" a="1"/>
  <c r="AC588" i="1" s="1"/>
  <c r="Z584" i="1" a="1"/>
  <c r="Z584" i="1" s="1"/>
  <c r="AC584" i="1" s="1" a="1"/>
  <c r="AC584" i="1" s="1"/>
  <c r="Z580" i="1" a="1"/>
  <c r="Z580" i="1" s="1"/>
  <c r="AC580" i="1" s="1" a="1"/>
  <c r="AC580" i="1" s="1"/>
  <c r="Z576" i="1" a="1"/>
  <c r="Z576" i="1" s="1"/>
  <c r="AC576" i="1" s="1" a="1"/>
  <c r="AC576" i="1" s="1"/>
  <c r="Z572" i="1" a="1"/>
  <c r="Z572" i="1" s="1"/>
  <c r="AC572" i="1" s="1" a="1"/>
  <c r="AC572" i="1" s="1"/>
  <c r="Z568" i="1" a="1"/>
  <c r="Z568" i="1" s="1"/>
  <c r="AC568" i="1" s="1" a="1"/>
  <c r="AC568" i="1" s="1"/>
  <c r="Z564" i="1" a="1"/>
  <c r="Z564" i="1" s="1"/>
  <c r="AC564" i="1" s="1" a="1"/>
  <c r="AC564" i="1" s="1"/>
  <c r="Z560" i="1" a="1"/>
  <c r="Z560" i="1" s="1"/>
  <c r="AC560" i="1" s="1" a="1"/>
  <c r="AC560" i="1" s="1"/>
  <c r="Z556" i="1" a="1"/>
  <c r="Z556" i="1" s="1"/>
  <c r="AC556" i="1" s="1" a="1"/>
  <c r="AC556" i="1" s="1"/>
  <c r="Z552" i="1" a="1"/>
  <c r="Z552" i="1" s="1"/>
  <c r="AC552" i="1" s="1" a="1"/>
  <c r="AC552" i="1" s="1"/>
  <c r="Z548" i="1" a="1"/>
  <c r="Z548" i="1" s="1"/>
  <c r="AC548" i="1" s="1" a="1"/>
  <c r="AC548" i="1" s="1"/>
  <c r="Z544" i="1" a="1"/>
  <c r="Z544" i="1" s="1"/>
  <c r="AC544" i="1" s="1" a="1"/>
  <c r="AC544" i="1" s="1"/>
  <c r="Z540" i="1" a="1"/>
  <c r="Z540" i="1" s="1"/>
  <c r="AC540" i="1" s="1" a="1"/>
  <c r="AC540" i="1" s="1"/>
  <c r="Z536" i="1" a="1"/>
  <c r="Z536" i="1" s="1"/>
  <c r="AC536" i="1" s="1" a="1"/>
  <c r="AC536" i="1" s="1"/>
  <c r="Z532" i="1" a="1"/>
  <c r="Z532" i="1" s="1"/>
  <c r="AC532" i="1" s="1" a="1"/>
  <c r="AC532" i="1" s="1"/>
  <c r="Z528" i="1" a="1"/>
  <c r="Z528" i="1" s="1"/>
  <c r="AC528" i="1" s="1" a="1"/>
  <c r="AC528" i="1" s="1"/>
  <c r="Z524" i="1" a="1"/>
  <c r="Z524" i="1" s="1"/>
  <c r="AC524" i="1" s="1" a="1"/>
  <c r="AC524" i="1" s="1"/>
  <c r="Z520" i="1" a="1"/>
  <c r="Z520" i="1" s="1"/>
  <c r="AC520" i="1" s="1" a="1"/>
  <c r="AC520" i="1" s="1"/>
  <c r="Z516" i="1" a="1"/>
  <c r="Z516" i="1" s="1"/>
  <c r="AC516" i="1" s="1" a="1"/>
  <c r="AC516" i="1" s="1"/>
  <c r="Z512" i="1" a="1"/>
  <c r="Z512" i="1" s="1"/>
  <c r="AC512" i="1" s="1" a="1"/>
  <c r="AC512" i="1" s="1"/>
  <c r="Z508" i="1" a="1"/>
  <c r="Z508" i="1" s="1"/>
  <c r="AC508" i="1" s="1" a="1"/>
  <c r="AC508" i="1" s="1"/>
  <c r="Z504" i="1" a="1"/>
  <c r="Z504" i="1" s="1"/>
  <c r="AC504" i="1" s="1" a="1"/>
  <c r="AC504" i="1" s="1"/>
  <c r="Z500" i="1" a="1"/>
  <c r="Z500" i="1" s="1"/>
  <c r="AC500" i="1" s="1" a="1"/>
  <c r="AC500" i="1" s="1"/>
  <c r="Z496" i="1" a="1"/>
  <c r="Z496" i="1" s="1"/>
  <c r="AC496" i="1" s="1" a="1"/>
  <c r="AC496" i="1" s="1"/>
  <c r="Z654" i="1" a="1"/>
  <c r="Z654" i="1" s="1"/>
  <c r="AC654" i="1" s="1" a="1"/>
  <c r="AC654" i="1" s="1"/>
  <c r="Z638" i="1" a="1"/>
  <c r="Z638" i="1" s="1"/>
  <c r="AC638" i="1" s="1" a="1"/>
  <c r="AC638" i="1" s="1"/>
  <c r="Z618" i="1" a="1"/>
  <c r="Z618" i="1" s="1"/>
  <c r="AC618" i="1" s="1" a="1"/>
  <c r="AC618" i="1" s="1"/>
  <c r="Z602" i="1" a="1"/>
  <c r="Z602" i="1" s="1"/>
  <c r="AC602" i="1" s="1" a="1"/>
  <c r="AC602" i="1" s="1"/>
  <c r="Z590" i="1" a="1"/>
  <c r="Z590" i="1" s="1"/>
  <c r="AC590" i="1" s="1" a="1"/>
  <c r="AC590" i="1" s="1"/>
  <c r="Z570" i="1" a="1"/>
  <c r="Z570" i="1" s="1"/>
  <c r="AC570" i="1" s="1" a="1"/>
  <c r="AC570" i="1" s="1"/>
  <c r="Z558" i="1" a="1"/>
  <c r="Z558" i="1" s="1"/>
  <c r="AC558" i="1" s="1" a="1"/>
  <c r="AC558" i="1" s="1"/>
  <c r="Z538" i="1" a="1"/>
  <c r="Z538" i="1" s="1"/>
  <c r="AC538" i="1" s="1" a="1"/>
  <c r="AC538" i="1" s="1"/>
  <c r="Z522" i="1" a="1"/>
  <c r="Z522" i="1" s="1"/>
  <c r="AC522" i="1" s="1" a="1"/>
  <c r="AC522" i="1" s="1"/>
  <c r="Z506" i="1" a="1"/>
  <c r="Z506" i="1" s="1"/>
  <c r="AC506" i="1" s="1" a="1"/>
  <c r="AC506" i="1" s="1"/>
  <c r="Z490" i="1" a="1"/>
  <c r="Z490" i="1" s="1"/>
  <c r="AC490" i="1" s="1" a="1"/>
  <c r="AC490" i="1" s="1"/>
  <c r="Z478" i="1" a="1"/>
  <c r="Z478" i="1" s="1"/>
  <c r="AC478" i="1" s="1" a="1"/>
  <c r="AC478" i="1" s="1"/>
  <c r="Z462" i="1" a="1"/>
  <c r="Z462" i="1" s="1"/>
  <c r="AC462" i="1" s="1" a="1"/>
  <c r="AC462" i="1" s="1"/>
  <c r="Z446" i="1" a="1"/>
  <c r="Z446" i="1" s="1"/>
  <c r="AC446" i="1" s="1" a="1"/>
  <c r="AC446" i="1" s="1"/>
  <c r="Z430" i="1" a="1"/>
  <c r="Z430" i="1" s="1"/>
  <c r="AC430" i="1" s="1" a="1"/>
  <c r="AC430" i="1" s="1"/>
  <c r="Z414" i="1" a="1"/>
  <c r="Z414" i="1" s="1"/>
  <c r="AC414" i="1" s="1" a="1"/>
  <c r="AC414" i="1" s="1"/>
  <c r="Z394" i="1" a="1"/>
  <c r="Z394" i="1" s="1"/>
  <c r="AC394" i="1" s="1" a="1"/>
  <c r="AC394" i="1" s="1"/>
  <c r="Z378" i="1" a="1"/>
  <c r="Z378" i="1" s="1"/>
  <c r="AC378" i="1" s="1" a="1"/>
  <c r="AC378" i="1" s="1"/>
  <c r="Z362" i="1" a="1"/>
  <c r="Z362" i="1" s="1"/>
  <c r="AC362" i="1" s="1" a="1"/>
  <c r="AC362" i="1" s="1"/>
  <c r="Z350" i="1" a="1"/>
  <c r="Z350" i="1" s="1"/>
  <c r="AC350" i="1" s="1" a="1"/>
  <c r="AC350" i="1" s="1"/>
  <c r="Z330" i="1" a="1"/>
  <c r="Z330" i="1" s="1"/>
  <c r="AC330" i="1" s="1" a="1"/>
  <c r="AC330" i="1" s="1"/>
  <c r="Z314" i="1" a="1"/>
  <c r="Z314" i="1" s="1"/>
  <c r="AC314" i="1" s="1" a="1"/>
  <c r="AC314" i="1" s="1"/>
  <c r="Z306" i="1" a="1"/>
  <c r="Z306" i="1" s="1"/>
  <c r="AC306" i="1" s="1" a="1"/>
  <c r="AC306" i="1" s="1"/>
  <c r="Z282" i="1" a="1"/>
  <c r="Z282" i="1" s="1"/>
  <c r="AC282" i="1" s="1" a="1"/>
  <c r="AC282" i="1" s="1"/>
  <c r="Z270" i="1" a="1"/>
  <c r="Z270" i="1" s="1"/>
  <c r="AC270" i="1" s="1" a="1"/>
  <c r="AC270" i="1" s="1"/>
  <c r="Z250" i="1" a="1"/>
  <c r="Z250" i="1" s="1"/>
  <c r="AC250" i="1" s="1" a="1"/>
  <c r="AC250" i="1" s="1"/>
  <c r="Z234" i="1" a="1"/>
  <c r="Z234" i="1" s="1"/>
  <c r="AC234" i="1" s="1" a="1"/>
  <c r="AC234" i="1" s="1"/>
  <c r="Z218" i="1" a="1"/>
  <c r="Z218" i="1" s="1"/>
  <c r="AC218" i="1" s="1" a="1"/>
  <c r="AC218" i="1" s="1"/>
  <c r="Z206" i="1" a="1"/>
  <c r="Z206" i="1" s="1"/>
  <c r="AC206" i="1" s="1" a="1"/>
  <c r="AC206" i="1" s="1"/>
  <c r="Z186" i="1" a="1"/>
  <c r="Z186" i="1" s="1"/>
  <c r="AC186" i="1" s="1" a="1"/>
  <c r="AC186" i="1" s="1"/>
  <c r="Z170" i="1" a="1"/>
  <c r="Z170" i="1" s="1"/>
  <c r="AC170" i="1" s="1" a="1"/>
  <c r="AC170" i="1" s="1"/>
  <c r="Z154" i="1" a="1"/>
  <c r="Z154" i="1" s="1"/>
  <c r="AC154" i="1" s="1" a="1"/>
  <c r="AC154" i="1" s="1"/>
  <c r="Z138" i="1" a="1"/>
  <c r="Z138" i="1" s="1"/>
  <c r="AC138" i="1" s="1" a="1"/>
  <c r="AC138" i="1" s="1"/>
  <c r="Z122" i="1" a="1"/>
  <c r="Z122" i="1" s="1"/>
  <c r="AC122" i="1" s="1" a="1"/>
  <c r="AC122" i="1" s="1"/>
  <c r="Z106" i="1" a="1"/>
  <c r="Z106" i="1" s="1"/>
  <c r="AC106" i="1" s="1" a="1"/>
  <c r="AC106" i="1" s="1"/>
  <c r="Z98" i="1" a="1"/>
  <c r="Z98" i="1" s="1"/>
  <c r="AC98" i="1" s="1" a="1"/>
  <c r="AC98" i="1" s="1"/>
  <c r="Z82" i="1" a="1"/>
  <c r="Z82" i="1" s="1"/>
  <c r="AC82" i="1" s="1" a="1"/>
  <c r="AC82" i="1" s="1"/>
  <c r="Z66" i="1" a="1"/>
  <c r="Z66" i="1" s="1"/>
  <c r="AC66" i="1" s="1" a="1"/>
  <c r="AC66" i="1" s="1"/>
  <c r="Z54" i="1" a="1"/>
  <c r="Z54" i="1" s="1"/>
  <c r="AC54" i="1" s="1" a="1"/>
  <c r="AC54" i="1" s="1"/>
  <c r="Z38" i="1" a="1"/>
  <c r="Z38" i="1" s="1"/>
  <c r="AC38" i="1" s="1" a="1"/>
  <c r="AC38" i="1" s="1"/>
  <c r="Z18" i="1" a="1"/>
  <c r="Z18" i="1" s="1"/>
  <c r="AC18" i="1" s="1" a="1"/>
  <c r="AC18" i="1" s="1"/>
  <c r="Z6" i="1" a="1"/>
  <c r="Z6" i="1" s="1"/>
  <c r="AC6" i="1" s="1" a="1"/>
  <c r="AC6" i="1" s="1"/>
  <c r="Y652" i="1" a="1"/>
  <c r="Y652" i="1" s="1"/>
  <c r="Y628" i="1" a="1"/>
  <c r="Y628" i="1" s="1"/>
  <c r="Y616" i="1" a="1"/>
  <c r="Y616" i="1" s="1"/>
  <c r="Y600" i="1" a="1"/>
  <c r="Y600" i="1" s="1"/>
  <c r="Y584" i="1" a="1"/>
  <c r="Y584" i="1" s="1"/>
  <c r="Y568" i="1" a="1"/>
  <c r="Y568" i="1" s="1"/>
  <c r="Y552" i="1" a="1"/>
  <c r="Y552" i="1" s="1"/>
  <c r="Y536" i="1" a="1"/>
  <c r="Y536" i="1" s="1"/>
  <c r="Y516" i="1" a="1"/>
  <c r="Y516" i="1" s="1"/>
  <c r="Y508" i="1" a="1"/>
  <c r="Y508" i="1" s="1"/>
  <c r="Y488" i="1" a="1"/>
  <c r="Y488" i="1" s="1"/>
  <c r="Y472" i="1" a="1"/>
  <c r="Y472" i="1" s="1"/>
  <c r="Y460" i="1" a="1"/>
  <c r="Y460" i="1" s="1"/>
  <c r="Y444" i="1" a="1"/>
  <c r="Y444" i="1" s="1"/>
  <c r="Y428" i="1" a="1"/>
  <c r="Y428" i="1" s="1"/>
  <c r="Y412" i="1" a="1"/>
  <c r="Y412" i="1" s="1"/>
  <c r="Y400" i="1" a="1"/>
  <c r="Y400" i="1" s="1"/>
  <c r="Y384" i="1" a="1"/>
  <c r="Y384" i="1" s="1"/>
  <c r="Y364" i="1" a="1"/>
  <c r="Y364" i="1" s="1"/>
  <c r="Y348" i="1" a="1"/>
  <c r="Y348" i="1" s="1"/>
  <c r="Y336" i="1" a="1"/>
  <c r="Y336" i="1" s="1"/>
  <c r="Y320" i="1" a="1"/>
  <c r="Y320" i="1" s="1"/>
  <c r="Y304" i="1" a="1"/>
  <c r="Y304" i="1" s="1"/>
  <c r="Y288" i="1" a="1"/>
  <c r="Y288" i="1" s="1"/>
  <c r="Y268" i="1" a="1"/>
  <c r="Y268" i="1" s="1"/>
  <c r="Y256" i="1" a="1"/>
  <c r="Y256" i="1" s="1"/>
  <c r="Y240" i="1" a="1"/>
  <c r="Y240" i="1" s="1"/>
  <c r="Y220" i="1" a="1"/>
  <c r="Y220" i="1" s="1"/>
  <c r="Y204" i="1" a="1"/>
  <c r="Y204" i="1" s="1"/>
  <c r="Y192" i="1" a="1"/>
  <c r="Y192" i="1" s="1"/>
  <c r="Y172" i="1" a="1"/>
  <c r="Y172" i="1" s="1"/>
  <c r="Y160" i="1" a="1"/>
  <c r="Y160" i="1" s="1"/>
  <c r="Y140" i="1" a="1"/>
  <c r="Y140" i="1" s="1"/>
  <c r="Y124" i="1" a="1"/>
  <c r="Y124" i="1" s="1"/>
  <c r="Y112" i="1" a="1"/>
  <c r="Y112" i="1" s="1"/>
  <c r="Y92" i="1" a="1"/>
  <c r="Y92" i="1" s="1"/>
  <c r="Y76" i="1" a="1"/>
  <c r="Y76" i="1" s="1"/>
  <c r="Y64" i="1" a="1"/>
  <c r="Y64" i="1" s="1"/>
  <c r="Y40" i="1" a="1"/>
  <c r="Y40" i="1" s="1"/>
  <c r="Y24" i="1" a="1"/>
  <c r="Y24" i="1" s="1"/>
  <c r="Y12" i="1" a="1"/>
  <c r="Y12" i="1" s="1"/>
  <c r="Z665" i="1" a="1"/>
  <c r="Z665" i="1" s="1"/>
  <c r="AC665" i="1" s="1" a="1"/>
  <c r="AC665" i="1" s="1"/>
  <c r="Z657" i="1" a="1"/>
  <c r="Z657" i="1" s="1"/>
  <c r="AC657" i="1" s="1" a="1"/>
  <c r="AC657" i="1" s="1"/>
  <c r="Z653" i="1" a="1"/>
  <c r="Z653" i="1" s="1"/>
  <c r="AC653" i="1" s="1" a="1"/>
  <c r="AC653" i="1" s="1"/>
  <c r="Z645" i="1" a="1"/>
  <c r="Z645" i="1" s="1"/>
  <c r="AC645" i="1" s="1" a="1"/>
  <c r="AC645" i="1" s="1"/>
  <c r="Z637" i="1" a="1"/>
  <c r="Z637" i="1" s="1"/>
  <c r="AC637" i="1" s="1" a="1"/>
  <c r="AC637" i="1" s="1"/>
  <c r="Z629" i="1" a="1"/>
  <c r="Z629" i="1" s="1"/>
  <c r="AC629" i="1" s="1" a="1"/>
  <c r="AC629" i="1" s="1"/>
  <c r="Z621" i="1" a="1"/>
  <c r="Z621" i="1" s="1"/>
  <c r="AC621" i="1" s="1" a="1"/>
  <c r="AC621" i="1" s="1"/>
  <c r="Z613" i="1" a="1"/>
  <c r="Z613" i="1" s="1"/>
  <c r="AC613" i="1" s="1" a="1"/>
  <c r="AC613" i="1" s="1"/>
  <c r="Z601" i="1" a="1"/>
  <c r="Z601" i="1" s="1"/>
  <c r="AC601" i="1" s="1" a="1"/>
  <c r="AC601" i="1" s="1"/>
  <c r="Z593" i="1" a="1"/>
  <c r="Z593" i="1" s="1"/>
  <c r="AC593" i="1" s="1" a="1"/>
  <c r="AC593" i="1" s="1"/>
  <c r="Z585" i="1" a="1"/>
  <c r="Z585" i="1" s="1"/>
  <c r="AC585" i="1" s="1" a="1"/>
  <c r="AC585" i="1" s="1"/>
  <c r="Z577" i="1" a="1"/>
  <c r="Z577" i="1" s="1"/>
  <c r="AC577" i="1" s="1" a="1"/>
  <c r="AC577" i="1" s="1"/>
  <c r="Z569" i="1" a="1"/>
  <c r="Z569" i="1" s="1"/>
  <c r="AC569" i="1" s="1" a="1"/>
  <c r="AC569" i="1" s="1"/>
  <c r="Z561" i="1" a="1"/>
  <c r="Z561" i="1" s="1"/>
  <c r="AC561" i="1" s="1" a="1"/>
  <c r="AC561" i="1" s="1"/>
  <c r="Z553" i="1" a="1"/>
  <c r="Z553" i="1" s="1"/>
  <c r="AC553" i="1" s="1" a="1"/>
  <c r="AC553" i="1" s="1"/>
  <c r="Z545" i="1" a="1"/>
  <c r="Z545" i="1" s="1"/>
  <c r="AC545" i="1" s="1" a="1"/>
  <c r="AC545" i="1" s="1"/>
  <c r="Z537" i="1" a="1"/>
  <c r="Z537" i="1" s="1"/>
  <c r="AC537" i="1" s="1" a="1"/>
  <c r="AC537" i="1" s="1"/>
  <c r="Z529" i="1" a="1"/>
  <c r="Z529" i="1" s="1"/>
  <c r="AC529" i="1" s="1" a="1"/>
  <c r="AC529" i="1" s="1"/>
  <c r="Z525" i="1" a="1"/>
  <c r="Z525" i="1" s="1"/>
  <c r="AC525" i="1" s="1" a="1"/>
  <c r="AC525" i="1" s="1"/>
  <c r="Z517" i="1" a="1"/>
  <c r="Z517" i="1" s="1"/>
  <c r="AC517" i="1" s="1" a="1"/>
  <c r="AC517" i="1" s="1"/>
  <c r="Z509" i="1" a="1"/>
  <c r="Z509" i="1" s="1"/>
  <c r="AC509" i="1" s="1" a="1"/>
  <c r="AC509" i="1" s="1"/>
  <c r="Z501" i="1" a="1"/>
  <c r="Z501" i="1" s="1"/>
  <c r="AC501" i="1" s="1" a="1"/>
  <c r="AC501" i="1" s="1"/>
  <c r="Z493" i="1" a="1"/>
  <c r="Z493" i="1" s="1"/>
  <c r="AC493" i="1" s="1" a="1"/>
  <c r="AC493" i="1" s="1"/>
  <c r="Z485" i="1" a="1"/>
  <c r="Z485" i="1" s="1"/>
  <c r="AC485" i="1" s="1" a="1"/>
  <c r="AC485" i="1" s="1"/>
  <c r="Z477" i="1" a="1"/>
  <c r="Z477" i="1" s="1"/>
  <c r="AC477" i="1" s="1" a="1"/>
  <c r="AC477" i="1" s="1"/>
  <c r="Z469" i="1" a="1"/>
  <c r="Z469" i="1" s="1"/>
  <c r="AC469" i="1" s="1" a="1"/>
  <c r="AC469" i="1" s="1"/>
  <c r="Z461" i="1" a="1"/>
  <c r="Z461" i="1" s="1"/>
  <c r="AC461" i="1" s="1" a="1"/>
  <c r="AC461" i="1" s="1"/>
  <c r="Z453" i="1" a="1"/>
  <c r="Z453" i="1" s="1"/>
  <c r="AC453" i="1" s="1" a="1"/>
  <c r="AC453" i="1" s="1"/>
  <c r="Z441" i="1" a="1"/>
  <c r="Z441" i="1" s="1"/>
  <c r="AC441" i="1" s="1" a="1"/>
  <c r="AC441" i="1" s="1"/>
  <c r="Z437" i="1" a="1"/>
  <c r="Z437" i="1" s="1"/>
  <c r="AC437" i="1" s="1" a="1"/>
  <c r="AC437" i="1" s="1"/>
  <c r="Z429" i="1" a="1"/>
  <c r="Z429" i="1" s="1"/>
  <c r="AC429" i="1" s="1" a="1"/>
  <c r="AC429" i="1" s="1"/>
  <c r="Z421" i="1" a="1"/>
  <c r="Z421" i="1" s="1"/>
  <c r="AC421" i="1" s="1" a="1"/>
  <c r="AC421" i="1" s="1"/>
  <c r="Z413" i="1" a="1"/>
  <c r="Z413" i="1" s="1"/>
  <c r="AC413" i="1" s="1" a="1"/>
  <c r="AC413" i="1" s="1"/>
  <c r="Z405" i="1" a="1"/>
  <c r="Z405" i="1" s="1"/>
  <c r="AC405" i="1" s="1" a="1"/>
  <c r="AC405" i="1" s="1"/>
  <c r="Z397" i="1" a="1"/>
  <c r="Z397" i="1" s="1"/>
  <c r="AC397" i="1" s="1" a="1"/>
  <c r="AC397" i="1" s="1"/>
  <c r="Z389" i="1" a="1"/>
  <c r="Z389" i="1" s="1"/>
  <c r="AC389" i="1" s="1" a="1"/>
  <c r="AC389" i="1" s="1"/>
  <c r="Z381" i="1" a="1"/>
  <c r="Z381" i="1" s="1"/>
  <c r="AC381" i="1" s="1" a="1"/>
  <c r="AC381" i="1" s="1"/>
  <c r="Z373" i="1" a="1"/>
  <c r="Z373" i="1" s="1"/>
  <c r="AC373" i="1" s="1" a="1"/>
  <c r="AC373" i="1" s="1"/>
  <c r="Z365" i="1" a="1"/>
  <c r="Z365" i="1" s="1"/>
  <c r="AC365" i="1" s="1" a="1"/>
  <c r="AC365" i="1" s="1"/>
  <c r="Z357" i="1" a="1"/>
  <c r="Z357" i="1" s="1"/>
  <c r="AC357" i="1" s="1" a="1"/>
  <c r="AC357" i="1" s="1"/>
  <c r="Z349" i="1" a="1"/>
  <c r="Z349" i="1" s="1"/>
  <c r="AC349" i="1" s="1" a="1"/>
  <c r="AC349" i="1" s="1"/>
  <c r="Z341" i="1" a="1"/>
  <c r="Z341" i="1" s="1"/>
  <c r="AC341" i="1" s="1" a="1"/>
  <c r="AC341" i="1" s="1"/>
  <c r="Z333" i="1" a="1"/>
  <c r="Z333" i="1" s="1"/>
  <c r="AC333" i="1" s="1" a="1"/>
  <c r="AC333" i="1" s="1"/>
  <c r="Z325" i="1" a="1"/>
  <c r="Z325" i="1" s="1"/>
  <c r="AC325" i="1" s="1" a="1"/>
  <c r="AC325" i="1" s="1"/>
  <c r="Z317" i="1" a="1"/>
  <c r="Z317" i="1" s="1"/>
  <c r="AC317" i="1" s="1" a="1"/>
  <c r="AC317" i="1" s="1"/>
  <c r="Z309" i="1" a="1"/>
  <c r="Z309" i="1" s="1"/>
  <c r="AC309" i="1" s="1" a="1"/>
  <c r="AC309" i="1" s="1"/>
  <c r="Z301" i="1" a="1"/>
  <c r="Z301" i="1" s="1"/>
  <c r="AC301" i="1" s="1" a="1"/>
  <c r="AC301" i="1" s="1"/>
  <c r="Z293" i="1" a="1"/>
  <c r="Z293" i="1" s="1"/>
  <c r="AC293" i="1" s="1" a="1"/>
  <c r="AC293" i="1" s="1"/>
  <c r="Z285" i="1" a="1"/>
  <c r="Z285" i="1" s="1"/>
  <c r="AC285" i="1" s="1" a="1"/>
  <c r="AC285" i="1" s="1"/>
  <c r="Z277" i="1" a="1"/>
  <c r="Z277" i="1" s="1"/>
  <c r="AC277" i="1" s="1" a="1"/>
  <c r="AC277" i="1" s="1"/>
  <c r="Z269" i="1" a="1"/>
  <c r="Z269" i="1" s="1"/>
  <c r="AC269" i="1" s="1" a="1"/>
  <c r="AC269" i="1" s="1"/>
  <c r="Z261" i="1" a="1"/>
  <c r="Z261" i="1" s="1"/>
  <c r="AC261" i="1" s="1" a="1"/>
  <c r="AC261" i="1" s="1"/>
  <c r="Z249" i="1" a="1"/>
  <c r="Z249" i="1" s="1"/>
  <c r="AC249" i="1" s="1" a="1"/>
  <c r="AC249" i="1" s="1"/>
  <c r="Z241" i="1" a="1"/>
  <c r="Z241" i="1" s="1"/>
  <c r="AC241" i="1" s="1" a="1"/>
  <c r="AC241" i="1" s="1"/>
  <c r="Z237" i="1" a="1"/>
  <c r="Z237" i="1" s="1"/>
  <c r="AC237" i="1" s="1" a="1"/>
  <c r="AC237" i="1" s="1"/>
  <c r="Z229" i="1" a="1"/>
  <c r="Z229" i="1" s="1"/>
  <c r="AC229" i="1" s="1" a="1"/>
  <c r="AC229" i="1" s="1"/>
  <c r="Z221" i="1" a="1"/>
  <c r="Z221" i="1" s="1"/>
  <c r="AC221" i="1" s="1" a="1"/>
  <c r="AC221" i="1" s="1"/>
  <c r="Z213" i="1" a="1"/>
  <c r="Z213" i="1" s="1"/>
  <c r="AC213" i="1" s="1" a="1"/>
  <c r="AC213" i="1" s="1"/>
  <c r="Z201" i="1" a="1"/>
  <c r="Z201" i="1" s="1"/>
  <c r="AC201" i="1" s="1" a="1"/>
  <c r="AC201" i="1" s="1"/>
  <c r="Z193" i="1" a="1"/>
  <c r="Z193" i="1" s="1"/>
  <c r="AC193" i="1" s="1" a="1"/>
  <c r="AC193" i="1" s="1"/>
  <c r="Z189" i="1" a="1"/>
  <c r="Z189" i="1" s="1"/>
  <c r="AC189" i="1" s="1" a="1"/>
  <c r="AC189" i="1" s="1"/>
  <c r="Z177" i="1" a="1"/>
  <c r="Z177" i="1" s="1"/>
  <c r="AC177" i="1" s="1" a="1"/>
  <c r="AC177" i="1" s="1"/>
  <c r="Z169" i="1" a="1"/>
  <c r="Z169" i="1" s="1"/>
  <c r="AC169" i="1" s="1" a="1"/>
  <c r="AC169" i="1" s="1"/>
  <c r="Z161" i="1" a="1"/>
  <c r="Z161" i="1" s="1"/>
  <c r="AC161" i="1" s="1" a="1"/>
  <c r="AC161" i="1" s="1"/>
  <c r="Z153" i="1" a="1"/>
  <c r="Z153" i="1" s="1"/>
  <c r="AC153" i="1" s="1" a="1"/>
  <c r="AC153" i="1" s="1"/>
  <c r="Z145" i="1" a="1"/>
  <c r="Z145" i="1" s="1"/>
  <c r="AC145" i="1" s="1" a="1"/>
  <c r="AC145" i="1" s="1"/>
  <c r="Z137" i="1" a="1"/>
  <c r="Z137" i="1" s="1"/>
  <c r="AC137" i="1" s="1" a="1"/>
  <c r="AC137" i="1" s="1"/>
  <c r="Z129" i="1" a="1"/>
  <c r="Z129" i="1" s="1"/>
  <c r="AC129" i="1" s="1" a="1"/>
  <c r="AC129" i="1" s="1"/>
  <c r="Z121" i="1" a="1"/>
  <c r="Z121" i="1" s="1"/>
  <c r="AC121" i="1" s="1" a="1"/>
  <c r="AC121" i="1" s="1"/>
  <c r="Z113" i="1" a="1"/>
  <c r="Z113" i="1" s="1"/>
  <c r="AC113" i="1" s="1" a="1"/>
  <c r="AC113" i="1" s="1"/>
  <c r="Z105" i="1" a="1"/>
  <c r="Z105" i="1" s="1"/>
  <c r="AC105" i="1" s="1" a="1"/>
  <c r="AC105" i="1" s="1"/>
  <c r="Z97" i="1" a="1"/>
  <c r="Z97" i="1" s="1"/>
  <c r="AC97" i="1" s="1" a="1"/>
  <c r="AC97" i="1" s="1"/>
  <c r="Z89" i="1" a="1"/>
  <c r="Z89" i="1" s="1"/>
  <c r="AC89" i="1" s="1" a="1"/>
  <c r="AC89" i="1" s="1"/>
  <c r="Z85" i="1" a="1"/>
  <c r="Z85" i="1" s="1"/>
  <c r="AC85" i="1" s="1" a="1"/>
  <c r="AC85" i="1" s="1"/>
  <c r="Z73" i="1" a="1"/>
  <c r="Z73" i="1" s="1"/>
  <c r="AC73" i="1" s="1" a="1"/>
  <c r="AC73" i="1" s="1"/>
  <c r="Z65" i="1" a="1"/>
  <c r="Z65" i="1" s="1"/>
  <c r="AC65" i="1" s="1" a="1"/>
  <c r="AC65" i="1" s="1"/>
  <c r="Z57" i="1" a="1"/>
  <c r="Z57" i="1" s="1"/>
  <c r="AC57" i="1" s="1" a="1"/>
  <c r="AC57" i="1" s="1"/>
  <c r="Z49" i="1" a="1"/>
  <c r="Z49" i="1" s="1"/>
  <c r="AC49" i="1" s="1" a="1"/>
  <c r="AC49" i="1" s="1"/>
  <c r="Z41" i="1" a="1"/>
  <c r="Z41" i="1" s="1"/>
  <c r="AC41" i="1" s="1" a="1"/>
  <c r="AC41" i="1" s="1"/>
  <c r="Z33" i="1" a="1"/>
  <c r="Z33" i="1" s="1"/>
  <c r="AC33" i="1" s="1" a="1"/>
  <c r="AC33" i="1" s="1"/>
  <c r="Z25" i="1" a="1"/>
  <c r="Z25" i="1" s="1"/>
  <c r="AC25" i="1" s="1" a="1"/>
  <c r="AC25" i="1" s="1"/>
  <c r="Z17" i="1" a="1"/>
  <c r="Z17" i="1" s="1"/>
  <c r="AC17" i="1" s="1" a="1"/>
  <c r="AC17" i="1" s="1"/>
  <c r="Z9" i="1" a="1"/>
  <c r="Z9" i="1" s="1"/>
  <c r="AC9" i="1" s="1" a="1"/>
  <c r="AC9" i="1" s="1"/>
  <c r="Y663" i="1" a="1"/>
  <c r="Y663" i="1" s="1"/>
  <c r="Y651" i="1" a="1"/>
  <c r="Y651" i="1" s="1"/>
  <c r="Y643" i="1" a="1"/>
  <c r="Y643" i="1" s="1"/>
  <c r="Y639" i="1" a="1"/>
  <c r="Y639" i="1" s="1"/>
  <c r="Y627" i="1" a="1"/>
  <c r="Y627" i="1" s="1"/>
  <c r="Y619" i="1" a="1"/>
  <c r="Y619" i="1" s="1"/>
  <c r="Y611" i="1" a="1"/>
  <c r="Y611" i="1" s="1"/>
  <c r="Y607" i="1" a="1"/>
  <c r="Y607" i="1" s="1"/>
  <c r="Y599" i="1" a="1"/>
  <c r="Y599" i="1" s="1"/>
  <c r="Y591" i="1" a="1"/>
  <c r="Y591" i="1" s="1"/>
  <c r="Y583" i="1" a="1"/>
  <c r="Y583" i="1" s="1"/>
  <c r="Y575" i="1" a="1"/>
  <c r="Y575" i="1" s="1"/>
  <c r="Y567" i="1" a="1"/>
  <c r="Y567" i="1" s="1"/>
  <c r="Y555" i="1" a="1"/>
  <c r="Y555" i="1" s="1"/>
  <c r="Y547" i="1" a="1"/>
  <c r="Y547" i="1" s="1"/>
  <c r="Y539" i="1" a="1"/>
  <c r="Y539" i="1" s="1"/>
  <c r="Y531" i="1" a="1"/>
  <c r="Y531" i="1" s="1"/>
  <c r="Y527" i="1" a="1"/>
  <c r="Y527" i="1" s="1"/>
  <c r="Y519" i="1" a="1"/>
  <c r="Y519" i="1" s="1"/>
  <c r="Y511" i="1" a="1"/>
  <c r="Y511" i="1" s="1"/>
  <c r="Y503" i="1" a="1"/>
  <c r="Y503" i="1" s="1"/>
  <c r="Y491" i="1" a="1"/>
  <c r="Y491" i="1" s="1"/>
  <c r="Y483" i="1" a="1"/>
  <c r="Y483" i="1" s="1"/>
  <c r="Y475" i="1" a="1"/>
  <c r="Y475" i="1" s="1"/>
  <c r="Y467" i="1" a="1"/>
  <c r="Y467" i="1" s="1"/>
  <c r="Y459" i="1" a="1"/>
  <c r="Y459" i="1" s="1"/>
  <c r="Y451" i="1" a="1"/>
  <c r="Y451" i="1" s="1"/>
  <c r="Y443" i="1" a="1"/>
  <c r="Y443" i="1" s="1"/>
  <c r="Y435" i="1" a="1"/>
  <c r="Y435" i="1" s="1"/>
  <c r="Y427" i="1" a="1"/>
  <c r="Y427" i="1" s="1"/>
  <c r="Y419" i="1" a="1"/>
  <c r="Y419" i="1" s="1"/>
  <c r="Y411" i="1" a="1"/>
  <c r="Y411" i="1" s="1"/>
  <c r="Y403" i="1" a="1"/>
  <c r="Y403" i="1" s="1"/>
  <c r="Y395" i="1" a="1"/>
  <c r="Y395" i="1" s="1"/>
  <c r="Y387" i="1" a="1"/>
  <c r="Y387" i="1" s="1"/>
  <c r="Y383" i="1" a="1"/>
  <c r="Y383" i="1" s="1"/>
  <c r="Y375" i="1" a="1"/>
  <c r="Y375" i="1" s="1"/>
  <c r="Y363" i="1" a="1"/>
  <c r="Y363" i="1" s="1"/>
  <c r="Y359" i="1" a="1"/>
  <c r="Y359" i="1" s="1"/>
  <c r="Y351" i="1" a="1"/>
  <c r="Y351" i="1" s="1"/>
  <c r="Y339" i="1" a="1"/>
  <c r="Y339" i="1" s="1"/>
  <c r="Y331" i="1" a="1"/>
  <c r="Y331" i="1" s="1"/>
  <c r="Y327" i="1" a="1"/>
  <c r="Y327" i="1" s="1"/>
  <c r="Y319" i="1" a="1"/>
  <c r="Y319" i="1" s="1"/>
  <c r="Y307" i="1" a="1"/>
  <c r="Y307" i="1" s="1"/>
  <c r="Y299" i="1" a="1"/>
  <c r="Y299" i="1" s="1"/>
  <c r="Y291" i="1" a="1"/>
  <c r="Y291" i="1" s="1"/>
  <c r="Y283" i="1" a="1"/>
  <c r="Y283" i="1" s="1"/>
  <c r="Y279" i="1" a="1"/>
  <c r="Y279" i="1" s="1"/>
  <c r="Y271" i="1" a="1"/>
  <c r="Y271" i="1" s="1"/>
  <c r="Y263" i="1" a="1"/>
  <c r="Y263" i="1" s="1"/>
  <c r="Y255" i="1" a="1"/>
  <c r="Y255" i="1" s="1"/>
  <c r="Y247" i="1" a="1"/>
  <c r="Y247" i="1" s="1"/>
  <c r="Y239" i="1" a="1"/>
  <c r="Y239" i="1" s="1"/>
  <c r="Y231" i="1" a="1"/>
  <c r="Y231" i="1" s="1"/>
  <c r="Y223" i="1" a="1"/>
  <c r="Y223" i="1" s="1"/>
  <c r="Y211" i="1" a="1"/>
  <c r="Y211" i="1" s="1"/>
  <c r="Y203" i="1" a="1"/>
  <c r="Y203" i="1" s="1"/>
  <c r="Y195" i="1" a="1"/>
  <c r="Y195" i="1" s="1"/>
  <c r="Y191" i="1" a="1"/>
  <c r="Y191" i="1" s="1"/>
  <c r="Y183" i="1" a="1"/>
  <c r="Y183" i="1" s="1"/>
  <c r="Y175" i="1" a="1"/>
  <c r="Y175" i="1" s="1"/>
  <c r="Y167" i="1" a="1"/>
  <c r="Y167" i="1" s="1"/>
  <c r="Y159" i="1" a="1"/>
  <c r="Y159" i="1" s="1"/>
  <c r="Y151" i="1" a="1"/>
  <c r="Y151" i="1" s="1"/>
  <c r="Y143" i="1" a="1"/>
  <c r="Y143" i="1" s="1"/>
  <c r="Y135" i="1" a="1"/>
  <c r="Y135" i="1" s="1"/>
  <c r="Y127" i="1" a="1"/>
  <c r="Y127" i="1" s="1"/>
  <c r="Y119" i="1" a="1"/>
  <c r="Y119" i="1" s="1"/>
  <c r="Y111" i="1" a="1"/>
  <c r="Y111" i="1" s="1"/>
  <c r="Y103" i="1" a="1"/>
  <c r="Y103" i="1" s="1"/>
  <c r="Y95" i="1" a="1"/>
  <c r="Y95" i="1" s="1"/>
  <c r="Y87" i="1" a="1"/>
  <c r="Y87" i="1" s="1"/>
  <c r="Y79" i="1" a="1"/>
  <c r="Y79" i="1" s="1"/>
  <c r="Y71" i="1" a="1"/>
  <c r="Y71" i="1" s="1"/>
  <c r="Y63" i="1" a="1"/>
  <c r="Y63" i="1" s="1"/>
  <c r="Y55" i="1" a="1"/>
  <c r="Y55" i="1" s="1"/>
  <c r="Y47" i="1" a="1"/>
  <c r="Y47" i="1" s="1"/>
  <c r="Y39" i="1" a="1"/>
  <c r="Y39" i="1" s="1"/>
  <c r="Y31" i="1" a="1"/>
  <c r="Y31" i="1" s="1"/>
  <c r="Y23" i="1" a="1"/>
  <c r="Y23" i="1" s="1"/>
  <c r="Y15" i="1" a="1"/>
  <c r="Y15" i="1" s="1"/>
  <c r="Y7" i="1" a="1"/>
  <c r="Y7" i="1" s="1"/>
  <c r="Z667" i="1" a="1"/>
  <c r="Z667" i="1" s="1"/>
  <c r="AC667" i="1" s="1" a="1"/>
  <c r="AC667" i="1" s="1"/>
  <c r="Z663" i="1" a="1"/>
  <c r="Z663" i="1" s="1"/>
  <c r="AC663" i="1" s="1" a="1"/>
  <c r="AC663" i="1" s="1"/>
  <c r="Z659" i="1" a="1"/>
  <c r="Z659" i="1" s="1"/>
  <c r="AC659" i="1" s="1" a="1"/>
  <c r="AC659" i="1" s="1"/>
  <c r="Z655" i="1" a="1"/>
  <c r="Z655" i="1" s="1"/>
  <c r="AC655" i="1" s="1" a="1"/>
  <c r="AC655" i="1" s="1"/>
  <c r="Z651" i="1" a="1"/>
  <c r="Z651" i="1" s="1"/>
  <c r="AC651" i="1" s="1" a="1"/>
  <c r="AC651" i="1" s="1"/>
  <c r="Z647" i="1" a="1"/>
  <c r="Z647" i="1" s="1"/>
  <c r="AC647" i="1" s="1" a="1"/>
  <c r="AC647" i="1" s="1"/>
  <c r="Z643" i="1" a="1"/>
  <c r="Z643" i="1" s="1"/>
  <c r="AC643" i="1" s="1" a="1"/>
  <c r="AC643" i="1" s="1"/>
  <c r="Z639" i="1" a="1"/>
  <c r="Z639" i="1" s="1"/>
  <c r="AC639" i="1" s="1" a="1"/>
  <c r="AC639" i="1" s="1"/>
  <c r="Z635" i="1" a="1"/>
  <c r="Z635" i="1" s="1"/>
  <c r="AC635" i="1" s="1" a="1"/>
  <c r="AC635" i="1" s="1"/>
  <c r="Z631" i="1" a="1"/>
  <c r="Z631" i="1" s="1"/>
  <c r="AC631" i="1" s="1" a="1"/>
  <c r="AC631" i="1" s="1"/>
  <c r="Z627" i="1" a="1"/>
  <c r="Z627" i="1" s="1"/>
  <c r="AC627" i="1" s="1" a="1"/>
  <c r="AC627" i="1" s="1"/>
  <c r="Z623" i="1" a="1"/>
  <c r="Z623" i="1" s="1"/>
  <c r="AC623" i="1" s="1" a="1"/>
  <c r="AC623" i="1" s="1"/>
  <c r="Z619" i="1" a="1"/>
  <c r="Z619" i="1" s="1"/>
  <c r="AC619" i="1" s="1" a="1"/>
  <c r="AC619" i="1" s="1"/>
  <c r="Z615" i="1" a="1"/>
  <c r="Z615" i="1" s="1"/>
  <c r="AC615" i="1" s="1" a="1"/>
  <c r="AC615" i="1" s="1"/>
  <c r="Z611" i="1" a="1"/>
  <c r="Z611" i="1" s="1"/>
  <c r="AC611" i="1" s="1" a="1"/>
  <c r="AC611" i="1" s="1"/>
  <c r="Z607" i="1" a="1"/>
  <c r="Z607" i="1" s="1"/>
  <c r="AC607" i="1" s="1" a="1"/>
  <c r="AC607" i="1" s="1"/>
  <c r="Z603" i="1" a="1"/>
  <c r="Z603" i="1" s="1"/>
  <c r="AC603" i="1" s="1" a="1"/>
  <c r="AC603" i="1" s="1"/>
  <c r="Z599" i="1" a="1"/>
  <c r="Z599" i="1" s="1"/>
  <c r="AC599" i="1" s="1" a="1"/>
  <c r="AC599" i="1" s="1"/>
  <c r="Z595" i="1" a="1"/>
  <c r="Z595" i="1" s="1"/>
  <c r="AC595" i="1" s="1" a="1"/>
  <c r="AC595" i="1" s="1"/>
  <c r="Z591" i="1" a="1"/>
  <c r="Z591" i="1" s="1"/>
  <c r="AC591" i="1" s="1" a="1"/>
  <c r="AC591" i="1" s="1"/>
  <c r="Z587" i="1" a="1"/>
  <c r="Z587" i="1" s="1"/>
  <c r="AC587" i="1" s="1" a="1"/>
  <c r="AC587" i="1" s="1"/>
  <c r="Z583" i="1" a="1"/>
  <c r="Z583" i="1" s="1"/>
  <c r="AC583" i="1" s="1" a="1"/>
  <c r="AC583" i="1" s="1"/>
  <c r="Z579" i="1" a="1"/>
  <c r="Z579" i="1" s="1"/>
  <c r="AC579" i="1" s="1" a="1"/>
  <c r="AC579" i="1" s="1"/>
  <c r="Z575" i="1" a="1"/>
  <c r="Z575" i="1" s="1"/>
  <c r="AC575" i="1" s="1" a="1"/>
  <c r="AC575" i="1" s="1"/>
  <c r="Z571" i="1" a="1"/>
  <c r="Z571" i="1" s="1"/>
  <c r="AC571" i="1" s="1" a="1"/>
  <c r="AC571" i="1" s="1"/>
  <c r="Z567" i="1" a="1"/>
  <c r="Z567" i="1" s="1"/>
  <c r="AC567" i="1" s="1" a="1"/>
  <c r="AC567" i="1" s="1"/>
  <c r="Z563" i="1" a="1"/>
  <c r="Z563" i="1" s="1"/>
  <c r="AC563" i="1" s="1" a="1"/>
  <c r="AC563" i="1" s="1"/>
  <c r="Z559" i="1" a="1"/>
  <c r="Z559" i="1" s="1"/>
  <c r="AC559" i="1" s="1" a="1"/>
  <c r="AC559" i="1" s="1"/>
  <c r="Z555" i="1" a="1"/>
  <c r="Z555" i="1" s="1"/>
  <c r="AC555" i="1" s="1" a="1"/>
  <c r="AC555" i="1" s="1"/>
  <c r="Z551" i="1" a="1"/>
  <c r="Z551" i="1" s="1"/>
  <c r="AC551" i="1" s="1" a="1"/>
  <c r="AC551" i="1" s="1"/>
  <c r="Z547" i="1" a="1"/>
  <c r="Z547" i="1" s="1"/>
  <c r="AC547" i="1" s="1" a="1"/>
  <c r="AC547" i="1" s="1"/>
  <c r="Z543" i="1" a="1"/>
  <c r="Z543" i="1" s="1"/>
  <c r="AC543" i="1" s="1" a="1"/>
  <c r="AC543" i="1" s="1"/>
  <c r="Z539" i="1" a="1"/>
  <c r="Z539" i="1" s="1"/>
  <c r="AC539" i="1" s="1" a="1"/>
  <c r="AC539" i="1" s="1"/>
  <c r="Z535" i="1" a="1"/>
  <c r="Z535" i="1" s="1"/>
  <c r="AC535" i="1" s="1" a="1"/>
  <c r="AC535" i="1" s="1"/>
  <c r="Z531" i="1" a="1"/>
  <c r="Z531" i="1" s="1"/>
  <c r="AC531" i="1" s="1" a="1"/>
  <c r="AC531" i="1" s="1"/>
  <c r="Z527" i="1" a="1"/>
  <c r="Z527" i="1" s="1"/>
  <c r="AC527" i="1" s="1" a="1"/>
  <c r="AC527" i="1" s="1"/>
  <c r="Z523" i="1" a="1"/>
  <c r="Z523" i="1" s="1"/>
  <c r="AC523" i="1" s="1" a="1"/>
  <c r="AC523" i="1" s="1"/>
  <c r="Z519" i="1" a="1"/>
  <c r="Z519" i="1" s="1"/>
  <c r="AC519" i="1" s="1" a="1"/>
  <c r="AC519" i="1" s="1"/>
  <c r="Z515" i="1" a="1"/>
  <c r="Z515" i="1" s="1"/>
  <c r="AC515" i="1" s="1" a="1"/>
  <c r="AC515" i="1" s="1"/>
  <c r="Z511" i="1" a="1"/>
  <c r="Z511" i="1" s="1"/>
  <c r="AC511" i="1" s="1" a="1"/>
  <c r="AC511" i="1" s="1"/>
  <c r="Z492" i="1" a="1"/>
  <c r="Z492" i="1" s="1"/>
  <c r="AC492" i="1" s="1" a="1"/>
  <c r="AC492" i="1" s="1"/>
  <c r="Z488" i="1" a="1"/>
  <c r="Z488" i="1" s="1"/>
  <c r="AC488" i="1" s="1" a="1"/>
  <c r="AC488" i="1" s="1"/>
  <c r="Z484" i="1" a="1"/>
  <c r="Z484" i="1" s="1"/>
  <c r="AC484" i="1" s="1" a="1"/>
  <c r="AC484" i="1" s="1"/>
  <c r="Z480" i="1" a="1"/>
  <c r="Z480" i="1" s="1"/>
  <c r="AC480" i="1" s="1" a="1"/>
  <c r="AC480" i="1" s="1"/>
  <c r="Z476" i="1" a="1"/>
  <c r="Z476" i="1" s="1"/>
  <c r="AC476" i="1" s="1" a="1"/>
  <c r="AC476" i="1" s="1"/>
  <c r="Z472" i="1" a="1"/>
  <c r="Z472" i="1" s="1"/>
  <c r="AC472" i="1" s="1" a="1"/>
  <c r="AC472" i="1" s="1"/>
  <c r="Z468" i="1" a="1"/>
  <c r="Z468" i="1" s="1"/>
  <c r="AC468" i="1" s="1" a="1"/>
  <c r="AC468" i="1" s="1"/>
  <c r="Z464" i="1" a="1"/>
  <c r="Z464" i="1" s="1"/>
  <c r="AC464" i="1" s="1" a="1"/>
  <c r="AC464" i="1" s="1"/>
  <c r="Z460" i="1" a="1"/>
  <c r="Z460" i="1" s="1"/>
  <c r="AC460" i="1" s="1" a="1"/>
  <c r="AC460" i="1" s="1"/>
  <c r="Z456" i="1" a="1"/>
  <c r="Z456" i="1" s="1"/>
  <c r="AC456" i="1" s="1" a="1"/>
  <c r="AC456" i="1" s="1"/>
  <c r="Z452" i="1" a="1"/>
  <c r="Z452" i="1" s="1"/>
  <c r="AC452" i="1" s="1" a="1"/>
  <c r="AC452" i="1" s="1"/>
  <c r="Z448" i="1" a="1"/>
  <c r="Z448" i="1" s="1"/>
  <c r="AC448" i="1" s="1" a="1"/>
  <c r="AC448" i="1" s="1"/>
  <c r="Z444" i="1" a="1"/>
  <c r="Z444" i="1" s="1"/>
  <c r="AC444" i="1" s="1" a="1"/>
  <c r="AC444" i="1" s="1"/>
  <c r="Z440" i="1" a="1"/>
  <c r="Z440" i="1" s="1"/>
  <c r="AC440" i="1" s="1" a="1"/>
  <c r="AC440" i="1" s="1"/>
  <c r="Z436" i="1" a="1"/>
  <c r="Z436" i="1" s="1"/>
  <c r="AC436" i="1" s="1" a="1"/>
  <c r="AC436" i="1" s="1"/>
  <c r="Z432" i="1" a="1"/>
  <c r="Z432" i="1" s="1"/>
  <c r="AC432" i="1" s="1" a="1"/>
  <c r="AC432" i="1" s="1"/>
  <c r="Z428" i="1" a="1"/>
  <c r="Z428" i="1" s="1"/>
  <c r="AC428" i="1" s="1" a="1"/>
  <c r="AC428" i="1" s="1"/>
  <c r="Z424" i="1" a="1"/>
  <c r="Z424" i="1" s="1"/>
  <c r="AC424" i="1" s="1" a="1"/>
  <c r="AC424" i="1" s="1"/>
  <c r="Z420" i="1" a="1"/>
  <c r="Z420" i="1" s="1"/>
  <c r="AC420" i="1" s="1" a="1"/>
  <c r="AC420" i="1" s="1"/>
  <c r="Z416" i="1" a="1"/>
  <c r="Z416" i="1" s="1"/>
  <c r="AC416" i="1" s="1" a="1"/>
  <c r="AC416" i="1" s="1"/>
  <c r="Z412" i="1" a="1"/>
  <c r="Z412" i="1" s="1"/>
  <c r="AC412" i="1" s="1" a="1"/>
  <c r="AC412" i="1" s="1"/>
  <c r="Z408" i="1" a="1"/>
  <c r="Z408" i="1" s="1"/>
  <c r="AC408" i="1" s="1" a="1"/>
  <c r="AC408" i="1" s="1"/>
  <c r="Z404" i="1" a="1"/>
  <c r="Z404" i="1" s="1"/>
  <c r="AC404" i="1" s="1" a="1"/>
  <c r="AC404" i="1" s="1"/>
  <c r="Z400" i="1" a="1"/>
  <c r="Z400" i="1" s="1"/>
  <c r="AC400" i="1" s="1" a="1"/>
  <c r="AC400" i="1" s="1"/>
  <c r="Z396" i="1" a="1"/>
  <c r="Z396" i="1" s="1"/>
  <c r="AC396" i="1" s="1" a="1"/>
  <c r="AC396" i="1" s="1"/>
  <c r="Z392" i="1" a="1"/>
  <c r="Z392" i="1" s="1"/>
  <c r="AC392" i="1" s="1" a="1"/>
  <c r="AC392" i="1" s="1"/>
  <c r="Z388" i="1" a="1"/>
  <c r="Z388" i="1" s="1"/>
  <c r="AC388" i="1" s="1" a="1"/>
  <c r="AC388" i="1" s="1"/>
  <c r="Z384" i="1" a="1"/>
  <c r="Z384" i="1" s="1"/>
  <c r="AC384" i="1" s="1" a="1"/>
  <c r="AC384" i="1" s="1"/>
  <c r="Z380" i="1" a="1"/>
  <c r="Z380" i="1" s="1"/>
  <c r="AC380" i="1" s="1" a="1"/>
  <c r="AC380" i="1" s="1"/>
  <c r="Z376" i="1" a="1"/>
  <c r="Z376" i="1" s="1"/>
  <c r="AC376" i="1" s="1" a="1"/>
  <c r="AC376" i="1" s="1"/>
  <c r="Z372" i="1" a="1"/>
  <c r="Z372" i="1" s="1"/>
  <c r="AC372" i="1" s="1" a="1"/>
  <c r="AC372" i="1" s="1"/>
  <c r="Z368" i="1" a="1"/>
  <c r="Z368" i="1" s="1"/>
  <c r="AC368" i="1" s="1" a="1"/>
  <c r="AC368" i="1" s="1"/>
  <c r="Z364" i="1" a="1"/>
  <c r="Z364" i="1" s="1"/>
  <c r="AC364" i="1" s="1" a="1"/>
  <c r="AC364" i="1" s="1"/>
  <c r="Z360" i="1" a="1"/>
  <c r="Z360" i="1" s="1"/>
  <c r="AC360" i="1" s="1" a="1"/>
  <c r="AC360" i="1" s="1"/>
  <c r="Z356" i="1" a="1"/>
  <c r="Z356" i="1" s="1"/>
  <c r="AC356" i="1" s="1" a="1"/>
  <c r="AC356" i="1" s="1"/>
  <c r="Z352" i="1" a="1"/>
  <c r="Z352" i="1" s="1"/>
  <c r="AC352" i="1" s="1" a="1"/>
  <c r="AC352" i="1" s="1"/>
  <c r="Z348" i="1" a="1"/>
  <c r="Z348" i="1" s="1"/>
  <c r="AC348" i="1" s="1" a="1"/>
  <c r="AC348" i="1" s="1"/>
  <c r="Z344" i="1" a="1"/>
  <c r="Z344" i="1" s="1"/>
  <c r="AC344" i="1" s="1" a="1"/>
  <c r="AC344" i="1" s="1"/>
  <c r="Z340" i="1" a="1"/>
  <c r="Z340" i="1" s="1"/>
  <c r="AC340" i="1" s="1" a="1"/>
  <c r="AC340" i="1" s="1"/>
  <c r="Z336" i="1" a="1"/>
  <c r="Z336" i="1" s="1"/>
  <c r="AC336" i="1" s="1" a="1"/>
  <c r="AC336" i="1" s="1"/>
  <c r="Z332" i="1" a="1"/>
  <c r="Z332" i="1" s="1"/>
  <c r="AC332" i="1" s="1" a="1"/>
  <c r="AC332" i="1" s="1"/>
  <c r="Z328" i="1" a="1"/>
  <c r="Z328" i="1" s="1"/>
  <c r="AC328" i="1" s="1" a="1"/>
  <c r="AC328" i="1" s="1"/>
  <c r="Z324" i="1" a="1"/>
  <c r="Z324" i="1" s="1"/>
  <c r="AC324" i="1" s="1" a="1"/>
  <c r="AC324" i="1" s="1"/>
  <c r="Z320" i="1" a="1"/>
  <c r="Z320" i="1" s="1"/>
  <c r="AC320" i="1" s="1" a="1"/>
  <c r="AC320" i="1" s="1"/>
  <c r="Z316" i="1" a="1"/>
  <c r="Z316" i="1" s="1"/>
  <c r="AC316" i="1" s="1" a="1"/>
  <c r="AC316" i="1" s="1"/>
  <c r="Z312" i="1" a="1"/>
  <c r="Z312" i="1" s="1"/>
  <c r="AC312" i="1" s="1" a="1"/>
  <c r="AC312" i="1" s="1"/>
  <c r="Z308" i="1" a="1"/>
  <c r="Z308" i="1" s="1"/>
  <c r="AC308" i="1" s="1" a="1"/>
  <c r="AC308" i="1" s="1"/>
  <c r="Z304" i="1" a="1"/>
  <c r="Z304" i="1" s="1"/>
  <c r="AC304" i="1" s="1" a="1"/>
  <c r="AC304" i="1" s="1"/>
  <c r="Z300" i="1" a="1"/>
  <c r="Z300" i="1" s="1"/>
  <c r="AC300" i="1" s="1" a="1"/>
  <c r="AC300" i="1" s="1"/>
  <c r="Z296" i="1" a="1"/>
  <c r="Z296" i="1" s="1"/>
  <c r="AC296" i="1" s="1" a="1"/>
  <c r="AC296" i="1" s="1"/>
  <c r="Z292" i="1" a="1"/>
  <c r="Z292" i="1" s="1"/>
  <c r="AC292" i="1" s="1" a="1"/>
  <c r="AC292" i="1" s="1"/>
  <c r="Z288" i="1" a="1"/>
  <c r="Z288" i="1" s="1"/>
  <c r="AC288" i="1" s="1" a="1"/>
  <c r="AC288" i="1" s="1"/>
  <c r="Z284" i="1" a="1"/>
  <c r="Z284" i="1" s="1"/>
  <c r="AC284" i="1" s="1" a="1"/>
  <c r="AC284" i="1" s="1"/>
  <c r="Z280" i="1" a="1"/>
  <c r="Z280" i="1" s="1"/>
  <c r="AC280" i="1" s="1" a="1"/>
  <c r="AC280" i="1" s="1"/>
  <c r="Z276" i="1" a="1"/>
  <c r="Z276" i="1" s="1"/>
  <c r="AC276" i="1" s="1" a="1"/>
  <c r="AC276" i="1" s="1"/>
  <c r="Z272" i="1" a="1"/>
  <c r="Z272" i="1" s="1"/>
  <c r="AC272" i="1" s="1" a="1"/>
  <c r="AC272" i="1" s="1"/>
  <c r="Z268" i="1" a="1"/>
  <c r="Z268" i="1" s="1"/>
  <c r="AC268" i="1" s="1" a="1"/>
  <c r="AC268" i="1" s="1"/>
  <c r="Z264" i="1" a="1"/>
  <c r="Z264" i="1" s="1"/>
  <c r="AC264" i="1" s="1" a="1"/>
  <c r="AC264" i="1" s="1"/>
  <c r="Z260" i="1" a="1"/>
  <c r="Z260" i="1" s="1"/>
  <c r="AC260" i="1" s="1" a="1"/>
  <c r="AC260" i="1" s="1"/>
  <c r="Z256" i="1" a="1"/>
  <c r="Z256" i="1" s="1"/>
  <c r="AC256" i="1" s="1" a="1"/>
  <c r="AC256" i="1" s="1"/>
  <c r="Z252" i="1" a="1"/>
  <c r="Z252" i="1" s="1"/>
  <c r="AC252" i="1" s="1" a="1"/>
  <c r="AC252" i="1" s="1"/>
  <c r="Z248" i="1" a="1"/>
  <c r="Z248" i="1" s="1"/>
  <c r="AC248" i="1" s="1" a="1"/>
  <c r="AC248" i="1" s="1"/>
  <c r="Z244" i="1" a="1"/>
  <c r="Z244" i="1" s="1"/>
  <c r="AC244" i="1" s="1" a="1"/>
  <c r="AC244" i="1" s="1"/>
  <c r="Z240" i="1" a="1"/>
  <c r="Z240" i="1" s="1"/>
  <c r="AC240" i="1" s="1" a="1"/>
  <c r="AC240" i="1" s="1"/>
  <c r="Z236" i="1" a="1"/>
  <c r="Z236" i="1" s="1"/>
  <c r="AC236" i="1" s="1" a="1"/>
  <c r="AC236" i="1" s="1"/>
  <c r="Z232" i="1" a="1"/>
  <c r="Z232" i="1" s="1"/>
  <c r="AC232" i="1" s="1" a="1"/>
  <c r="AC232" i="1" s="1"/>
  <c r="Z228" i="1" a="1"/>
  <c r="Z228" i="1" s="1"/>
  <c r="AC228" i="1" s="1" a="1"/>
  <c r="AC228" i="1" s="1"/>
  <c r="Z224" i="1" a="1"/>
  <c r="Z224" i="1" s="1"/>
  <c r="AC224" i="1" s="1" a="1"/>
  <c r="AC224" i="1" s="1"/>
  <c r="Z220" i="1" a="1"/>
  <c r="Z220" i="1" s="1"/>
  <c r="AC220" i="1" s="1" a="1"/>
  <c r="AC220" i="1" s="1"/>
  <c r="Z216" i="1" a="1"/>
  <c r="Z216" i="1" s="1"/>
  <c r="AC216" i="1" s="1" a="1"/>
  <c r="AC216" i="1" s="1"/>
  <c r="Z212" i="1" a="1"/>
  <c r="Z212" i="1" s="1"/>
  <c r="AC212" i="1" s="1" a="1"/>
  <c r="AC212" i="1" s="1"/>
  <c r="Z208" i="1" a="1"/>
  <c r="Z208" i="1" s="1"/>
  <c r="AC208" i="1" s="1" a="1"/>
  <c r="AC208" i="1" s="1"/>
  <c r="Z204" i="1" a="1"/>
  <c r="Z204" i="1" s="1"/>
  <c r="AC204" i="1" s="1" a="1"/>
  <c r="AC204" i="1" s="1"/>
  <c r="Z200" i="1" a="1"/>
  <c r="Z200" i="1" s="1"/>
  <c r="AC200" i="1" s="1" a="1"/>
  <c r="AC200" i="1" s="1"/>
  <c r="Z196" i="1" a="1"/>
  <c r="Z196" i="1" s="1"/>
  <c r="AC196" i="1" s="1" a="1"/>
  <c r="AC196" i="1" s="1"/>
  <c r="Z192" i="1" a="1"/>
  <c r="Z192" i="1" s="1"/>
  <c r="AC192" i="1" s="1" a="1"/>
  <c r="AC192" i="1" s="1"/>
  <c r="Z188" i="1" a="1"/>
  <c r="Z188" i="1" s="1"/>
  <c r="AC188" i="1" s="1" a="1"/>
  <c r="AC188" i="1" s="1"/>
  <c r="Z184" i="1" a="1"/>
  <c r="Z184" i="1" s="1"/>
  <c r="AC184" i="1" s="1" a="1"/>
  <c r="AC184" i="1" s="1"/>
  <c r="Z180" i="1" a="1"/>
  <c r="Z180" i="1" s="1"/>
  <c r="AC180" i="1" s="1" a="1"/>
  <c r="AC180" i="1" s="1"/>
  <c r="Z176" i="1" a="1"/>
  <c r="Z176" i="1" s="1"/>
  <c r="AC176" i="1" s="1" a="1"/>
  <c r="AC176" i="1" s="1"/>
  <c r="Z172" i="1" a="1"/>
  <c r="Z172" i="1" s="1"/>
  <c r="AC172" i="1" s="1" a="1"/>
  <c r="AC172" i="1" s="1"/>
  <c r="Z168" i="1" a="1"/>
  <c r="Z168" i="1" s="1"/>
  <c r="AC168" i="1" s="1" a="1"/>
  <c r="AC168" i="1" s="1"/>
  <c r="Z164" i="1" a="1"/>
  <c r="Z164" i="1" s="1"/>
  <c r="AC164" i="1" s="1" a="1"/>
  <c r="AC164" i="1" s="1"/>
  <c r="Z160" i="1" a="1"/>
  <c r="Z160" i="1" s="1"/>
  <c r="AC160" i="1" s="1" a="1"/>
  <c r="AC160" i="1" s="1"/>
  <c r="Z156" i="1" a="1"/>
  <c r="Z156" i="1" s="1"/>
  <c r="AC156" i="1" s="1" a="1"/>
  <c r="AC156" i="1" s="1"/>
  <c r="Z152" i="1" a="1"/>
  <c r="Z152" i="1" s="1"/>
  <c r="AC152" i="1" s="1" a="1"/>
  <c r="AC152" i="1" s="1"/>
  <c r="Z148" i="1" a="1"/>
  <c r="Z148" i="1" s="1"/>
  <c r="AC148" i="1" s="1" a="1"/>
  <c r="AC148" i="1" s="1"/>
  <c r="Z144" i="1" a="1"/>
  <c r="Z144" i="1" s="1"/>
  <c r="AC144" i="1" s="1" a="1"/>
  <c r="AC144" i="1" s="1"/>
  <c r="Z140" i="1" a="1"/>
  <c r="Z140" i="1" s="1"/>
  <c r="AC140" i="1" s="1" a="1"/>
  <c r="AC140" i="1" s="1"/>
  <c r="Z136" i="1" a="1"/>
  <c r="Z136" i="1" s="1"/>
  <c r="AC136" i="1" s="1" a="1"/>
  <c r="AC136" i="1" s="1"/>
  <c r="Z132" i="1" a="1"/>
  <c r="Z132" i="1" s="1"/>
  <c r="AC132" i="1" s="1" a="1"/>
  <c r="AC132" i="1" s="1"/>
  <c r="Z128" i="1" a="1"/>
  <c r="Z128" i="1" s="1"/>
  <c r="AC128" i="1" s="1" a="1"/>
  <c r="AC128" i="1" s="1"/>
  <c r="Z124" i="1" a="1"/>
  <c r="Z124" i="1" s="1"/>
  <c r="AC124" i="1" s="1" a="1"/>
  <c r="AC124" i="1" s="1"/>
  <c r="Z120" i="1" a="1"/>
  <c r="Z120" i="1" s="1"/>
  <c r="AC120" i="1" s="1" a="1"/>
  <c r="AC120" i="1" s="1"/>
  <c r="Z116" i="1" a="1"/>
  <c r="Z116" i="1" s="1"/>
  <c r="AC116" i="1" s="1" a="1"/>
  <c r="AC116" i="1" s="1"/>
  <c r="Z112" i="1" a="1"/>
  <c r="Z112" i="1" s="1"/>
  <c r="AC112" i="1" s="1" a="1"/>
  <c r="AC112" i="1" s="1"/>
  <c r="Z108" i="1" a="1"/>
  <c r="Z108" i="1" s="1"/>
  <c r="AC108" i="1" s="1" a="1"/>
  <c r="AC108" i="1" s="1"/>
  <c r="Z104" i="1" a="1"/>
  <c r="Z104" i="1" s="1"/>
  <c r="AC104" i="1" s="1" a="1"/>
  <c r="AC104" i="1" s="1"/>
  <c r="Z100" i="1" a="1"/>
  <c r="Z100" i="1" s="1"/>
  <c r="AC100" i="1" s="1" a="1"/>
  <c r="AC100" i="1" s="1"/>
  <c r="Z96" i="1" a="1"/>
  <c r="Z96" i="1" s="1"/>
  <c r="AC96" i="1" s="1" a="1"/>
  <c r="AC96" i="1" s="1"/>
  <c r="Z92" i="1" a="1"/>
  <c r="Z92" i="1" s="1"/>
  <c r="AC92" i="1" s="1" a="1"/>
  <c r="AC92" i="1" s="1"/>
  <c r="Z88" i="1" a="1"/>
  <c r="Z88" i="1" s="1"/>
  <c r="AC88" i="1" s="1" a="1"/>
  <c r="AC88" i="1" s="1"/>
  <c r="Z84" i="1" a="1"/>
  <c r="Z84" i="1" s="1"/>
  <c r="AC84" i="1" s="1" a="1"/>
  <c r="AC84" i="1" s="1"/>
  <c r="Z80" i="1" a="1"/>
  <c r="Z80" i="1" s="1"/>
  <c r="AC80" i="1" s="1" a="1"/>
  <c r="AC80" i="1" s="1"/>
  <c r="Z76" i="1" a="1"/>
  <c r="Z76" i="1" s="1"/>
  <c r="AC76" i="1" s="1" a="1"/>
  <c r="AC76" i="1" s="1"/>
  <c r="Z72" i="1" a="1"/>
  <c r="Z72" i="1" s="1"/>
  <c r="AC72" i="1" s="1" a="1"/>
  <c r="AC72" i="1" s="1"/>
  <c r="Z68" i="1" a="1"/>
  <c r="Z68" i="1" s="1"/>
  <c r="AC68" i="1" s="1" a="1"/>
  <c r="AC68" i="1" s="1"/>
  <c r="Z64" i="1" a="1"/>
  <c r="Z64" i="1" s="1"/>
  <c r="AC64" i="1" s="1" a="1"/>
  <c r="AC64" i="1" s="1"/>
  <c r="Z60" i="1" a="1"/>
  <c r="Z60" i="1" s="1"/>
  <c r="AC60" i="1" s="1" a="1"/>
  <c r="AC60" i="1" s="1"/>
  <c r="Z56" i="1" a="1"/>
  <c r="Z56" i="1" s="1"/>
  <c r="AC56" i="1" s="1" a="1"/>
  <c r="AC56" i="1" s="1"/>
  <c r="Z52" i="1" a="1"/>
  <c r="Z52" i="1" s="1"/>
  <c r="AC52" i="1" s="1" a="1"/>
  <c r="AC52" i="1" s="1"/>
  <c r="Z48" i="1" a="1"/>
  <c r="Z48" i="1" s="1"/>
  <c r="AC48" i="1" s="1" a="1"/>
  <c r="AC48" i="1" s="1"/>
  <c r="Z44" i="1" a="1"/>
  <c r="Z44" i="1" s="1"/>
  <c r="AC44" i="1" s="1" a="1"/>
  <c r="AC44" i="1" s="1"/>
  <c r="Z40" i="1" a="1"/>
  <c r="Z40" i="1" s="1"/>
  <c r="AC40" i="1" s="1" a="1"/>
  <c r="AC40" i="1" s="1"/>
  <c r="Z36" i="1" a="1"/>
  <c r="Z36" i="1" s="1"/>
  <c r="AC36" i="1" s="1" a="1"/>
  <c r="AC36" i="1" s="1"/>
  <c r="Z32" i="1" a="1"/>
  <c r="Z32" i="1" s="1"/>
  <c r="AC32" i="1" s="1" a="1"/>
  <c r="AC32" i="1" s="1"/>
  <c r="Z28" i="1" a="1"/>
  <c r="Z28" i="1" s="1"/>
  <c r="AC28" i="1" s="1" a="1"/>
  <c r="AC28" i="1" s="1"/>
  <c r="Z24" i="1" a="1"/>
  <c r="Z24" i="1" s="1"/>
  <c r="AC24" i="1" s="1" a="1"/>
  <c r="AC24" i="1" s="1"/>
  <c r="Z20" i="1" a="1"/>
  <c r="Z20" i="1" s="1"/>
  <c r="AC20" i="1" s="1" a="1"/>
  <c r="AC20" i="1" s="1"/>
  <c r="Z16" i="1" a="1"/>
  <c r="Z16" i="1" s="1"/>
  <c r="AC16" i="1" s="1" a="1"/>
  <c r="AC16" i="1" s="1"/>
  <c r="Z12" i="1" a="1"/>
  <c r="Z12" i="1" s="1"/>
  <c r="AC12" i="1" s="1" a="1"/>
  <c r="AC12" i="1" s="1"/>
  <c r="Z8" i="1" a="1"/>
  <c r="Z8" i="1" s="1"/>
  <c r="AC8" i="1" s="1" a="1"/>
  <c r="AC8" i="1" s="1"/>
  <c r="Z4" i="1" a="1"/>
  <c r="Z4" i="1" s="1"/>
  <c r="AC4" i="1" s="1" a="1"/>
  <c r="AC4" i="1" s="1"/>
  <c r="Y666" i="1" a="1"/>
  <c r="Y666" i="1" s="1"/>
  <c r="Y662" i="1" a="1"/>
  <c r="Y662" i="1" s="1"/>
  <c r="Y658" i="1" a="1"/>
  <c r="Y658" i="1" s="1"/>
  <c r="Y654" i="1" a="1"/>
  <c r="Y654" i="1" s="1"/>
  <c r="Y650" i="1" a="1"/>
  <c r="Y650" i="1" s="1"/>
  <c r="Y646" i="1" a="1"/>
  <c r="Y646" i="1" s="1"/>
  <c r="Y642" i="1" a="1"/>
  <c r="Y642" i="1" s="1"/>
  <c r="Y638" i="1" a="1"/>
  <c r="Y638" i="1" s="1"/>
  <c r="Y634" i="1" a="1"/>
  <c r="Y634" i="1" s="1"/>
  <c r="Y630" i="1" a="1"/>
  <c r="Y630" i="1" s="1"/>
  <c r="Y626" i="1" a="1"/>
  <c r="Y626" i="1" s="1"/>
  <c r="Y622" i="1" a="1"/>
  <c r="Y622" i="1" s="1"/>
  <c r="Y618" i="1" a="1"/>
  <c r="Y618" i="1" s="1"/>
  <c r="Y614" i="1" a="1"/>
  <c r="Y614" i="1" s="1"/>
  <c r="Y610" i="1" a="1"/>
  <c r="Y610" i="1" s="1"/>
  <c r="Y606" i="1" a="1"/>
  <c r="Y606" i="1" s="1"/>
  <c r="Y602" i="1" a="1"/>
  <c r="Y602" i="1" s="1"/>
  <c r="Y598" i="1" a="1"/>
  <c r="Y598" i="1" s="1"/>
  <c r="Y594" i="1" a="1"/>
  <c r="Y594" i="1" s="1"/>
  <c r="Y590" i="1" a="1"/>
  <c r="Y590" i="1" s="1"/>
  <c r="Y586" i="1" a="1"/>
  <c r="Y586" i="1" s="1"/>
  <c r="Y582" i="1" a="1"/>
  <c r="Y582" i="1" s="1"/>
  <c r="Y578" i="1" a="1"/>
  <c r="Y578" i="1" s="1"/>
  <c r="Y574" i="1" a="1"/>
  <c r="Y574" i="1" s="1"/>
  <c r="Y570" i="1" a="1"/>
  <c r="Y570" i="1" s="1"/>
  <c r="Y566" i="1" a="1"/>
  <c r="Y566" i="1" s="1"/>
  <c r="Y562" i="1" a="1"/>
  <c r="Y562" i="1" s="1"/>
  <c r="Y558" i="1" a="1"/>
  <c r="Y558" i="1" s="1"/>
  <c r="Y554" i="1" a="1"/>
  <c r="Y554" i="1" s="1"/>
  <c r="Y550" i="1" a="1"/>
  <c r="Y550" i="1" s="1"/>
  <c r="Y546" i="1" a="1"/>
  <c r="Y546" i="1" s="1"/>
  <c r="Y542" i="1" a="1"/>
  <c r="Y542" i="1" s="1"/>
  <c r="Y538" i="1" a="1"/>
  <c r="Y538" i="1" s="1"/>
  <c r="Y534" i="1" a="1"/>
  <c r="Y534" i="1" s="1"/>
  <c r="Y530" i="1" a="1"/>
  <c r="Y530" i="1" s="1"/>
  <c r="Y526" i="1" a="1"/>
  <c r="Y526" i="1" s="1"/>
  <c r="Y522" i="1" a="1"/>
  <c r="Y522" i="1" s="1"/>
  <c r="Y518" i="1" a="1"/>
  <c r="Y518" i="1" s="1"/>
  <c r="Y514" i="1" a="1"/>
  <c r="Y514" i="1" s="1"/>
  <c r="Y510" i="1" a="1"/>
  <c r="Y510" i="1" s="1"/>
  <c r="Y506" i="1" a="1"/>
  <c r="Y506" i="1" s="1"/>
  <c r="Y502" i="1" a="1"/>
  <c r="Y502" i="1" s="1"/>
  <c r="Y498" i="1" a="1"/>
  <c r="Y498" i="1" s="1"/>
  <c r="Y494" i="1" a="1"/>
  <c r="Y494" i="1" s="1"/>
  <c r="Y490" i="1" a="1"/>
  <c r="Y490" i="1" s="1"/>
  <c r="Y486" i="1" a="1"/>
  <c r="Y486" i="1" s="1"/>
  <c r="Y482" i="1" a="1"/>
  <c r="Y482" i="1" s="1"/>
  <c r="Y478" i="1" a="1"/>
  <c r="Y478" i="1" s="1"/>
  <c r="Y474" i="1" a="1"/>
  <c r="Y474" i="1" s="1"/>
  <c r="Y470" i="1" a="1"/>
  <c r="Y470" i="1" s="1"/>
  <c r="Y466" i="1" a="1"/>
  <c r="Y466" i="1" s="1"/>
  <c r="Y462" i="1" a="1"/>
  <c r="Y462" i="1" s="1"/>
  <c r="Y458" i="1" a="1"/>
  <c r="Y458" i="1" s="1"/>
  <c r="Y454" i="1" a="1"/>
  <c r="Y454" i="1" s="1"/>
  <c r="Y450" i="1" a="1"/>
  <c r="Y450" i="1" s="1"/>
  <c r="Y446" i="1" a="1"/>
  <c r="Y446" i="1" s="1"/>
  <c r="Y442" i="1" a="1"/>
  <c r="Y442" i="1" s="1"/>
  <c r="Y438" i="1" a="1"/>
  <c r="Y438" i="1" s="1"/>
  <c r="Y434" i="1" a="1"/>
  <c r="Y434" i="1" s="1"/>
  <c r="Y430" i="1" a="1"/>
  <c r="Y430" i="1" s="1"/>
  <c r="Y426" i="1" a="1"/>
  <c r="Y426" i="1" s="1"/>
  <c r="Y422" i="1" a="1"/>
  <c r="Y422" i="1" s="1"/>
  <c r="Y418" i="1" a="1"/>
  <c r="Y418" i="1" s="1"/>
  <c r="Y414" i="1" a="1"/>
  <c r="Y414" i="1" s="1"/>
  <c r="Y410" i="1" a="1"/>
  <c r="Y410" i="1" s="1"/>
  <c r="Y406" i="1" a="1"/>
  <c r="Y406" i="1" s="1"/>
  <c r="Y402" i="1" a="1"/>
  <c r="Y402" i="1" s="1"/>
  <c r="Y398" i="1" a="1"/>
  <c r="Y398" i="1" s="1"/>
  <c r="Y394" i="1" a="1"/>
  <c r="Y394" i="1" s="1"/>
  <c r="Y390" i="1" a="1"/>
  <c r="Y390" i="1" s="1"/>
  <c r="Y386" i="1" a="1"/>
  <c r="Y386" i="1" s="1"/>
  <c r="Y382" i="1" a="1"/>
  <c r="Y382" i="1" s="1"/>
  <c r="Y378" i="1" a="1"/>
  <c r="Y378" i="1" s="1"/>
  <c r="Y374" i="1" a="1"/>
  <c r="Y374" i="1" s="1"/>
  <c r="Y370" i="1" a="1"/>
  <c r="Y370" i="1" s="1"/>
  <c r="Y366" i="1" a="1"/>
  <c r="Y366" i="1" s="1"/>
  <c r="Y362" i="1" a="1"/>
  <c r="Y362" i="1" s="1"/>
  <c r="Y358" i="1" a="1"/>
  <c r="Y358" i="1" s="1"/>
  <c r="Y354" i="1" a="1"/>
  <c r="Y354" i="1" s="1"/>
  <c r="Y350" i="1" a="1"/>
  <c r="Y350" i="1" s="1"/>
  <c r="Y346" i="1" a="1"/>
  <c r="Y346" i="1" s="1"/>
  <c r="Y342" i="1" a="1"/>
  <c r="Y342" i="1" s="1"/>
  <c r="Y338" i="1" a="1"/>
  <c r="Y338" i="1" s="1"/>
  <c r="Y334" i="1" a="1"/>
  <c r="Y334" i="1" s="1"/>
  <c r="Y330" i="1" a="1"/>
  <c r="Y330" i="1" s="1"/>
  <c r="Y326" i="1" a="1"/>
  <c r="Y326" i="1" s="1"/>
  <c r="Y322" i="1" a="1"/>
  <c r="Y322" i="1" s="1"/>
  <c r="Y318" i="1" a="1"/>
  <c r="Y318" i="1" s="1"/>
  <c r="Y314" i="1" a="1"/>
  <c r="Y314" i="1" s="1"/>
  <c r="Y310" i="1" a="1"/>
  <c r="Y310" i="1" s="1"/>
  <c r="Y306" i="1" a="1"/>
  <c r="Y306" i="1" s="1"/>
  <c r="Y302" i="1" a="1"/>
  <c r="Y302" i="1" s="1"/>
  <c r="Y298" i="1" a="1"/>
  <c r="Y298" i="1" s="1"/>
  <c r="Y294" i="1" a="1"/>
  <c r="Y294" i="1" s="1"/>
  <c r="Y290" i="1" a="1"/>
  <c r="Y290" i="1" s="1"/>
  <c r="Y286" i="1" a="1"/>
  <c r="Y286" i="1" s="1"/>
  <c r="Y282" i="1" a="1"/>
  <c r="Y282" i="1" s="1"/>
  <c r="Y278" i="1" a="1"/>
  <c r="Y278" i="1" s="1"/>
  <c r="Y274" i="1" a="1"/>
  <c r="Y274" i="1" s="1"/>
  <c r="Y270" i="1" a="1"/>
  <c r="Y270" i="1" s="1"/>
  <c r="Y266" i="1" a="1"/>
  <c r="Y266" i="1" s="1"/>
  <c r="Y262" i="1" a="1"/>
  <c r="Y262" i="1" s="1"/>
  <c r="Y258" i="1" a="1"/>
  <c r="Y258" i="1" s="1"/>
  <c r="Y254" i="1" a="1"/>
  <c r="Y254" i="1" s="1"/>
  <c r="Y250" i="1" a="1"/>
  <c r="Y250" i="1" s="1"/>
  <c r="Y246" i="1" a="1"/>
  <c r="Y246" i="1" s="1"/>
  <c r="Y242" i="1" a="1"/>
  <c r="Y242" i="1" s="1"/>
  <c r="Y238" i="1" a="1"/>
  <c r="Y238" i="1" s="1"/>
  <c r="Y234" i="1" a="1"/>
  <c r="Y234" i="1" s="1"/>
  <c r="Y230" i="1" a="1"/>
  <c r="Y230" i="1" s="1"/>
  <c r="Y226" i="1" a="1"/>
  <c r="Y226" i="1" s="1"/>
  <c r="Y222" i="1" a="1"/>
  <c r="Y222" i="1" s="1"/>
  <c r="Y218" i="1" a="1"/>
  <c r="Y218" i="1" s="1"/>
  <c r="Y214" i="1" a="1"/>
  <c r="Y214" i="1" s="1"/>
  <c r="Y210" i="1" a="1"/>
  <c r="Y210" i="1" s="1"/>
  <c r="Y206" i="1" a="1"/>
  <c r="Y206" i="1" s="1"/>
  <c r="Y202" i="1" a="1"/>
  <c r="Y202" i="1" s="1"/>
  <c r="Y198" i="1" a="1"/>
  <c r="Y198" i="1" s="1"/>
  <c r="Y194" i="1" a="1"/>
  <c r="Y194" i="1" s="1"/>
  <c r="Y190" i="1" a="1"/>
  <c r="Y190" i="1" s="1"/>
  <c r="Y186" i="1" a="1"/>
  <c r="Y186" i="1" s="1"/>
  <c r="Y182" i="1" a="1"/>
  <c r="Y182" i="1" s="1"/>
  <c r="Y178" i="1" a="1"/>
  <c r="Y178" i="1" s="1"/>
  <c r="Y174" i="1" a="1"/>
  <c r="Y174" i="1" s="1"/>
  <c r="Y170" i="1" a="1"/>
  <c r="Y170" i="1" s="1"/>
  <c r="Y166" i="1" a="1"/>
  <c r="Y166" i="1" s="1"/>
  <c r="Y162" i="1" a="1"/>
  <c r="Y162" i="1" s="1"/>
  <c r="Y158" i="1" a="1"/>
  <c r="Y158" i="1" s="1"/>
  <c r="Y154" i="1" a="1"/>
  <c r="Y154" i="1" s="1"/>
  <c r="Y150" i="1" a="1"/>
  <c r="Y150" i="1" s="1"/>
  <c r="Y146" i="1" a="1"/>
  <c r="Y146" i="1" s="1"/>
  <c r="Y142" i="1" a="1"/>
  <c r="Y142" i="1" s="1"/>
  <c r="Y138" i="1" a="1"/>
  <c r="Y138" i="1" s="1"/>
  <c r="Y134" i="1" a="1"/>
  <c r="Y134" i="1" s="1"/>
  <c r="Y130" i="1" a="1"/>
  <c r="Y130" i="1" s="1"/>
  <c r="Y126" i="1" a="1"/>
  <c r="Y126" i="1" s="1"/>
  <c r="Y122" i="1" a="1"/>
  <c r="Y122" i="1" s="1"/>
  <c r="Y118" i="1" a="1"/>
  <c r="Y118" i="1" s="1"/>
  <c r="Y114" i="1" a="1"/>
  <c r="Y114" i="1" s="1"/>
  <c r="Y110" i="1" a="1"/>
  <c r="Y110" i="1" s="1"/>
  <c r="Y106" i="1" a="1"/>
  <c r="Y106" i="1" s="1"/>
  <c r="Y102" i="1" a="1"/>
  <c r="Y102" i="1" s="1"/>
  <c r="Y98" i="1" a="1"/>
  <c r="Y98" i="1" s="1"/>
  <c r="Y94" i="1" a="1"/>
  <c r="Y94" i="1" s="1"/>
  <c r="Y90" i="1" a="1"/>
  <c r="Y90" i="1" s="1"/>
  <c r="Y86" i="1" a="1"/>
  <c r="Y86" i="1" s="1"/>
  <c r="Y82" i="1" a="1"/>
  <c r="Y82" i="1" s="1"/>
  <c r="Y78" i="1" a="1"/>
  <c r="Y78" i="1" s="1"/>
  <c r="Y74" i="1" a="1"/>
  <c r="Y74" i="1" s="1"/>
  <c r="Y70" i="1" a="1"/>
  <c r="Y70" i="1" s="1"/>
  <c r="Y66" i="1" a="1"/>
  <c r="Y66" i="1" s="1"/>
  <c r="Y62" i="1" a="1"/>
  <c r="Y62" i="1" s="1"/>
  <c r="Y58" i="1" a="1"/>
  <c r="Y58" i="1" s="1"/>
  <c r="Y54" i="1" a="1"/>
  <c r="Y54" i="1" s="1"/>
  <c r="Y50" i="1" a="1"/>
  <c r="Y50" i="1" s="1"/>
  <c r="Y46" i="1" a="1"/>
  <c r="Y46" i="1" s="1"/>
  <c r="Y42" i="1" a="1"/>
  <c r="Y42" i="1" s="1"/>
  <c r="Y38" i="1" a="1"/>
  <c r="Y38" i="1" s="1"/>
  <c r="Y34" i="1" a="1"/>
  <c r="Y34" i="1" s="1"/>
  <c r="Y30" i="1" a="1"/>
  <c r="Y30" i="1" s="1"/>
  <c r="Y26" i="1" a="1"/>
  <c r="Y26" i="1" s="1"/>
  <c r="Y22" i="1" a="1"/>
  <c r="Y22" i="1" s="1"/>
  <c r="Y18" i="1" a="1"/>
  <c r="Y18" i="1" s="1"/>
  <c r="Y14" i="1" a="1"/>
  <c r="Y14" i="1" s="1"/>
  <c r="Y10" i="1" a="1"/>
  <c r="Y10" i="1" s="1"/>
  <c r="Y6" i="1" a="1"/>
  <c r="Y6" i="1" s="1"/>
  <c r="Y2" i="1" a="1"/>
  <c r="Y2" i="1" s="1"/>
  <c r="Z507" i="1" a="1"/>
  <c r="Z507" i="1" s="1"/>
  <c r="AC507" i="1" s="1" a="1"/>
  <c r="AC507" i="1" s="1"/>
  <c r="Z503" i="1" a="1"/>
  <c r="Z503" i="1" s="1"/>
  <c r="AC503" i="1" s="1" a="1"/>
  <c r="AC503" i="1" s="1"/>
  <c r="Z499" i="1" a="1"/>
  <c r="Z499" i="1" s="1"/>
  <c r="AC499" i="1" s="1" a="1"/>
  <c r="AC499" i="1" s="1"/>
  <c r="Z495" i="1" a="1"/>
  <c r="Z495" i="1" s="1"/>
  <c r="AC495" i="1" s="1" a="1"/>
  <c r="AC495" i="1" s="1"/>
  <c r="Z491" i="1" a="1"/>
  <c r="Z491" i="1" s="1"/>
  <c r="AC491" i="1" s="1" a="1"/>
  <c r="AC491" i="1" s="1"/>
  <c r="Z487" i="1" a="1"/>
  <c r="Z487" i="1" s="1"/>
  <c r="AC487" i="1" s="1" a="1"/>
  <c r="AC487" i="1" s="1"/>
  <c r="Z483" i="1" a="1"/>
  <c r="Z483" i="1" s="1"/>
  <c r="AC483" i="1" s="1" a="1"/>
  <c r="AC483" i="1" s="1"/>
  <c r="Z479" i="1" a="1"/>
  <c r="Z479" i="1" s="1"/>
  <c r="AC479" i="1" s="1" a="1"/>
  <c r="AC479" i="1" s="1"/>
  <c r="Z475" i="1" a="1"/>
  <c r="Z475" i="1" s="1"/>
  <c r="AC475" i="1" s="1" a="1"/>
  <c r="AC475" i="1" s="1"/>
  <c r="Z471" i="1" a="1"/>
  <c r="Z471" i="1" s="1"/>
  <c r="AC471" i="1" s="1" a="1"/>
  <c r="AC471" i="1" s="1"/>
  <c r="Z467" i="1" a="1"/>
  <c r="Z467" i="1" s="1"/>
  <c r="AC467" i="1" s="1" a="1"/>
  <c r="AC467" i="1" s="1"/>
  <c r="Z463" i="1" a="1"/>
  <c r="Z463" i="1" s="1"/>
  <c r="AC463" i="1" s="1" a="1"/>
  <c r="AC463" i="1" s="1"/>
  <c r="Z459" i="1" a="1"/>
  <c r="Z459" i="1" s="1"/>
  <c r="AC459" i="1" s="1" a="1"/>
  <c r="AC459" i="1" s="1"/>
  <c r="Z455" i="1" a="1"/>
  <c r="Z455" i="1" s="1"/>
  <c r="AC455" i="1" s="1" a="1"/>
  <c r="AC455" i="1" s="1"/>
  <c r="Z451" i="1" a="1"/>
  <c r="Z451" i="1" s="1"/>
  <c r="AC451" i="1" s="1" a="1"/>
  <c r="AC451" i="1" s="1"/>
  <c r="Z447" i="1" a="1"/>
  <c r="Z447" i="1" s="1"/>
  <c r="AC447" i="1" s="1" a="1"/>
  <c r="AC447" i="1" s="1"/>
  <c r="Z443" i="1" a="1"/>
  <c r="Z443" i="1" s="1"/>
  <c r="AC443" i="1" s="1" a="1"/>
  <c r="AC443" i="1" s="1"/>
  <c r="Z439" i="1" a="1"/>
  <c r="Z439" i="1" s="1"/>
  <c r="AC439" i="1" s="1" a="1"/>
  <c r="AC439" i="1" s="1"/>
  <c r="Z435" i="1" a="1"/>
  <c r="Z435" i="1" s="1"/>
  <c r="AC435" i="1" s="1" a="1"/>
  <c r="AC435" i="1" s="1"/>
  <c r="Z431" i="1" a="1"/>
  <c r="Z431" i="1" s="1"/>
  <c r="AC431" i="1" s="1" a="1"/>
  <c r="AC431" i="1" s="1"/>
  <c r="Z427" i="1" a="1"/>
  <c r="Z427" i="1" s="1"/>
  <c r="AC427" i="1" s="1" a="1"/>
  <c r="AC427" i="1" s="1"/>
  <c r="Z423" i="1" a="1"/>
  <c r="Z423" i="1" s="1"/>
  <c r="AC423" i="1" s="1" a="1"/>
  <c r="AC423" i="1" s="1"/>
  <c r="Z419" i="1" a="1"/>
  <c r="Z419" i="1" s="1"/>
  <c r="AC419" i="1" s="1" a="1"/>
  <c r="AC419" i="1" s="1"/>
  <c r="Z415" i="1" a="1"/>
  <c r="Z415" i="1" s="1"/>
  <c r="AC415" i="1" s="1" a="1"/>
  <c r="AC415" i="1" s="1"/>
  <c r="Z411" i="1" a="1"/>
  <c r="Z411" i="1" s="1"/>
  <c r="AC411" i="1" s="1" a="1"/>
  <c r="AC411" i="1" s="1"/>
  <c r="Z407" i="1" a="1"/>
  <c r="Z407" i="1" s="1"/>
  <c r="AC407" i="1" s="1" a="1"/>
  <c r="AC407" i="1" s="1"/>
  <c r="Z403" i="1" a="1"/>
  <c r="Z403" i="1" s="1"/>
  <c r="AC403" i="1" s="1" a="1"/>
  <c r="AC403" i="1" s="1"/>
  <c r="Z399" i="1" a="1"/>
  <c r="Z399" i="1" s="1"/>
  <c r="AC399" i="1" s="1" a="1"/>
  <c r="AC399" i="1" s="1"/>
  <c r="Z395" i="1" a="1"/>
  <c r="Z395" i="1" s="1"/>
  <c r="AC395" i="1" s="1" a="1"/>
  <c r="AC395" i="1" s="1"/>
  <c r="Z391" i="1" a="1"/>
  <c r="Z391" i="1" s="1"/>
  <c r="AC391" i="1" s="1" a="1"/>
  <c r="AC391" i="1" s="1"/>
  <c r="Z387" i="1" a="1"/>
  <c r="Z387" i="1" s="1"/>
  <c r="AC387" i="1" s="1" a="1"/>
  <c r="AC387" i="1" s="1"/>
  <c r="Z383" i="1" a="1"/>
  <c r="Z383" i="1" s="1"/>
  <c r="AC383" i="1" s="1" a="1"/>
  <c r="AC383" i="1" s="1"/>
  <c r="Z379" i="1" a="1"/>
  <c r="Z379" i="1" s="1"/>
  <c r="AC379" i="1" s="1" a="1"/>
  <c r="AC379" i="1" s="1"/>
  <c r="Z375" i="1" a="1"/>
  <c r="Z375" i="1" s="1"/>
  <c r="AC375" i="1" s="1" a="1"/>
  <c r="AC375" i="1" s="1"/>
  <c r="Z371" i="1" a="1"/>
  <c r="Z371" i="1" s="1"/>
  <c r="AC371" i="1" s="1" a="1"/>
  <c r="AC371" i="1" s="1"/>
  <c r="Z367" i="1" a="1"/>
  <c r="Z367" i="1" s="1"/>
  <c r="AC367" i="1" s="1" a="1"/>
  <c r="AC367" i="1" s="1"/>
  <c r="Z363" i="1" a="1"/>
  <c r="Z363" i="1" s="1"/>
  <c r="AC363" i="1" s="1" a="1"/>
  <c r="AC363" i="1" s="1"/>
  <c r="Z359" i="1" a="1"/>
  <c r="Z359" i="1" s="1"/>
  <c r="AC359" i="1" s="1" a="1"/>
  <c r="AC359" i="1" s="1"/>
  <c r="Z355" i="1" a="1"/>
  <c r="Z355" i="1" s="1"/>
  <c r="AC355" i="1" s="1" a="1"/>
  <c r="AC355" i="1" s="1"/>
  <c r="Z351" i="1" a="1"/>
  <c r="Z351" i="1" s="1"/>
  <c r="AC351" i="1" s="1" a="1"/>
  <c r="AC351" i="1" s="1"/>
  <c r="Z347" i="1" a="1"/>
  <c r="Z347" i="1" s="1"/>
  <c r="AC347" i="1" s="1" a="1"/>
  <c r="AC347" i="1" s="1"/>
  <c r="Z343" i="1" a="1"/>
  <c r="Z343" i="1" s="1"/>
  <c r="AC343" i="1" s="1" a="1"/>
  <c r="AC343" i="1" s="1"/>
  <c r="Z339" i="1" a="1"/>
  <c r="Z339" i="1" s="1"/>
  <c r="AC339" i="1" s="1" a="1"/>
  <c r="AC339" i="1" s="1"/>
  <c r="Z335" i="1" a="1"/>
  <c r="Z335" i="1" s="1"/>
  <c r="AC335" i="1" s="1" a="1"/>
  <c r="AC335" i="1" s="1"/>
  <c r="Z331" i="1" a="1"/>
  <c r="Z331" i="1" s="1"/>
  <c r="AC331" i="1" s="1" a="1"/>
  <c r="AC331" i="1" s="1"/>
  <c r="Z327" i="1" a="1"/>
  <c r="Z327" i="1" s="1"/>
  <c r="AC327" i="1" s="1" a="1"/>
  <c r="AC327" i="1" s="1"/>
  <c r="Z323" i="1" a="1"/>
  <c r="Z323" i="1" s="1"/>
  <c r="AC323" i="1" s="1" a="1"/>
  <c r="AC323" i="1" s="1"/>
  <c r="Z319" i="1" a="1"/>
  <c r="Z319" i="1" s="1"/>
  <c r="AC319" i="1" s="1" a="1"/>
  <c r="AC319" i="1" s="1"/>
  <c r="Z315" i="1" a="1"/>
  <c r="Z315" i="1" s="1"/>
  <c r="AC315" i="1" s="1" a="1"/>
  <c r="AC315" i="1" s="1"/>
  <c r="Z311" i="1" a="1"/>
  <c r="Z311" i="1" s="1"/>
  <c r="AC311" i="1" s="1" a="1"/>
  <c r="AC311" i="1" s="1"/>
  <c r="Z307" i="1" a="1"/>
  <c r="Z307" i="1" s="1"/>
  <c r="AC307" i="1" s="1" a="1"/>
  <c r="AC307" i="1" s="1"/>
  <c r="Z303" i="1" a="1"/>
  <c r="Z303" i="1" s="1"/>
  <c r="AC303" i="1" s="1" a="1"/>
  <c r="AC303" i="1" s="1"/>
  <c r="Z299" i="1" a="1"/>
  <c r="Z299" i="1" s="1"/>
  <c r="AC299" i="1" s="1" a="1"/>
  <c r="AC299" i="1" s="1"/>
  <c r="Z295" i="1" a="1"/>
  <c r="Z295" i="1" s="1"/>
  <c r="AC295" i="1" s="1" a="1"/>
  <c r="AC295" i="1" s="1"/>
  <c r="Z291" i="1" a="1"/>
  <c r="Z291" i="1" s="1"/>
  <c r="AC291" i="1" s="1" a="1"/>
  <c r="AC291" i="1" s="1"/>
  <c r="Z287" i="1" a="1"/>
  <c r="Z287" i="1" s="1"/>
  <c r="AC287" i="1" s="1" a="1"/>
  <c r="AC287" i="1" s="1"/>
  <c r="Z283" i="1" a="1"/>
  <c r="Z283" i="1" s="1"/>
  <c r="AC283" i="1" s="1" a="1"/>
  <c r="AC283" i="1" s="1"/>
  <c r="Z279" i="1" a="1"/>
  <c r="Z279" i="1" s="1"/>
  <c r="AC279" i="1" s="1" a="1"/>
  <c r="AC279" i="1" s="1"/>
  <c r="Z275" i="1" a="1"/>
  <c r="Z275" i="1" s="1"/>
  <c r="AC275" i="1" s="1" a="1"/>
  <c r="AC275" i="1" s="1"/>
  <c r="Z271" i="1" a="1"/>
  <c r="Z271" i="1" s="1"/>
  <c r="AC271" i="1" s="1" a="1"/>
  <c r="AC271" i="1" s="1"/>
  <c r="Z267" i="1" a="1"/>
  <c r="Z267" i="1" s="1"/>
  <c r="AC267" i="1" s="1" a="1"/>
  <c r="AC267" i="1" s="1"/>
  <c r="Z263" i="1" a="1"/>
  <c r="Z263" i="1" s="1"/>
  <c r="AC263" i="1" s="1" a="1"/>
  <c r="AC263" i="1" s="1"/>
  <c r="Z259" i="1" a="1"/>
  <c r="Z259" i="1" s="1"/>
  <c r="AC259" i="1" s="1" a="1"/>
  <c r="AC259" i="1" s="1"/>
  <c r="Z255" i="1" a="1"/>
  <c r="Z255" i="1" s="1"/>
  <c r="AC255" i="1" s="1" a="1"/>
  <c r="AC255" i="1" s="1"/>
  <c r="Z251" i="1" a="1"/>
  <c r="Z251" i="1" s="1"/>
  <c r="AC251" i="1" s="1" a="1"/>
  <c r="AC251" i="1" s="1"/>
  <c r="Z247" i="1" a="1"/>
  <c r="Z247" i="1" s="1"/>
  <c r="AC247" i="1" s="1" a="1"/>
  <c r="AC247" i="1" s="1"/>
  <c r="Z243" i="1" a="1"/>
  <c r="Z243" i="1" s="1"/>
  <c r="AC243" i="1" s="1" a="1"/>
  <c r="AC243" i="1" s="1"/>
  <c r="Z239" i="1" a="1"/>
  <c r="Z239" i="1" s="1"/>
  <c r="AC239" i="1" s="1" a="1"/>
  <c r="AC239" i="1" s="1"/>
  <c r="Z235" i="1" a="1"/>
  <c r="Z235" i="1" s="1"/>
  <c r="AC235" i="1" s="1" a="1"/>
  <c r="AC235" i="1" s="1"/>
  <c r="Z231" i="1" a="1"/>
  <c r="Z231" i="1" s="1"/>
  <c r="AC231" i="1" s="1" a="1"/>
  <c r="AC231" i="1" s="1"/>
  <c r="Z227" i="1" a="1"/>
  <c r="Z227" i="1" s="1"/>
  <c r="AC227" i="1" s="1" a="1"/>
  <c r="AC227" i="1" s="1"/>
  <c r="Z223" i="1" a="1"/>
  <c r="Z223" i="1" s="1"/>
  <c r="AC223" i="1" s="1" a="1"/>
  <c r="AC223" i="1" s="1"/>
  <c r="Z219" i="1" a="1"/>
  <c r="Z219" i="1" s="1"/>
  <c r="AC219" i="1" s="1" a="1"/>
  <c r="AC219" i="1" s="1"/>
  <c r="Z215" i="1" a="1"/>
  <c r="Z215" i="1" s="1"/>
  <c r="AC215" i="1" s="1" a="1"/>
  <c r="AC215" i="1" s="1"/>
  <c r="Z211" i="1" a="1"/>
  <c r="Z211" i="1" s="1"/>
  <c r="AC211" i="1" s="1" a="1"/>
  <c r="AC211" i="1" s="1"/>
  <c r="Z207" i="1" a="1"/>
  <c r="Z207" i="1" s="1"/>
  <c r="AC207" i="1" s="1" a="1"/>
  <c r="AC207" i="1" s="1"/>
  <c r="Z203" i="1" a="1"/>
  <c r="Z203" i="1" s="1"/>
  <c r="AC203" i="1" s="1" a="1"/>
  <c r="AC203" i="1" s="1"/>
  <c r="Z199" i="1" a="1"/>
  <c r="Z199" i="1" s="1"/>
  <c r="AC199" i="1" s="1" a="1"/>
  <c r="AC199" i="1" s="1"/>
  <c r="Z195" i="1" a="1"/>
  <c r="Z195" i="1" s="1"/>
  <c r="AC195" i="1" s="1" a="1"/>
  <c r="AC195" i="1" s="1"/>
  <c r="Z191" i="1" a="1"/>
  <c r="Z191" i="1" s="1"/>
  <c r="AC191" i="1" s="1" a="1"/>
  <c r="AC191" i="1" s="1"/>
  <c r="Z187" i="1" a="1"/>
  <c r="Z187" i="1" s="1"/>
  <c r="AC187" i="1" s="1" a="1"/>
  <c r="AC187" i="1" s="1"/>
  <c r="Z183" i="1" a="1"/>
  <c r="Z183" i="1" s="1"/>
  <c r="AC183" i="1" s="1" a="1"/>
  <c r="AC183" i="1" s="1"/>
  <c r="Z179" i="1" a="1"/>
  <c r="Z179" i="1" s="1"/>
  <c r="AC179" i="1" s="1" a="1"/>
  <c r="AC179" i="1" s="1"/>
  <c r="Z175" i="1" a="1"/>
  <c r="Z175" i="1" s="1"/>
  <c r="AC175" i="1" s="1" a="1"/>
  <c r="AC175" i="1" s="1"/>
  <c r="Z171" i="1" a="1"/>
  <c r="Z171" i="1" s="1"/>
  <c r="AC171" i="1" s="1" a="1"/>
  <c r="AC171" i="1" s="1"/>
  <c r="Z167" i="1" a="1"/>
  <c r="Z167" i="1" s="1"/>
  <c r="AC167" i="1" s="1" a="1"/>
  <c r="AC167" i="1" s="1"/>
  <c r="Z163" i="1" a="1"/>
  <c r="Z163" i="1" s="1"/>
  <c r="AC163" i="1" s="1" a="1"/>
  <c r="AC163" i="1" s="1"/>
  <c r="Z159" i="1" a="1"/>
  <c r="Z159" i="1" s="1"/>
  <c r="AC159" i="1" s="1" a="1"/>
  <c r="AC159" i="1" s="1"/>
  <c r="Z155" i="1" a="1"/>
  <c r="Z155" i="1" s="1"/>
  <c r="AC155" i="1" s="1" a="1"/>
  <c r="AC155" i="1" s="1"/>
  <c r="Z151" i="1" a="1"/>
  <c r="Z151" i="1" s="1"/>
  <c r="AC151" i="1" s="1" a="1"/>
  <c r="AC151" i="1" s="1"/>
  <c r="Z147" i="1" a="1"/>
  <c r="Z147" i="1" s="1"/>
  <c r="AC147" i="1" s="1" a="1"/>
  <c r="AC147" i="1" s="1"/>
  <c r="Z143" i="1" a="1"/>
  <c r="Z143" i="1" s="1"/>
  <c r="AC143" i="1" s="1" a="1"/>
  <c r="AC143" i="1" s="1"/>
  <c r="Z139" i="1" a="1"/>
  <c r="Z139" i="1" s="1"/>
  <c r="AC139" i="1" s="1" a="1"/>
  <c r="AC139" i="1" s="1"/>
  <c r="Z135" i="1" a="1"/>
  <c r="Z135" i="1" s="1"/>
  <c r="AC135" i="1" s="1" a="1"/>
  <c r="AC135" i="1" s="1"/>
  <c r="Z131" i="1" a="1"/>
  <c r="Z131" i="1" s="1"/>
  <c r="AC131" i="1" s="1" a="1"/>
  <c r="AC131" i="1" s="1"/>
  <c r="Z127" i="1" a="1"/>
  <c r="Z127" i="1" s="1"/>
  <c r="AC127" i="1" s="1" a="1"/>
  <c r="AC127" i="1" s="1"/>
  <c r="Z123" i="1" a="1"/>
  <c r="Z123" i="1" s="1"/>
  <c r="AC123" i="1" s="1" a="1"/>
  <c r="AC123" i="1" s="1"/>
  <c r="Z119" i="1" a="1"/>
  <c r="Z119" i="1" s="1"/>
  <c r="AC119" i="1" s="1" a="1"/>
  <c r="AC119" i="1" s="1"/>
  <c r="Z115" i="1" a="1"/>
  <c r="Z115" i="1" s="1"/>
  <c r="AC115" i="1" s="1" a="1"/>
  <c r="AC115" i="1" s="1"/>
  <c r="Z111" i="1" a="1"/>
  <c r="Z111" i="1" s="1"/>
  <c r="AC111" i="1" s="1" a="1"/>
  <c r="AC111" i="1" s="1"/>
  <c r="Z107" i="1" a="1"/>
  <c r="Z107" i="1" s="1"/>
  <c r="AC107" i="1" s="1" a="1"/>
  <c r="AC107" i="1" s="1"/>
  <c r="Z103" i="1" a="1"/>
  <c r="Z103" i="1" s="1"/>
  <c r="AC103" i="1" s="1" a="1"/>
  <c r="AC103" i="1" s="1"/>
  <c r="Z99" i="1" a="1"/>
  <c r="Z99" i="1" s="1"/>
  <c r="AC99" i="1" s="1" a="1"/>
  <c r="AC99" i="1" s="1"/>
  <c r="Z95" i="1" a="1"/>
  <c r="Z95" i="1" s="1"/>
  <c r="AC95" i="1" s="1" a="1"/>
  <c r="AC95" i="1" s="1"/>
  <c r="Z91" i="1" a="1"/>
  <c r="Z91" i="1" s="1"/>
  <c r="AC91" i="1" s="1" a="1"/>
  <c r="AC91" i="1" s="1"/>
  <c r="Z87" i="1" a="1"/>
  <c r="Z87" i="1" s="1"/>
  <c r="AC87" i="1" s="1" a="1"/>
  <c r="AC87" i="1" s="1"/>
  <c r="Z83" i="1" a="1"/>
  <c r="Z83" i="1" s="1"/>
  <c r="AC83" i="1" s="1" a="1"/>
  <c r="AC83" i="1" s="1"/>
  <c r="Z79" i="1" a="1"/>
  <c r="Z79" i="1" s="1"/>
  <c r="AC79" i="1" s="1" a="1"/>
  <c r="AC79" i="1" s="1"/>
  <c r="Z75" i="1" a="1"/>
  <c r="Z75" i="1" s="1"/>
  <c r="AC75" i="1" s="1" a="1"/>
  <c r="AC75" i="1" s="1"/>
  <c r="Z71" i="1" a="1"/>
  <c r="Z71" i="1" s="1"/>
  <c r="AC71" i="1" s="1" a="1"/>
  <c r="AC71" i="1" s="1"/>
  <c r="Z67" i="1" a="1"/>
  <c r="Z67" i="1" s="1"/>
  <c r="AC67" i="1" s="1" a="1"/>
  <c r="AC67" i="1" s="1"/>
  <c r="Z63" i="1" a="1"/>
  <c r="Z63" i="1" s="1"/>
  <c r="AC63" i="1" s="1" a="1"/>
  <c r="AC63" i="1" s="1"/>
  <c r="Z59" i="1" a="1"/>
  <c r="Z59" i="1" s="1"/>
  <c r="AC59" i="1" s="1" a="1"/>
  <c r="AC59" i="1" s="1"/>
  <c r="Z55" i="1" a="1"/>
  <c r="Z55" i="1" s="1"/>
  <c r="AC55" i="1" s="1" a="1"/>
  <c r="AC55" i="1" s="1"/>
  <c r="Z51" i="1" a="1"/>
  <c r="Z51" i="1" s="1"/>
  <c r="AC51" i="1" s="1" a="1"/>
  <c r="AC51" i="1" s="1"/>
  <c r="Z47" i="1" a="1"/>
  <c r="Z47" i="1" s="1"/>
  <c r="AC47" i="1" s="1" a="1"/>
  <c r="AC47" i="1" s="1"/>
  <c r="Z43" i="1" a="1"/>
  <c r="Z43" i="1" s="1"/>
  <c r="AC43" i="1" s="1" a="1"/>
  <c r="AC43" i="1" s="1"/>
  <c r="Z39" i="1" a="1"/>
  <c r="Z39" i="1" s="1"/>
  <c r="AC39" i="1" s="1" a="1"/>
  <c r="AC39" i="1" s="1"/>
  <c r="Z35" i="1" a="1"/>
  <c r="Z35" i="1" s="1"/>
  <c r="AC35" i="1" s="1" a="1"/>
  <c r="AC35" i="1" s="1"/>
  <c r="Z31" i="1" a="1"/>
  <c r="Z31" i="1" s="1"/>
  <c r="AC31" i="1" s="1" a="1"/>
  <c r="AC31" i="1" s="1"/>
  <c r="Z27" i="1" a="1"/>
  <c r="Z27" i="1" s="1"/>
  <c r="AC27" i="1" s="1" a="1"/>
  <c r="AC27" i="1" s="1"/>
  <c r="Z23" i="1" a="1"/>
  <c r="Z23" i="1" s="1"/>
  <c r="AC23" i="1" s="1" a="1"/>
  <c r="AC23" i="1" s="1"/>
  <c r="Z19" i="1" a="1"/>
  <c r="Z19" i="1" s="1"/>
  <c r="AC19" i="1" s="1" a="1"/>
  <c r="AC19" i="1" s="1"/>
  <c r="Z15" i="1" a="1"/>
  <c r="Z15" i="1" s="1"/>
  <c r="AC15" i="1" s="1" a="1"/>
  <c r="AC15" i="1" s="1"/>
  <c r="Z11" i="1" a="1"/>
  <c r="Z11" i="1" s="1"/>
  <c r="AC11" i="1" s="1" a="1"/>
  <c r="AC11" i="1" s="1"/>
  <c r="Z7" i="1" a="1"/>
  <c r="Z7" i="1" s="1"/>
  <c r="AC7" i="1" s="1" a="1"/>
  <c r="AC7" i="1" s="1"/>
  <c r="Z3" i="1" a="1"/>
  <c r="Z3" i="1" s="1"/>
  <c r="AC3" i="1" s="1" a="1"/>
  <c r="AC3" i="1" s="1"/>
  <c r="Y665" i="1" a="1"/>
  <c r="Y665" i="1" s="1"/>
  <c r="Y661" i="1" a="1"/>
  <c r="Y661" i="1" s="1"/>
  <c r="Y657" i="1" a="1"/>
  <c r="Y657" i="1" s="1"/>
  <c r="Y653" i="1" a="1"/>
  <c r="Y653" i="1" s="1"/>
  <c r="Y649" i="1" a="1"/>
  <c r="Y649" i="1" s="1"/>
  <c r="Y645" i="1" a="1"/>
  <c r="Y645" i="1" s="1"/>
  <c r="Y641" i="1" a="1"/>
  <c r="Y641" i="1" s="1"/>
  <c r="Y637" i="1" a="1"/>
  <c r="Y637" i="1" s="1"/>
  <c r="Y633" i="1" a="1"/>
  <c r="Y633" i="1" s="1"/>
  <c r="Y629" i="1" a="1"/>
  <c r="Y629" i="1" s="1"/>
  <c r="Y625" i="1" a="1"/>
  <c r="Y625" i="1" s="1"/>
  <c r="Y621" i="1" a="1"/>
  <c r="Y621" i="1" s="1"/>
  <c r="Y617" i="1" a="1"/>
  <c r="Y617" i="1" s="1"/>
  <c r="Y613" i="1" a="1"/>
  <c r="Y613" i="1" s="1"/>
  <c r="Y609" i="1" a="1"/>
  <c r="Y609" i="1" s="1"/>
  <c r="Y605" i="1" a="1"/>
  <c r="Y605" i="1" s="1"/>
  <c r="Y601" i="1" a="1"/>
  <c r="Y601" i="1" s="1"/>
  <c r="Y597" i="1" a="1"/>
  <c r="Y597" i="1" s="1"/>
  <c r="Y593" i="1" a="1"/>
  <c r="Y593" i="1" s="1"/>
  <c r="Y589" i="1" a="1"/>
  <c r="Y589" i="1" s="1"/>
  <c r="Y585" i="1" a="1"/>
  <c r="Y585" i="1" s="1"/>
  <c r="Y581" i="1" a="1"/>
  <c r="Y581" i="1" s="1"/>
  <c r="Y577" i="1" a="1"/>
  <c r="Y577" i="1" s="1"/>
  <c r="Y573" i="1" a="1"/>
  <c r="Y573" i="1" s="1"/>
  <c r="Y569" i="1" a="1"/>
  <c r="Y569" i="1" s="1"/>
  <c r="Y565" i="1" a="1"/>
  <c r="Y565" i="1" s="1"/>
  <c r="Y561" i="1" a="1"/>
  <c r="Y561" i="1" s="1"/>
  <c r="Y557" i="1" a="1"/>
  <c r="Y557" i="1" s="1"/>
  <c r="Y553" i="1" a="1"/>
  <c r="Y553" i="1" s="1"/>
  <c r="Y549" i="1" a="1"/>
  <c r="Y549" i="1" s="1"/>
  <c r="Y545" i="1" a="1"/>
  <c r="Y545" i="1" s="1"/>
  <c r="Y541" i="1" a="1"/>
  <c r="Y541" i="1" s="1"/>
  <c r="Y537" i="1" a="1"/>
  <c r="Y537" i="1" s="1"/>
  <c r="Y533" i="1" a="1"/>
  <c r="Y533" i="1" s="1"/>
  <c r="Y529" i="1" a="1"/>
  <c r="Y529" i="1" s="1"/>
  <c r="Y525" i="1" a="1"/>
  <c r="Y525" i="1" s="1"/>
  <c r="Y521" i="1" a="1"/>
  <c r="Y521" i="1" s="1"/>
  <c r="Y517" i="1" a="1"/>
  <c r="Y517" i="1" s="1"/>
  <c r="Y513" i="1" a="1"/>
  <c r="Y513" i="1" s="1"/>
  <c r="Y509" i="1" a="1"/>
  <c r="Y509" i="1" s="1"/>
  <c r="Y505" i="1" a="1"/>
  <c r="Y505" i="1" s="1"/>
  <c r="Y501" i="1" a="1"/>
  <c r="Y501" i="1" s="1"/>
  <c r="Y497" i="1" a="1"/>
  <c r="Y497" i="1" s="1"/>
  <c r="Y493" i="1" a="1"/>
  <c r="Y493" i="1" s="1"/>
  <c r="Y489" i="1" a="1"/>
  <c r="Y489" i="1" s="1"/>
  <c r="Y485" i="1" a="1"/>
  <c r="Y485" i="1" s="1"/>
  <c r="Y481" i="1" a="1"/>
  <c r="Y481" i="1" s="1"/>
  <c r="Y477" i="1" a="1"/>
  <c r="Y477" i="1" s="1"/>
  <c r="Y473" i="1" a="1"/>
  <c r="Y473" i="1" s="1"/>
  <c r="Y469" i="1" a="1"/>
  <c r="Y469" i="1" s="1"/>
  <c r="Y465" i="1" a="1"/>
  <c r="Y465" i="1" s="1"/>
  <c r="Y461" i="1" a="1"/>
  <c r="Y461" i="1" s="1"/>
  <c r="Y457" i="1" a="1"/>
  <c r="Y457" i="1" s="1"/>
  <c r="Y453" i="1" a="1"/>
  <c r="Y453" i="1" s="1"/>
  <c r="Y449" i="1" a="1"/>
  <c r="Y449" i="1" s="1"/>
  <c r="Y445" i="1" a="1"/>
  <c r="Y445" i="1" s="1"/>
  <c r="Y441" i="1" a="1"/>
  <c r="Y441" i="1" s="1"/>
  <c r="Y437" i="1" a="1"/>
  <c r="Y437" i="1" s="1"/>
  <c r="Y433" i="1" a="1"/>
  <c r="Y433" i="1" s="1"/>
  <c r="Y429" i="1" a="1"/>
  <c r="Y429" i="1" s="1"/>
  <c r="Y425" i="1" a="1"/>
  <c r="Y425" i="1" s="1"/>
  <c r="Y421" i="1" a="1"/>
  <c r="Y421" i="1" s="1"/>
  <c r="Y417" i="1" a="1"/>
  <c r="Y417" i="1" s="1"/>
  <c r="Y413" i="1" a="1"/>
  <c r="Y413" i="1" s="1"/>
  <c r="Y409" i="1" a="1"/>
  <c r="Y409" i="1" s="1"/>
  <c r="Y405" i="1" a="1"/>
  <c r="Y405" i="1" s="1"/>
  <c r="Y401" i="1" a="1"/>
  <c r="Y401" i="1" s="1"/>
  <c r="Y397" i="1" a="1"/>
  <c r="Y397" i="1" s="1"/>
  <c r="Y393" i="1" a="1"/>
  <c r="Y393" i="1" s="1"/>
  <c r="Y389" i="1" a="1"/>
  <c r="Y389" i="1" s="1"/>
  <c r="Y385" i="1" a="1"/>
  <c r="Y385" i="1" s="1"/>
  <c r="Y381" i="1" a="1"/>
  <c r="Y381" i="1" s="1"/>
  <c r="Y377" i="1" a="1"/>
  <c r="Y377" i="1" s="1"/>
  <c r="Y373" i="1" a="1"/>
  <c r="Y373" i="1" s="1"/>
  <c r="Y369" i="1" a="1"/>
  <c r="Y369" i="1" s="1"/>
  <c r="Y365" i="1" a="1"/>
  <c r="Y365" i="1" s="1"/>
  <c r="Y361" i="1" a="1"/>
  <c r="Y361" i="1" s="1"/>
  <c r="Y357" i="1" a="1"/>
  <c r="Y357" i="1" s="1"/>
  <c r="Y353" i="1" a="1"/>
  <c r="Y353" i="1" s="1"/>
  <c r="Y349" i="1" a="1"/>
  <c r="Y349" i="1" s="1"/>
  <c r="Y345" i="1" a="1"/>
  <c r="Y345" i="1" s="1"/>
  <c r="Y341" i="1" a="1"/>
  <c r="Y341" i="1" s="1"/>
  <c r="Y337" i="1" a="1"/>
  <c r="Y337" i="1" s="1"/>
  <c r="Y333" i="1" a="1"/>
  <c r="Y333" i="1" s="1"/>
  <c r="Y329" i="1" a="1"/>
  <c r="Y329" i="1" s="1"/>
  <c r="Y325" i="1" a="1"/>
  <c r="Y325" i="1" s="1"/>
  <c r="Y321" i="1" a="1"/>
  <c r="Y321" i="1" s="1"/>
  <c r="Y317" i="1" a="1"/>
  <c r="Y317" i="1" s="1"/>
  <c r="Y313" i="1" a="1"/>
  <c r="Y313" i="1" s="1"/>
  <c r="Y309" i="1" a="1"/>
  <c r="Y309" i="1" s="1"/>
  <c r="Y305" i="1" a="1"/>
  <c r="Y305" i="1" s="1"/>
  <c r="Y301" i="1" a="1"/>
  <c r="Y301" i="1" s="1"/>
  <c r="Y297" i="1" a="1"/>
  <c r="Y297" i="1" s="1"/>
  <c r="Y293" i="1" a="1"/>
  <c r="Y293" i="1" s="1"/>
  <c r="Y289" i="1" a="1"/>
  <c r="Y289" i="1" s="1"/>
  <c r="Y285" i="1" a="1"/>
  <c r="Y285" i="1" s="1"/>
  <c r="Y281" i="1" a="1"/>
  <c r="Y281" i="1" s="1"/>
  <c r="Y277" i="1" a="1"/>
  <c r="Y277" i="1" s="1"/>
  <c r="Y273" i="1" a="1"/>
  <c r="Y273" i="1" s="1"/>
  <c r="Y269" i="1" a="1"/>
  <c r="Y269" i="1" s="1"/>
  <c r="Y265" i="1" a="1"/>
  <c r="Y265" i="1" s="1"/>
  <c r="Y261" i="1" a="1"/>
  <c r="Y261" i="1" s="1"/>
  <c r="Y257" i="1" a="1"/>
  <c r="Y257" i="1" s="1"/>
  <c r="Y253" i="1" a="1"/>
  <c r="Y253" i="1" s="1"/>
  <c r="Y249" i="1" a="1"/>
  <c r="Y249" i="1" s="1"/>
  <c r="Y245" i="1" a="1"/>
  <c r="Y245" i="1" s="1"/>
  <c r="Y241" i="1" a="1"/>
  <c r="Y241" i="1" s="1"/>
  <c r="Y237" i="1" a="1"/>
  <c r="Y237" i="1" s="1"/>
  <c r="Y233" i="1" a="1"/>
  <c r="Y233" i="1" s="1"/>
  <c r="Y229" i="1" a="1"/>
  <c r="Y229" i="1" s="1"/>
  <c r="Y225" i="1" a="1"/>
  <c r="Y225" i="1" s="1"/>
  <c r="Y221" i="1" a="1"/>
  <c r="Y221" i="1" s="1"/>
  <c r="Y217" i="1" a="1"/>
  <c r="Y217" i="1" s="1"/>
  <c r="Y213" i="1" a="1"/>
  <c r="Y213" i="1" s="1"/>
  <c r="Y209" i="1" a="1"/>
  <c r="Y209" i="1" s="1"/>
  <c r="Y205" i="1" a="1"/>
  <c r="Y205" i="1" s="1"/>
  <c r="Y201" i="1" a="1"/>
  <c r="Y201" i="1" s="1"/>
  <c r="Y197" i="1" a="1"/>
  <c r="Y197" i="1" s="1"/>
  <c r="Y193" i="1" a="1"/>
  <c r="Y193" i="1" s="1"/>
  <c r="Y189" i="1" a="1"/>
  <c r="Y189" i="1" s="1"/>
  <c r="Y185" i="1" a="1"/>
  <c r="Y185" i="1" s="1"/>
  <c r="Y181" i="1" a="1"/>
  <c r="Y181" i="1" s="1"/>
  <c r="Y177" i="1" a="1"/>
  <c r="Y177" i="1" s="1"/>
  <c r="Y173" i="1" a="1"/>
  <c r="Y173" i="1" s="1"/>
  <c r="Y169" i="1" a="1"/>
  <c r="Y169" i="1" s="1"/>
  <c r="Y165" i="1" a="1"/>
  <c r="Y165" i="1" s="1"/>
  <c r="Y161" i="1" a="1"/>
  <c r="Y161" i="1" s="1"/>
  <c r="Y157" i="1" a="1"/>
  <c r="Y157" i="1" s="1"/>
  <c r="Y153" i="1" a="1"/>
  <c r="Y153" i="1" s="1"/>
  <c r="Y149" i="1" a="1"/>
  <c r="Y149" i="1" s="1"/>
  <c r="Y145" i="1" a="1"/>
  <c r="Y145" i="1" s="1"/>
  <c r="Y141" i="1" a="1"/>
  <c r="Y141" i="1" s="1"/>
  <c r="Y137" i="1" a="1"/>
  <c r="Y137" i="1" s="1"/>
  <c r="Y133" i="1" a="1"/>
  <c r="Y133" i="1" s="1"/>
  <c r="Y129" i="1" a="1"/>
  <c r="Y129" i="1" s="1"/>
  <c r="Y125" i="1" a="1"/>
  <c r="Y125" i="1" s="1"/>
  <c r="Y121" i="1" a="1"/>
  <c r="Y121" i="1" s="1"/>
  <c r="Y117" i="1" a="1"/>
  <c r="Y117" i="1" s="1"/>
  <c r="Y113" i="1" a="1"/>
  <c r="Y113" i="1" s="1"/>
  <c r="Y109" i="1" a="1"/>
  <c r="Y109" i="1" s="1"/>
  <c r="Y105" i="1" a="1"/>
  <c r="Y105" i="1" s="1"/>
  <c r="Y101" i="1" a="1"/>
  <c r="Y101" i="1" s="1"/>
  <c r="Y97" i="1" a="1"/>
  <c r="Y97" i="1" s="1"/>
  <c r="Y93" i="1" a="1"/>
  <c r="Y93" i="1" s="1"/>
  <c r="Y89" i="1" a="1"/>
  <c r="Y89" i="1" s="1"/>
  <c r="Y85" i="1" a="1"/>
  <c r="Y85" i="1" s="1"/>
  <c r="Y81" i="1" a="1"/>
  <c r="Y81" i="1" s="1"/>
  <c r="Y77" i="1" a="1"/>
  <c r="Y77" i="1" s="1"/>
  <c r="Y73" i="1" a="1"/>
  <c r="Y73" i="1" s="1"/>
  <c r="Y69" i="1" a="1"/>
  <c r="Y69" i="1" s="1"/>
  <c r="Y65" i="1" a="1"/>
  <c r="Y65" i="1" s="1"/>
  <c r="Y61" i="1" a="1"/>
  <c r="Y61" i="1" s="1"/>
  <c r="Y57" i="1" a="1"/>
  <c r="Y57" i="1" s="1"/>
  <c r="Y53" i="1" a="1"/>
  <c r="Y53" i="1" s="1"/>
  <c r="Y49" i="1" a="1"/>
  <c r="Y49" i="1" s="1"/>
  <c r="Y45" i="1" a="1"/>
  <c r="Y45" i="1" s="1"/>
  <c r="Y41" i="1" a="1"/>
  <c r="Y41" i="1" s="1"/>
  <c r="Y37" i="1" a="1"/>
  <c r="Y37" i="1" s="1"/>
  <c r="Y33" i="1" a="1"/>
  <c r="Y33" i="1" s="1"/>
  <c r="Y29" i="1" a="1"/>
  <c r="Y29" i="1" s="1"/>
  <c r="Y25" i="1" a="1"/>
  <c r="Y25" i="1" s="1"/>
  <c r="Y21" i="1" a="1"/>
  <c r="Y21" i="1" s="1"/>
  <c r="Y17" i="1" a="1"/>
  <c r="Y17" i="1" s="1"/>
  <c r="Y13" i="1" a="1"/>
  <c r="Y13" i="1" s="1"/>
  <c r="Y9" i="1" a="1"/>
  <c r="Y9" i="1" s="1"/>
  <c r="Y5" i="1" a="1"/>
  <c r="Y5" i="1" s="1"/>
  <c r="AC2" i="1" l="1" a="1"/>
  <c r="AC2" i="1" s="1"/>
  <c r="C2" i="4" s="1" a="1"/>
  <c r="C2" i="4" s="1"/>
  <c r="G15" i="2"/>
  <c r="H15" i="2" s="1"/>
  <c r="G16" i="2"/>
  <c r="H14" i="2"/>
  <c r="H17" i="2"/>
  <c r="H2" i="4" a="1"/>
  <c r="H2" i="4" s="1"/>
  <c r="H13" i="2" l="1"/>
  <c r="H1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<sst xmlns="http://schemas.openxmlformats.org/spreadsheetml/2006/main" count="2188" uniqueCount="135">
  <si>
    <t>State</t>
  </si>
  <si>
    <t>Account length</t>
  </si>
  <si>
    <t>Area code</t>
  </si>
  <si>
    <t>International plan</t>
  </si>
  <si>
    <t>Voice mail plan</t>
  </si>
  <si>
    <t>Number vmail messages</t>
  </si>
  <si>
    <t>Total day minutes</t>
  </si>
  <si>
    <t>Total day calls</t>
  </si>
  <si>
    <t>Total day charge</t>
  </si>
  <si>
    <t>Total eve minutes</t>
  </si>
  <si>
    <t>Total eve calls</t>
  </si>
  <si>
    <t>Total eve charge</t>
  </si>
  <si>
    <t>Total night minutes</t>
  </si>
  <si>
    <t>Total night calls</t>
  </si>
  <si>
    <t>Total night charge</t>
  </si>
  <si>
    <t>Total intl minutes</t>
  </si>
  <si>
    <t>Total intl calls</t>
  </si>
  <si>
    <t>Total intl charge</t>
  </si>
  <si>
    <t>Customer service calls</t>
  </si>
  <si>
    <t>Churn</t>
  </si>
  <si>
    <t>LA</t>
  </si>
  <si>
    <t>No</t>
  </si>
  <si>
    <t>IN</t>
  </si>
  <si>
    <t>NY</t>
  </si>
  <si>
    <t>SC</t>
  </si>
  <si>
    <t>HI</t>
  </si>
  <si>
    <t>AK</t>
  </si>
  <si>
    <t>Yes</t>
  </si>
  <si>
    <t>MI</t>
  </si>
  <si>
    <t>ID</t>
  </si>
  <si>
    <t>VA</t>
  </si>
  <si>
    <t>WI</t>
  </si>
  <si>
    <t>MN</t>
  </si>
  <si>
    <t>VT</t>
  </si>
  <si>
    <t>MT</t>
  </si>
  <si>
    <t>MA</t>
  </si>
  <si>
    <t>KY</t>
  </si>
  <si>
    <t>CO</t>
  </si>
  <si>
    <t>AZ</t>
  </si>
  <si>
    <t>CA</t>
  </si>
  <si>
    <t>WA</t>
  </si>
  <si>
    <t>NE</t>
  </si>
  <si>
    <t>OH</t>
  </si>
  <si>
    <t>MO</t>
  </si>
  <si>
    <t>AL</t>
  </si>
  <si>
    <t>NH</t>
  </si>
  <si>
    <t>NM</t>
  </si>
  <si>
    <t>OR</t>
  </si>
  <si>
    <t>TX</t>
  </si>
  <si>
    <t>MS</t>
  </si>
  <si>
    <t>WY</t>
  </si>
  <si>
    <t>FL</t>
  </si>
  <si>
    <t>KS</t>
  </si>
  <si>
    <t>NC</t>
  </si>
  <si>
    <t>SD</t>
  </si>
  <si>
    <t>OK</t>
  </si>
  <si>
    <t>CT</t>
  </si>
  <si>
    <t>RI</t>
  </si>
  <si>
    <t>DE</t>
  </si>
  <si>
    <t>UT</t>
  </si>
  <si>
    <t>NV</t>
  </si>
  <si>
    <t>DC</t>
  </si>
  <si>
    <t>ME</t>
  </si>
  <si>
    <t>IL</t>
  </si>
  <si>
    <t>NJ</t>
  </si>
  <si>
    <t>MD</t>
  </si>
  <si>
    <t>WV</t>
  </si>
  <si>
    <t>PA</t>
  </si>
  <si>
    <t>ND</t>
  </si>
  <si>
    <t>AR</t>
  </si>
  <si>
    <t>TN</t>
  </si>
  <si>
    <t>IA</t>
  </si>
  <si>
    <t>GA</t>
  </si>
  <si>
    <t>Total usage(Min)</t>
  </si>
  <si>
    <t>Total charges</t>
  </si>
  <si>
    <t>Total calls</t>
  </si>
  <si>
    <t>Customer service risk level</t>
  </si>
  <si>
    <t>Customer usage risk level</t>
  </si>
  <si>
    <t>Charges risk level</t>
  </si>
  <si>
    <t>Intl usage behaviour</t>
  </si>
  <si>
    <t>Voicemail usage behaviour</t>
  </si>
  <si>
    <t>Risk segmentation</t>
  </si>
  <si>
    <t>Row Labels</t>
  </si>
  <si>
    <t>High risk</t>
  </si>
  <si>
    <t>Low risk</t>
  </si>
  <si>
    <t>Grand Total</t>
  </si>
  <si>
    <t>Column Labels</t>
  </si>
  <si>
    <t>FALSE</t>
  </si>
  <si>
    <t>TRUE</t>
  </si>
  <si>
    <t>Count of Account length</t>
  </si>
  <si>
    <t xml:space="preserve"> </t>
  </si>
  <si>
    <t>Inactive</t>
  </si>
  <si>
    <t>Paying &amp; Using</t>
  </si>
  <si>
    <t>High Risk</t>
  </si>
  <si>
    <t>Low Risk</t>
  </si>
  <si>
    <t>Medium Risk</t>
  </si>
  <si>
    <t>States</t>
  </si>
  <si>
    <t>High risk Customers</t>
  </si>
  <si>
    <t>Churned customers</t>
  </si>
  <si>
    <t>High risk &amp; Churned</t>
  </si>
  <si>
    <t>Churn distribution</t>
  </si>
  <si>
    <t>Churn by area code</t>
  </si>
  <si>
    <t>Medium risk</t>
  </si>
  <si>
    <t>Unplanned usage</t>
  </si>
  <si>
    <t>Customer service calls distribution</t>
  </si>
  <si>
    <t>Churn risk segmentation</t>
  </si>
  <si>
    <t>Charges vs churn</t>
  </si>
  <si>
    <t>Risk distribution</t>
  </si>
  <si>
    <t>Customer service calls vs churn</t>
  </si>
  <si>
    <t>High risk customer segments</t>
  </si>
  <si>
    <t>Active user</t>
  </si>
  <si>
    <t>Churn rate</t>
  </si>
  <si>
    <t>Average of Customer service calls</t>
  </si>
  <si>
    <t>Average of Total charges</t>
  </si>
  <si>
    <t>Churn overview by international plan</t>
  </si>
  <si>
    <t>Churn overview by voicemail plan</t>
  </si>
  <si>
    <t>Key drivers ranking</t>
  </si>
  <si>
    <t>Drivers</t>
  </si>
  <si>
    <t>Impact</t>
  </si>
  <si>
    <t>Customer Usage vs Churn</t>
  </si>
  <si>
    <t>Voicemail plan vs churn</t>
  </si>
  <si>
    <t>International plan vs churn</t>
  </si>
  <si>
    <t>customers</t>
  </si>
  <si>
    <t>Retention oppurtunity (high risk)</t>
  </si>
  <si>
    <t>Charges</t>
  </si>
  <si>
    <t>Unplanned intl usage</t>
  </si>
  <si>
    <t>Inactive voicemail usage</t>
  </si>
  <si>
    <t>Total churn rate</t>
  </si>
  <si>
    <t>Customer Usage</t>
  </si>
  <si>
    <t>%</t>
  </si>
  <si>
    <t xml:space="preserve">Customer service </t>
  </si>
  <si>
    <t xml:space="preserve">International usage </t>
  </si>
  <si>
    <t xml:space="preserve">Customer usage </t>
  </si>
  <si>
    <t xml:space="preserve">Charges </t>
  </si>
  <si>
    <t xml:space="preserve">Voicemail usage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</si>
</sst>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3" tint="-0.49998474074526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horizontal="left"/>
    </xf>
    <xf numFmtId="9" fontId="0" fillId="0" borderId="0" xfId="0" applyNumberFormat="1"/>
    <xf numFmtId="9" fontId="16" fillId="0" borderId="0" xfId="0" applyNumberFormat="1" applyFont="1"/>
    <xf numFmtId="9" fontId="0" fillId="0" borderId="0" xfId="0" pivotButton="1" applyNumberFormat="1"/>
    <xf numFmtId="9" fontId="0" fillId="0" borderId="0" xfId="0" applyNumberFormat="1" applyAlignment="1">
      <alignment horizontal="left"/>
    </xf>
    <xf numFmtId="10" fontId="0" fillId="0" borderId="0" xfId="0" applyNumberFormat="1"/>
    <xf numFmtId="2" fontId="0" fillId="0" borderId="0" xfId="0" applyNumberFormat="1"/>
    <xf numFmtId="164" fontId="0" fillId="0" borderId="0" xfId="0" applyNumberFormat="1"/>
    <xf numFmtId="0" fontId="18" fillId="0" borderId="0" xfId="0" applyFont="1"/>
    <xf numFmtId="0" fontId="0" fillId="0" borderId="10" xfId="0" applyBorder="1"/>
    <xf numFmtId="9" fontId="0" fillId="0" borderId="0" xfId="42" applyFont="1"/>
    <xf numFmtId="10" fontId="0" fillId="0" borderId="0" xfId="42" applyNumberFormat="1" applyFont="1"/>
    <xf numFmtId="2" fontId="0" fillId="0" borderId="11" xfId="0" applyNumberFormat="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5">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0" formatCode="General"/>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0" formatCode="General"/>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0" formatCode="General"/>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0" formatCode="General"/>
    </dxf>
    <dxf>
      <font>
        <b/>
        <i val="0"/>
        <sz val="22"/>
      </font>
      <border diagonalUp="0" diagonalDown="0">
        <left/>
        <right/>
        <top/>
        <bottom/>
        <vertical/>
        <horizontal/>
      </border>
    </dxf>
    <dxf>
      <font>
        <b/>
        <i val="0"/>
        <sz val="22"/>
      </font>
      <border diagonalDown="1">
        <left style="thin">
          <color auto="1"/>
        </left>
        <right style="thin">
          <color auto="1"/>
        </right>
        <top style="thin">
          <color auto="1"/>
        </top>
        <bottom style="thin">
          <color auto="1"/>
        </bottom>
        <diagonal style="thin">
          <color theme="4"/>
        </diagonal>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0" formatCode="General"/>
    </dxf>
    <dxf>
      <numFmt numFmtId="164" formatCode="0.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25BE4DA4-046B-4D60-9EE0-9641F0B16DCE}">
      <tableStyleElement type="wholeTable" dxfId="49"/>
      <tableStyleElement type="headerRow" dxfId="48"/>
    </tableStyle>
  </tableStyles>
  <extLst>
    <ext xmlns:x14="http://schemas.microsoft.com/office/spreadsheetml/2009/9/main" uri="{46F421CA-312F-682f-3DD2-61675219B42D}">
      <x14:dxfs count="8">
        <dxf>
          <fill>
            <patternFill>
              <bgColor theme="4"/>
            </patternFill>
          </fill>
        </dxf>
        <dxf>
          <fill>
            <patternFill>
              <bgColor theme="0"/>
            </patternFill>
          </fill>
        </dxf>
        <dxf>
          <fill>
            <patternFill>
              <bgColor theme="4"/>
            </patternFill>
          </fill>
        </dxf>
        <dxf>
          <fill>
            <patternFill>
              <bgColor theme="0"/>
            </patternFill>
          </fill>
        </dxf>
        <dxf>
          <fill>
            <patternFill>
              <bgColor theme="4"/>
            </patternFill>
          </fill>
        </dxf>
        <dxf>
          <fill>
            <patternFill>
              <bgColor theme="0"/>
            </patternFill>
          </fill>
        </dxf>
        <dxf>
          <fill>
            <patternFill>
              <bgColor theme="4"/>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[churn-bigml-20.csv.xlsx]Analysis!CHURN DISTRIBUTION</c:name>
    <c:fmtId val="4"/>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800" b="1">
                <a:solidFill>
                  <a:schemeClr val="tx2">
                    <a:lumMod val="50000"/>
                  </a:schemeClr>
                </a:solidFill>
              </a:rPr>
              <a:t>CHURN</a:t>
            </a:r>
            <a:r>
              <a:rPr lang="en-US" sz="1800" b="1" baseline="0">
                <a:solidFill>
                  <a:schemeClr val="tx2">
                    <a:lumMod val="50000"/>
                  </a:schemeClr>
                </a:solidFill>
              </a:rPr>
              <a:t> DISTRIBUTION</a:t>
            </a:r>
            <a:endParaRPr lang="en-US" sz="1800" b="1">
              <a:solidFill>
                <a:schemeClr val="tx2">
                  <a:lumMod val="50000"/>
                </a:schemeClr>
              </a:solidFill>
            </a:endParaRPr>
          </a:p>
        </c:rich>
      </c:tx>
      <c:layout>
        <c:manualLayout>
          <c:xMode val="edge"/>
          <c:yMode val="edge"/>
          <c:x val="0.28551357093956886"/>
          <c:y val="3.314502219509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58-46A1-B7F3-858D8B535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58-46A1-B7F3-858D8B53559E}"/>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58-46A1-B7F3-858D8B53559E}"/>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58-46A1-B7F3-858D8B53559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Analysis!$J$3:$J$5</c:f>
              <c:strCache>
                <c:ptCount val="2"/>
                <c:pt idx="0">
                  <c:v>FALSE</c:v>
                </c:pt>
                <c:pt idx="1">
                  <c:v>TRUE</c:v>
                </c:pt>
              </c:strCache>
            </c:strRef>
          </c:cat>
          <c:val>
            <c:numRef>
              <c:f>Analysis!$K$3:$K$5</c:f>
              <c:numCache>
                <c:formatCode>General</c:formatCode>
                <c:ptCount val="2"/>
                <c:pt idx="0">
                  <c:v>572</c:v>
                </c:pt>
                <c:pt idx="1">
                  <c:v>95</c:v>
                </c:pt>
              </c:numCache>
            </c:numRef>
          </c:val>
          <c:extLst>
            <c:ext xmlns:c16="http://schemas.microsoft.com/office/drawing/2014/chart" uri="{C3380CC4-5D6E-409C-BE32-E72D297353CC}">
              <c16:uniqueId val="{00000004-3C58-46A1-B7F3-858D8B53559E}"/>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t"/>
      <c:overlay val="1"/>
      <c:spPr>
        <a:noFill/>
        <a:ln>
          <a:noFill/>
        </a:ln>
        <a:effectLst/>
      </c:spPr>
      <c:txPr>
        <a:bodyPr rot="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[churn-bigml-20.csv.xlsx]Analysis!CHURN BY AREA CODE</c:name>
    <c:fmtId val="2"/>
  </c:pivotSource>
  <c:chart>
    <c:title>
      <c:tx>
        <c:rich>
          <a:bodyPr rot="0" spcFirstLastPara="1" vertOverflow="ellipsis" vert="horz" wrap="square" anchor="ctr" anchorCtr="1"/>
          <a:lstStyle/>
          <a:p>
            <a:pPr algn="ctr">
              <a:defRPr sz="1400" b="0" i="0" u="none" strike="noStrike" kern="1200" spc="0" baseline="0">
                <a:solidFill>
                  <a:schemeClr val="tx2">
                    <a:lumMod val="50000"/>
                  </a:schemeClr>
                </a:solidFill>
                <a:latin typeface="+mn-lt"/>
                <a:ea typeface="+mn-ea"/>
                <a:cs typeface="+mn-cs"/>
              </a:defRPr>
            </a:pPr>
            <a:r>
              <a:rPr lang="en-US" sz="1800" b="1">
                <a:solidFill>
                  <a:schemeClr val="tx2">
                    <a:lumMod val="50000"/>
                  </a:schemeClr>
                </a:solidFill>
              </a:rPr>
              <a:t>CHURN</a:t>
            </a:r>
            <a:r>
              <a:rPr lang="en-US" sz="1800" b="1" baseline="0">
                <a:solidFill>
                  <a:schemeClr val="tx2">
                    <a:lumMod val="50000"/>
                  </a:schemeClr>
                </a:solidFill>
              </a:rPr>
              <a:t> BY AREA CODE</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Analysis!$G$21:$G$22</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Analysis!$F$23:$F$26</c:f>
              <c:strCache>
                <c:ptCount val="3"/>
                <c:pt idx="0">
                  <c:v>415</c:v>
                </c:pt>
                <c:pt idx="1">
                  <c:v>408</c:v>
                </c:pt>
                <c:pt idx="2">
                  <c:v>510</c:v>
                </c:pt>
              </c:strCache>
            </c:strRef>
          </c:cat>
          <c:val>
            <c:numRef>
              <c:f>Analysis!$G$23:$G$26</c:f>
              <c:numCache>
                <c:formatCode>General</c:formatCode>
                <c:ptCount val="3"/>
                <c:pt idx="0">
                  <c:v>41</c:v>
                </c:pt>
                <c:pt idx="1">
                  <c:v>28</c:v>
                </c:pt>
                <c:pt idx="2">
                  <c:v>26</c:v>
                </c:pt>
              </c:numCache>
            </c:numRef>
          </c:val>
          <c:extLst>
            <c:ext xmlns:c16="http://schemas.microsoft.com/office/drawing/2014/chart" uri="{C3380CC4-5D6E-409C-BE32-E72D297353CC}">
              <c16:uniqueId val="{00000000-8891-4F88-99E2-443DBF3011B5}"/>
            </c:ext>
          </c:extLst>
        </c:ser>
        <c:dLbls>
          <c:dLblPos val="outEnd"/>
          <c:showLegendKey val="0"/>
          <c:showVal val="1"/>
          <c:showCatName val="0"/>
          <c:showSerName val="0"/>
          <c:showPercent val="0"/>
          <c:showBubbleSize val="0"/>
        </c:dLbls>
        <c:gapWidth val="90"/>
        <c:overlap val="-7"/>
        <c:axId val="982666368"/>
        <c:axId val="982657248"/>
      </c:barChart>
      <c:catAx>
        <c:axId val="98266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r>
                  <a:rPr lang="en-US" sz="1800" b="1">
                    <a:solidFill>
                      <a:schemeClr val="tx2">
                        <a:lumMod val="50000"/>
                      </a:schemeClr>
                    </a:solidFill>
                  </a:rPr>
                  <a:t>AREA</a:t>
                </a:r>
                <a:r>
                  <a:rPr lang="en-US" sz="1800" b="1" baseline="0">
                    <a:solidFill>
                      <a:schemeClr val="tx2">
                        <a:lumMod val="50000"/>
                      </a:schemeClr>
                    </a:solidFill>
                  </a:rPr>
                  <a:t> CODE</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982657248"/>
        <c:crosses val="autoZero"/>
        <c:auto val="1"/>
        <c:lblAlgn val="ctr"/>
        <c:lblOffset val="100"/>
        <c:noMultiLvlLbl val="0"/>
      </c:catAx>
      <c:valAx>
        <c:axId val="98265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NO.</a:t>
                </a:r>
                <a:r>
                  <a:rPr lang="en-US" sz="1800" b="1" baseline="0">
                    <a:solidFill>
                      <a:schemeClr val="tx2">
                        <a:lumMod val="50000"/>
                      </a:schemeClr>
                    </a:solidFill>
                  </a:rPr>
                  <a:t>  OF  CHURN</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982666368"/>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[churn-bigml-20.csv.xlsx]Analysis!CUSTOMER SERVICE CALLS DISTRIBUTION</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CUSTOMER</a:t>
            </a:r>
            <a:r>
              <a:rPr lang="en-US" b="1" baseline="0">
                <a:solidFill>
                  <a:schemeClr val="tx2">
                    <a:lumMod val="50000"/>
                  </a:schemeClr>
                </a:solidFill>
              </a:rPr>
              <a:t> SERVICE CALLS DISTRIBUTION</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pivotFmt>
    </c:pivotFmts>
    <c:plotArea>
      <c:layout/>
      <c:barChart>
        <c:barDir val="col"/>
        <c:grouping val="clustered"/>
        <c:varyColors val="0"/>
        <c:ser>
          <c:idx val="1"/>
          <c:order val="0"/>
          <c:tx>
            <c:strRef>
              <c:f>Analysis!$E$12:$E$20</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Analysis!$E$12:$E$20</c:f>
              <c:strCache>
                <c:ptCount val="7"/>
                <c:pt idx="0">
                  <c:v>2</c:v>
                </c:pt>
                <c:pt idx="1">
                  <c:v>1</c:v>
                </c:pt>
                <c:pt idx="2">
                  <c:v>0</c:v>
                </c:pt>
                <c:pt idx="3">
                  <c:v>4</c:v>
                </c:pt>
                <c:pt idx="4">
                  <c:v>5</c:v>
                </c:pt>
                <c:pt idx="5">
                  <c:v>3</c:v>
                </c:pt>
                <c:pt idx="6">
                  <c:v>6</c:v>
                </c:pt>
              </c:strCache>
            </c:strRef>
          </c:cat>
          <c:val>
            <c:numRef>
              <c:f>Analysis!$E$12:$E$20</c:f>
              <c:numCache>
                <c:formatCode>General</c:formatCode>
                <c:ptCount val="7"/>
                <c:pt idx="0">
                  <c:v>25</c:v>
                </c:pt>
                <c:pt idx="1">
                  <c:v>23</c:v>
                </c:pt>
                <c:pt idx="2">
                  <c:v>13</c:v>
                </c:pt>
                <c:pt idx="3">
                  <c:v>12</c:v>
                </c:pt>
                <c:pt idx="4">
                  <c:v>11</c:v>
                </c:pt>
                <c:pt idx="5">
                  <c:v>7</c:v>
                </c:pt>
                <c:pt idx="6">
                  <c:v>4</c:v>
                </c:pt>
              </c:numCache>
            </c:numRef>
          </c:val>
          <c:extLst>
            <c:ext xmlns:c16="http://schemas.microsoft.com/office/drawing/2014/chart" uri="{C3380CC4-5D6E-409C-BE32-E72D297353CC}">
              <c16:uniqueId val="{00000007-C6BF-460A-8036-55E5547320EE}"/>
            </c:ext>
          </c:extLst>
        </c:ser>
        <c:dLbls>
          <c:showLegendKey val="0"/>
          <c:showVal val="1"/>
          <c:showCatName val="0"/>
          <c:showSerName val="0"/>
          <c:showPercent val="0"/>
          <c:showBubbleSize val="0"/>
        </c:dLbls>
        <c:gapWidth val="49"/>
        <c:axId val="1052429328"/>
        <c:axId val="982667328"/>
      </c:barChart>
      <c:catAx>
        <c:axId val="105242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NUMBER</a:t>
                </a:r>
                <a:r>
                  <a:rPr lang="en-US" sz="1800" b="1" baseline="0">
                    <a:solidFill>
                      <a:schemeClr val="tx2">
                        <a:lumMod val="50000"/>
                      </a:schemeClr>
                    </a:solidFill>
                  </a:rPr>
                  <a:t> OF CALLS</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982667328"/>
        <c:crosses val="autoZero"/>
        <c:auto val="1"/>
        <c:lblAlgn val="ctr"/>
        <c:lblOffset val="100"/>
        <c:noMultiLvlLbl val="0"/>
      </c:catAx>
      <c:valAx>
        <c:axId val="982667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NO.</a:t>
                </a:r>
                <a:r>
                  <a:rPr lang="en-US" sz="1800" b="1" baseline="0">
                    <a:solidFill>
                      <a:schemeClr val="tx2">
                        <a:lumMod val="50000"/>
                      </a:schemeClr>
                    </a:solidFill>
                  </a:rPr>
                  <a:t> OF CHURNE</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524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[churn-bigml-20.csv.xlsx]Analysis!CHARGES VS CHURN</c:name>
    <c:fmtId val="2"/>
  </c:pivotSource>
  <c:chart>
    <c:title>
      <c:tx>
        <c:rich>
          <a:bodyPr rot="0" spcFirstLastPara="1" vertOverflow="ellipsis" vert="horz" wrap="square" anchor="ctr" anchorCtr="1"/>
          <a:lstStyle/>
          <a:p>
            <a:pPr>
              <a:defRPr lang="en-US" sz="1680" b="1" i="0" u="none" strike="noStrike" kern="1200" spc="0" baseline="0">
                <a:solidFill>
                  <a:schemeClr val="tx1"/>
                </a:solidFill>
                <a:latin typeface="+mn-lt"/>
                <a:ea typeface="+mn-ea"/>
                <a:cs typeface="+mn-cs"/>
              </a:defRPr>
            </a:pPr>
            <a:r>
              <a:rPr lang="en-US" sz="1800"/>
              <a:t>CHARGES VS CHURN</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Analysis!$B$24:$B$25</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Analysis!$A$26:$A$29</c:f>
              <c:strCache>
                <c:ptCount val="3"/>
                <c:pt idx="0">
                  <c:v>High risk</c:v>
                </c:pt>
                <c:pt idx="1">
                  <c:v>Low risk</c:v>
                </c:pt>
                <c:pt idx="2">
                  <c:v>Medium risk</c:v>
                </c:pt>
              </c:strCache>
            </c:strRef>
          </c:cat>
          <c:val>
            <c:numRef>
              <c:f>Analysis!$B$26:$B$29</c:f>
              <c:numCache>
                <c:formatCode>0.00%</c:formatCode>
                <c:ptCount val="3"/>
                <c:pt idx="0">
                  <c:v>0.68181818181818177</c:v>
                </c:pt>
                <c:pt idx="1">
                  <c:v>0.88297872340425532</c:v>
                </c:pt>
                <c:pt idx="2">
                  <c:v>0.94389438943894388</c:v>
                </c:pt>
              </c:numCache>
            </c:numRef>
          </c:val>
          <c:extLst>
            <c:ext xmlns:c16="http://schemas.microsoft.com/office/drawing/2014/chart" uri="{C3380CC4-5D6E-409C-BE32-E72D297353CC}">
              <c16:uniqueId val="{00000000-2D6B-49CA-A945-DD47F1FCBA96}"/>
            </c:ext>
          </c:extLst>
        </c:ser>
        <c:ser>
          <c:idx val="1"/>
          <c:order val="1"/>
          <c:tx>
            <c:strRef>
              <c:f>Analysis!$C$24:$C$25</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Analysis!$A$26:$A$29</c:f>
              <c:strCache>
                <c:ptCount val="3"/>
                <c:pt idx="0">
                  <c:v>High risk</c:v>
                </c:pt>
                <c:pt idx="1">
                  <c:v>Low risk</c:v>
                </c:pt>
                <c:pt idx="2">
                  <c:v>Medium risk</c:v>
                </c:pt>
              </c:strCache>
            </c:strRef>
          </c:cat>
          <c:val>
            <c:numRef>
              <c:f>Analysis!$C$26:$C$29</c:f>
              <c:numCache>
                <c:formatCode>0.00%</c:formatCode>
                <c:ptCount val="3"/>
                <c:pt idx="0">
                  <c:v>0.31818181818181818</c:v>
                </c:pt>
                <c:pt idx="1">
                  <c:v>0.11702127659574468</c:v>
                </c:pt>
                <c:pt idx="2">
                  <c:v>5.6105610561056105E-2</c:v>
                </c:pt>
              </c:numCache>
            </c:numRef>
          </c:val>
          <c:extLst>
            <c:ext xmlns:c16="http://schemas.microsoft.com/office/drawing/2014/chart" uri="{C3380CC4-5D6E-409C-BE32-E72D297353CC}">
              <c16:uniqueId val="{00000001-1779-4D1A-B756-8F987B4125DB}"/>
            </c:ext>
          </c:extLst>
        </c:ser>
        <c:dLbls>
          <c:dLblPos val="outEnd"/>
          <c:showLegendKey val="0"/>
          <c:showVal val="1"/>
          <c:showCatName val="0"/>
          <c:showSerName val="0"/>
          <c:showPercent val="0"/>
          <c:showBubbleSize val="0"/>
        </c:dLbls>
        <c:gapWidth val="89"/>
        <c:overlap val="-27"/>
        <c:axId val="1081525712"/>
        <c:axId val="1081546352"/>
      </c:barChart>
      <c:catAx>
        <c:axId val="1081525712"/>
        <c:scaling>
          <c:orientation val="minMax"/>
        </c:scaling>
        <c:delete val="0"/>
        <c:axPos val="b"/>
        <c:title>
          <c:tx>
            <c:rich>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r>
                  <a:rPr lang="en-US" sz="1600"/>
                  <a:t>CHARGES RISK LEVEL</a:t>
                </a:r>
              </a:p>
            </c:rich>
          </c:tx>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1081546352"/>
        <c:crosses val="autoZero"/>
        <c:auto val="1"/>
        <c:lblAlgn val="ctr"/>
        <c:lblOffset val="100"/>
        <c:noMultiLvlLbl val="0"/>
      </c:catAx>
      <c:valAx>
        <c:axId val="1081546352"/>
        <c:scaling>
          <c:orientation val="minMax"/>
        </c:scaling>
        <c:delete val="0"/>
        <c:axPos val="l"/>
        <c:title>
          <c:tx>
            <c:rich>
              <a:bodyPr rot="-54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r>
                  <a:rPr lang="en-US" sz="1800"/>
                  <a:t>% OF CUSTOMERS</a:t>
                </a:r>
              </a:p>
            </c:rich>
          </c:tx>
          <c:overlay val="0"/>
          <c:spPr>
            <a:noFill/>
            <a:ln>
              <a:noFill/>
            </a:ln>
            <a:effectLst/>
          </c:spPr>
          <c:txPr>
            <a:bodyPr rot="-54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108152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[churn-bigml-20.csv.xlsx]Analysis!CUSTOMER SERVICE CALLS VS CHURN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50000"/>
                  </a:schemeClr>
                </a:solidFill>
              </a:rPr>
              <a:t>CUSTOMER</a:t>
            </a:r>
            <a:r>
              <a:rPr lang="en-US" sz="1800" b="1" baseline="0">
                <a:solidFill>
                  <a:schemeClr val="tx2">
                    <a:lumMod val="50000"/>
                  </a:schemeClr>
                </a:solidFill>
              </a:rPr>
              <a:t> SERVICE CALLS VS CHURN</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2376336486463662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Analysis!$K$16:$K$17</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Analysis!$J$18:$J$21</c:f>
              <c:strCache>
                <c:ptCount val="3"/>
                <c:pt idx="0">
                  <c:v>High risk</c:v>
                </c:pt>
                <c:pt idx="1">
                  <c:v>Low risk</c:v>
                </c:pt>
                <c:pt idx="2">
                  <c:v>Medium risk</c:v>
                </c:pt>
              </c:strCache>
            </c:strRef>
          </c:cat>
          <c:val>
            <c:numRef>
              <c:f>Analysis!$K$18:$K$21</c:f>
              <c:numCache>
                <c:formatCode>0.00%</c:formatCode>
                <c:ptCount val="3"/>
                <c:pt idx="0">
                  <c:v>0.52631578947368418</c:v>
                </c:pt>
                <c:pt idx="1">
                  <c:v>0.90476190476190477</c:v>
                </c:pt>
                <c:pt idx="2">
                  <c:v>0.86206896551724133</c:v>
                </c:pt>
              </c:numCache>
            </c:numRef>
          </c:val>
          <c:extLst>
            <c:ext xmlns:c16="http://schemas.microsoft.com/office/drawing/2014/chart" uri="{C3380CC4-5D6E-409C-BE32-E72D297353CC}">
              <c16:uniqueId val="{00000000-9D16-4BEA-8873-8BD9FCE42B8D}"/>
            </c:ext>
          </c:extLst>
        </c:ser>
        <c:ser>
          <c:idx val="1"/>
          <c:order val="1"/>
          <c:tx>
            <c:strRef>
              <c:f>Analysis!$L$16:$L$17</c:f>
              <c:strCache>
                <c:ptCount val="1"/>
                <c:pt idx="0">
                  <c:v>TRUE</c:v>
                </c:pt>
              </c:strCache>
            </c:strRef>
          </c:tx>
          <c:spPr>
            <a:solidFill>
              <a:schemeClr val="accent2"/>
            </a:solidFill>
            <a:ln>
              <a:noFill/>
            </a:ln>
            <a:effectLst/>
          </c:spPr>
          <c:invertIfNegative val="0"/>
          <c:dPt>
            <c:idx val="0"/>
            <c:invertIfNegative val="0"/>
            <c:bubble3D val="0"/>
            <c:spPr>
              <a:solidFill>
                <a:schemeClr val="accent2"/>
              </a:solidFill>
              <a:ln>
                <a:noFill/>
              </a:ln>
              <a:effectLst/>
            </c:spPr>
          </c:dPt>
          <c:dLbls>
            <c:dLbl>
              <c:idx val="0"/>
              <c:layout>
                <c:manualLayout>
                  <c:x val="4.237633648646366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Analysis!$J$18:$J$21</c:f>
              <c:strCache>
                <c:ptCount val="3"/>
                <c:pt idx="0">
                  <c:v>High risk</c:v>
                </c:pt>
                <c:pt idx="1">
                  <c:v>Low risk</c:v>
                </c:pt>
                <c:pt idx="2">
                  <c:v>Medium risk</c:v>
                </c:pt>
              </c:strCache>
            </c:strRef>
          </c:cat>
          <c:val>
            <c:numRef>
              <c:f>Analysis!$L$18:$L$21</c:f>
              <c:numCache>
                <c:formatCode>0.00%</c:formatCode>
                <c:ptCount val="3"/>
                <c:pt idx="0">
                  <c:v>0.47368421052631576</c:v>
                </c:pt>
                <c:pt idx="1">
                  <c:v>9.5238095238095233E-2</c:v>
                </c:pt>
                <c:pt idx="2">
                  <c:v>0.13793103448275862</c:v>
                </c:pt>
              </c:numCache>
            </c:numRef>
          </c:val>
          <c:extLst>
            <c:ext xmlns:c16="http://schemas.microsoft.com/office/drawing/2014/chart" uri="{C3380CC4-5D6E-409C-BE32-E72D297353CC}">
              <c16:uniqueId val="{00000001-7375-485A-9C76-3AB77A5A860A}"/>
            </c:ext>
          </c:extLst>
        </c:ser>
        <c:dLbls>
          <c:dLblPos val="outEnd"/>
          <c:showLegendKey val="0"/>
          <c:showVal val="1"/>
          <c:showCatName val="0"/>
          <c:showSerName val="0"/>
          <c:showPercent val="0"/>
          <c:showBubbleSize val="0"/>
        </c:dLbls>
        <c:gapWidth val="109"/>
        <c:overlap val="-27"/>
        <c:axId val="1081555472"/>
        <c:axId val="1081560752"/>
      </c:barChart>
      <c:catAx>
        <c:axId val="1081555472"/>
        <c:scaling>
          <c:orientation val="minMax"/>
        </c:scaling>
        <c:delete val="0"/>
        <c:axPos val="b"/>
        <c:title>
          <c:tx>
            <c:rich>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CUSTOMER SERVICE RISK LEVEL</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81560752"/>
        <c:crosses val="autoZero"/>
        <c:auto val="1"/>
        <c:lblAlgn val="ctr"/>
        <c:lblOffset val="100"/>
        <c:noMultiLvlLbl val="0"/>
      </c:catAx>
      <c:valAx>
        <c:axId val="10815607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a:t>
                </a:r>
                <a:r>
                  <a:rPr lang="en-US" sz="1800" b="1" baseline="0">
                    <a:solidFill>
                      <a:schemeClr val="tx2">
                        <a:lumMod val="50000"/>
                      </a:schemeClr>
                    </a:solidFill>
                  </a:rPr>
                  <a:t> OF CUSTOMERS</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81555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[churn-bigml-20.csv.xlsx]Analysis!CUSTOMER USAGE VS CHURN</c:name>
    <c:fmtId val="2"/>
  </c:pivotSource>
  <c:chart>
    <c:title>
      <c:tx>
        <c:rich>
          <a:bodyPr rot="0" spcFirstLastPara="1" vertOverflow="ellipsis" vert="horz" wrap="square" anchor="ctr" anchorCtr="1"/>
          <a:lstStyle/>
          <a:p>
            <a:pPr algn="ctr" rtl="0">
              <a:defRPr lang="en-US" sz="1800" b="1" i="0" u="none" strike="noStrike" kern="1200" spc="0" baseline="0">
                <a:solidFill>
                  <a:schemeClr val="tx2">
                    <a:lumMod val="50000"/>
                  </a:schemeClr>
                </a:solidFill>
                <a:latin typeface="+mn-lt"/>
                <a:ea typeface="+mn-ea"/>
                <a:cs typeface="+mn-cs"/>
              </a:defRPr>
            </a:pPr>
            <a:r>
              <a:rPr lang="en-US" sz="1800" b="1" i="0" u="none" strike="noStrike" kern="1200" spc="0" baseline="0">
                <a:solidFill>
                  <a:schemeClr val="tx2">
                    <a:lumMod val="50000"/>
                  </a:schemeClr>
                </a:solidFill>
                <a:latin typeface="+mn-lt"/>
                <a:ea typeface="+mn-ea"/>
                <a:cs typeface="+mn-cs"/>
              </a:rPr>
              <a:t>USAGE PATTERN VS CHURN</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Analysis!$K$24:$K$25</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Analysis!$J$26:$J$29</c:f>
              <c:strCache>
                <c:ptCount val="3"/>
                <c:pt idx="0">
                  <c:v>High risk</c:v>
                </c:pt>
                <c:pt idx="1">
                  <c:v>Low risk</c:v>
                </c:pt>
                <c:pt idx="2">
                  <c:v>Medium risk</c:v>
                </c:pt>
              </c:strCache>
            </c:strRef>
          </c:cat>
          <c:val>
            <c:numRef>
              <c:f>Analysis!$K$26:$K$29</c:f>
              <c:numCache>
                <c:formatCode>0.00%</c:formatCode>
                <c:ptCount val="3"/>
                <c:pt idx="0">
                  <c:v>0.65189873417721522</c:v>
                </c:pt>
                <c:pt idx="1">
                  <c:v>0.88095238095238093</c:v>
                </c:pt>
                <c:pt idx="2">
                  <c:v>0.94134897360703818</c:v>
                </c:pt>
              </c:numCache>
            </c:numRef>
          </c:val>
          <c:extLst>
            <c:ext xmlns:c16="http://schemas.microsoft.com/office/drawing/2014/chart" uri="{C3380CC4-5D6E-409C-BE32-E72D297353CC}">
              <c16:uniqueId val="{00000000-50CF-4C63-A3B7-FC26CAAE7C19}"/>
            </c:ext>
          </c:extLst>
        </c:ser>
        <c:ser>
          <c:idx val="1"/>
          <c:order val="1"/>
          <c:tx>
            <c:strRef>
              <c:f>Analysis!$L$24:$L$25</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Analysis!$J$26:$J$29</c:f>
              <c:strCache>
                <c:ptCount val="3"/>
                <c:pt idx="0">
                  <c:v>High risk</c:v>
                </c:pt>
                <c:pt idx="1">
                  <c:v>Low risk</c:v>
                </c:pt>
                <c:pt idx="2">
                  <c:v>Medium risk</c:v>
                </c:pt>
              </c:strCache>
            </c:strRef>
          </c:cat>
          <c:val>
            <c:numRef>
              <c:f>Analysis!$L$26:$L$29</c:f>
              <c:numCache>
                <c:formatCode>0.00%</c:formatCode>
                <c:ptCount val="3"/>
                <c:pt idx="0">
                  <c:v>0.34810126582278483</c:v>
                </c:pt>
                <c:pt idx="1">
                  <c:v>0.11904761904761904</c:v>
                </c:pt>
                <c:pt idx="2">
                  <c:v>5.865102639296188E-2</c:v>
                </c:pt>
              </c:numCache>
            </c:numRef>
          </c:val>
          <c:extLst>
            <c:ext xmlns:c16="http://schemas.microsoft.com/office/drawing/2014/chart" uri="{C3380CC4-5D6E-409C-BE32-E72D297353CC}">
              <c16:uniqueId val="{00000001-F36A-44A1-BA06-B2F921564A7F}"/>
            </c:ext>
          </c:extLst>
        </c:ser>
        <c:dLbls>
          <c:dLblPos val="outEnd"/>
          <c:showLegendKey val="0"/>
          <c:showVal val="1"/>
          <c:showCatName val="0"/>
          <c:showSerName val="0"/>
          <c:showPercent val="0"/>
          <c:showBubbleSize val="0"/>
        </c:dLbls>
        <c:gapWidth val="110"/>
        <c:overlap val="-27"/>
        <c:axId val="1081526192"/>
        <c:axId val="1081539632"/>
      </c:barChart>
      <c:catAx>
        <c:axId val="1081526192"/>
        <c:scaling>
          <c:orientation val="minMax"/>
        </c:scaling>
        <c:delete val="0"/>
        <c:axPos val="b"/>
        <c:title>
          <c:tx>
            <c:rich>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USAGE RISK LEVEL</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1081539632"/>
        <c:crosses val="autoZero"/>
        <c:auto val="1"/>
        <c:lblAlgn val="ctr"/>
        <c:lblOffset val="100"/>
        <c:noMultiLvlLbl val="0"/>
      </c:catAx>
      <c:valAx>
        <c:axId val="1081539632"/>
        <c:scaling>
          <c:orientation val="minMax"/>
        </c:scaling>
        <c:delete val="0"/>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baseline="0">
                    <a:solidFill>
                      <a:schemeClr val="tx1"/>
                    </a:solidFill>
                  </a:rPr>
                  <a:t>% OF CUSTOMERS</a:t>
                </a:r>
                <a:endParaRPr lang="en-US" sz="1800" b="1">
                  <a:solidFill>
                    <a:schemeClr val="tx1"/>
                  </a:solidFill>
                </a:endParaRP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81526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[churn-bigml-20.csv.xlsx]Analysis!PivotTable12</c:name>
    <c:fmtId val="2"/>
  </c:pivotSource>
  <c:chart>
    <c:title>
      <c:tx>
        <c:rich>
          <a:bodyPr rot="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r>
              <a:rPr lang="en-US" sz="1400"/>
              <a:t>INTERNATIONAL PLAN</a:t>
            </a:r>
          </a:p>
        </c:rich>
      </c:tx>
      <c:layout>
        <c:manualLayout>
          <c:xMode val="edge"/>
          <c:yMode val="edge"/>
          <c:x val="0.2894822291014284"/>
          <c:y val="6.5519276811635954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s>
    <c:plotArea>
      <c:layout/>
      <c:barChart>
        <c:barDir val="col"/>
        <c:grouping val="clustered"/>
        <c:varyColors val="0"/>
        <c:ser>
          <c:idx val="0"/>
          <c:order val="0"/>
          <c:tx>
            <c:strRef>
              <c:f>Analysis!$B$32:$B$33</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Analysis!$A$34:$A$37</c:f>
              <c:strCache>
                <c:ptCount val="3"/>
                <c:pt idx="0">
                  <c:v>Inactive</c:v>
                </c:pt>
                <c:pt idx="1">
                  <c:v>Paying &amp; Using</c:v>
                </c:pt>
                <c:pt idx="2">
                  <c:v>Unplanned usage</c:v>
                </c:pt>
              </c:strCache>
            </c:strRef>
          </c:cat>
          <c:val>
            <c:numRef>
              <c:f>Analysis!$B$34:$B$37</c:f>
              <c:numCache>
                <c:formatCode>0.00%</c:formatCode>
                <c:ptCount val="3"/>
                <c:pt idx="0">
                  <c:v>1</c:v>
                </c:pt>
                <c:pt idx="1">
                  <c:v>0.64150943396226412</c:v>
                </c:pt>
                <c:pt idx="2">
                  <c:v>0.87561374795417346</c:v>
                </c:pt>
              </c:numCache>
            </c:numRef>
          </c:val>
          <c:extLst>
            <c:ext xmlns:c16="http://schemas.microsoft.com/office/drawing/2014/chart" uri="{C3380CC4-5D6E-409C-BE32-E72D297353CC}">
              <c16:uniqueId val="{00000000-4FF2-4581-8172-6584FBC6B6CD}"/>
            </c:ext>
          </c:extLst>
        </c:ser>
        <c:ser>
          <c:idx val="1"/>
          <c:order val="1"/>
          <c:tx>
            <c:strRef>
              <c:f>Analysis!$C$32:$C$33</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Analysis!$A$34:$A$37</c:f>
              <c:strCache>
                <c:ptCount val="3"/>
                <c:pt idx="0">
                  <c:v>Inactive</c:v>
                </c:pt>
                <c:pt idx="1">
                  <c:v>Paying &amp; Using</c:v>
                </c:pt>
                <c:pt idx="2">
                  <c:v>Unplanned usage</c:v>
                </c:pt>
              </c:strCache>
            </c:strRef>
          </c:cat>
          <c:val>
            <c:numRef>
              <c:f>Analysis!$C$34:$C$37</c:f>
              <c:numCache>
                <c:formatCode>0.00%</c:formatCode>
                <c:ptCount val="3"/>
                <c:pt idx="0">
                  <c:v>0</c:v>
                </c:pt>
                <c:pt idx="1">
                  <c:v>0.35849056603773582</c:v>
                </c:pt>
                <c:pt idx="2">
                  <c:v>0.12438625204582651</c:v>
                </c:pt>
              </c:numCache>
            </c:numRef>
          </c:val>
          <c:extLst>
            <c:ext xmlns:c16="http://schemas.microsoft.com/office/drawing/2014/chart" uri="{C3380CC4-5D6E-409C-BE32-E72D297353CC}">
              <c16:uniqueId val="{00000003-63DA-42BF-B549-89E7E648FBCC}"/>
            </c:ext>
          </c:extLst>
        </c:ser>
        <c:dLbls>
          <c:dLblPos val="outEnd"/>
          <c:showLegendKey val="0"/>
          <c:showVal val="1"/>
          <c:showCatName val="0"/>
          <c:showSerName val="0"/>
          <c:showPercent val="0"/>
          <c:showBubbleSize val="0"/>
        </c:dLbls>
        <c:gapWidth val="110"/>
        <c:overlap val="-27"/>
        <c:axId val="1081565072"/>
        <c:axId val="1081566032"/>
      </c:barChart>
      <c:catAx>
        <c:axId val="108156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crossAx val="1081566032"/>
        <c:crosses val="autoZero"/>
        <c:auto val="1"/>
        <c:lblAlgn val="ctr"/>
        <c:lblOffset val="100"/>
        <c:noMultiLvlLbl val="0"/>
      </c:catAx>
      <c:valAx>
        <c:axId val="1081566032"/>
        <c:scaling>
          <c:orientation val="minMax"/>
        </c:scaling>
        <c:delete val="0"/>
        <c:axPos val="l"/>
        <c:title>
          <c:tx>
            <c:rich>
              <a:bodyPr rot="-5400000" spcFirstLastPara="1" vertOverflow="ellipsis" vert="horz" wrap="square" anchor="ctr" anchorCtr="1"/>
              <a:lstStyle/>
              <a:p>
                <a:pPr>
                  <a:defRPr lang="en-US" sz="1600" b="1" i="0" u="none" strike="noStrike" kern="1200" baseline="0">
                    <a:solidFill>
                      <a:sysClr val="windowText" lastClr="000000"/>
                    </a:solidFill>
                    <a:latin typeface="+mn-lt"/>
                    <a:ea typeface="+mn-ea"/>
                    <a:cs typeface="+mn-cs"/>
                  </a:defRPr>
                </a:pPr>
                <a:r>
                  <a:rPr lang="en-US"/>
                  <a:t>%. OF CUSTOMERS</a:t>
                </a:r>
              </a:p>
            </c:rich>
          </c:tx>
          <c:overlay val="0"/>
          <c:spPr>
            <a:noFill/>
            <a:ln>
              <a:noFill/>
            </a:ln>
            <a:effectLst/>
          </c:spPr>
          <c:txPr>
            <a:bodyPr rot="-5400000" spcFirstLastPara="1" vertOverflow="ellipsis" vert="horz" wrap="square" anchor="ctr" anchorCtr="1"/>
            <a:lstStyle/>
            <a:p>
              <a:pPr>
                <a:defRPr lang="en-US" sz="1600" b="1"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crossAx val="1081565072"/>
        <c:crosses val="autoZero"/>
        <c:crossBetween val="between"/>
      </c:valAx>
      <c:spPr>
        <a:noFill/>
        <a:ln>
          <a:noFill/>
        </a:ln>
        <a:effectLst/>
      </c:spPr>
    </c:plotArea>
    <c:legend>
      <c:legendPos val="t"/>
      <c:layout>
        <c:manualLayout>
          <c:xMode val="edge"/>
          <c:yMode val="edge"/>
          <c:x val="0.34976558964509336"/>
          <c:y val="0.14493410024707301"/>
          <c:w val="0.33217890266092542"/>
          <c:h val="6.7690296984573448E-2"/>
        </c:manualLayout>
      </c:layou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6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[churn-bigml-20.csv.xlsx]Analysis!VOICEMAIL PLAN VS CHURN</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VOICEMAIL PLAN</a:t>
            </a:r>
          </a:p>
        </c:rich>
      </c:tx>
      <c:layout>
        <c:manualLayout>
          <c:xMode val="edge"/>
          <c:yMode val="edge"/>
          <c:x val="0.32320278803315644"/>
          <c:y val="6.551927681163595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Analysis!$B$40:$B$41</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Analysis!$A$42:$A$44</c:f>
              <c:strCache>
                <c:ptCount val="2"/>
                <c:pt idx="0">
                  <c:v>Inactive</c:v>
                </c:pt>
                <c:pt idx="1">
                  <c:v>Active user</c:v>
                </c:pt>
              </c:strCache>
            </c:strRef>
          </c:cat>
          <c:val>
            <c:numRef>
              <c:f>Analysis!$B$42:$B$44</c:f>
              <c:numCache>
                <c:formatCode>0.00%</c:formatCode>
                <c:ptCount val="2"/>
                <c:pt idx="0">
                  <c:v>0.83263598326359833</c:v>
                </c:pt>
                <c:pt idx="1">
                  <c:v>0.92063492063492058</c:v>
                </c:pt>
              </c:numCache>
            </c:numRef>
          </c:val>
          <c:extLst>
            <c:ext xmlns:c16="http://schemas.microsoft.com/office/drawing/2014/chart" uri="{C3380CC4-5D6E-409C-BE32-E72D297353CC}">
              <c16:uniqueId val="{00000000-6B7D-4AD6-B846-B1988EA40B79}"/>
            </c:ext>
          </c:extLst>
        </c:ser>
        <c:ser>
          <c:idx val="1"/>
          <c:order val="1"/>
          <c:tx>
            <c:strRef>
              <c:f>Analysis!$C$40:$C$41</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Analysis!$A$42:$A$44</c:f>
              <c:strCache>
                <c:ptCount val="2"/>
                <c:pt idx="0">
                  <c:v>Inactive</c:v>
                </c:pt>
                <c:pt idx="1">
                  <c:v>Active user</c:v>
                </c:pt>
              </c:strCache>
            </c:strRef>
          </c:cat>
          <c:val>
            <c:numRef>
              <c:f>Analysis!$C$42:$C$44</c:f>
              <c:numCache>
                <c:formatCode>0.00%</c:formatCode>
                <c:ptCount val="2"/>
                <c:pt idx="0">
                  <c:v>0.16736401673640167</c:v>
                </c:pt>
                <c:pt idx="1">
                  <c:v>7.9365079365079361E-2</c:v>
                </c:pt>
              </c:numCache>
            </c:numRef>
          </c:val>
          <c:extLst>
            <c:ext xmlns:c16="http://schemas.microsoft.com/office/drawing/2014/chart" uri="{C3380CC4-5D6E-409C-BE32-E72D297353CC}">
              <c16:uniqueId val="{00000002-6BDD-47D1-9D17-8D6A2795C8A8}"/>
            </c:ext>
          </c:extLst>
        </c:ser>
        <c:dLbls>
          <c:dLblPos val="outEnd"/>
          <c:showLegendKey val="0"/>
          <c:showVal val="1"/>
          <c:showCatName val="0"/>
          <c:showSerName val="0"/>
          <c:showPercent val="0"/>
          <c:showBubbleSize val="0"/>
        </c:dLbls>
        <c:gapWidth val="110"/>
        <c:overlap val="-27"/>
        <c:axId val="1081583312"/>
        <c:axId val="1081588112"/>
      </c:barChart>
      <c:catAx>
        <c:axId val="10815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81588112"/>
        <c:crosses val="autoZero"/>
        <c:auto val="1"/>
        <c:lblAlgn val="ctr"/>
        <c:lblOffset val="100"/>
        <c:noMultiLvlLbl val="0"/>
      </c:catAx>
      <c:valAx>
        <c:axId val="1081588112"/>
        <c:scaling>
          <c:orientation val="minMax"/>
        </c:scaling>
        <c:delete val="0"/>
        <c:axPos val="l"/>
        <c:title>
          <c:tx>
            <c:rich>
              <a:bodyPr rot="-5400000" spcFirstLastPara="1" vertOverflow="ellipsis" vert="horz" wrap="square" anchor="ctr" anchorCtr="1"/>
              <a:lstStyle/>
              <a:p>
                <a:pPr algn="ctr" rtl="0">
                  <a:defRPr lang="en-US" sz="1920" b="1" i="0" u="none" strike="noStrike" kern="1200" spc="0" baseline="0">
                    <a:solidFill>
                      <a:sysClr val="windowText" lastClr="000000"/>
                    </a:solidFill>
                    <a:latin typeface="+mn-lt"/>
                    <a:ea typeface="+mn-ea"/>
                    <a:cs typeface="+mn-cs"/>
                  </a:defRPr>
                </a:pPr>
                <a:r>
                  <a:rPr lang="en-US" sz="1920" b="1" i="0" u="none" strike="noStrike" kern="1200" spc="0" baseline="0">
                    <a:solidFill>
                      <a:sysClr val="windowText" lastClr="000000"/>
                    </a:solidFill>
                    <a:latin typeface="+mn-lt"/>
                    <a:ea typeface="+mn-ea"/>
                    <a:cs typeface="+mn-cs"/>
                  </a:rPr>
                  <a:t>%. OF CUSTOMERS</a:t>
                </a:r>
              </a:p>
            </c:rich>
          </c:tx>
          <c:overlay val="0"/>
          <c:spPr>
            <a:noFill/>
            <a:ln>
              <a:noFill/>
            </a:ln>
            <a:effectLst/>
          </c:spPr>
          <c:txPr>
            <a:bodyPr rot="-5400000" spcFirstLastPara="1" vertOverflow="ellipsis" vert="horz" wrap="square" anchor="ctr" anchorCtr="1"/>
            <a:lstStyle/>
            <a:p>
              <a:pPr algn="ctr" rtl="0">
                <a:defRPr lang="en-US" sz="1920" b="1" i="0" u="none" strike="noStrike" kern="1200" spc="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81583312"/>
        <c:crosses val="autoZero"/>
        <c:crossBetween val="between"/>
      </c:valAx>
      <c:spPr>
        <a:noFill/>
        <a:ln>
          <a:noFill/>
        </a:ln>
        <a:effectLst/>
      </c:spPr>
    </c:plotArea>
    <c:legend>
      <c:legendPos val="t"/>
      <c:layout>
        <c:manualLayout>
          <c:xMode val="edge"/>
          <c:yMode val="edge"/>
          <c:x val="0.33924268712614708"/>
          <c:y val="0.15039403998137602"/>
          <c:w val="0.30446513840444017"/>
          <c:h val="5.961255377064117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[churn-bigml-20.csv.xlsx]Analysis!CHURN OVERVIEW INTL</c:name>
    <c:fmtId val="2"/>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b="1">
                <a:solidFill>
                  <a:schemeClr val="tx2">
                    <a:lumMod val="50000"/>
                  </a:schemeClr>
                </a:solidFill>
              </a:rPr>
              <a:t>INTERNATIONAL</a:t>
            </a:r>
            <a:r>
              <a:rPr lang="en-US" b="1" baseline="0">
                <a:solidFill>
                  <a:schemeClr val="tx2">
                    <a:lumMod val="50000"/>
                  </a:schemeClr>
                </a:solidFill>
              </a:rPr>
              <a:t> PLAN</a:t>
            </a:r>
            <a:endParaRPr lang="en-US" b="1">
              <a:solidFill>
                <a:schemeClr val="tx2">
                  <a:lumMod val="50000"/>
                </a:schemeClr>
              </a:solidFill>
            </a:endParaRPr>
          </a:p>
        </c:rich>
      </c:tx>
      <c:layout>
        <c:manualLayout>
          <c:xMode val="edge"/>
          <c:yMode val="edge"/>
          <c:x val="0.47778311780928906"/>
          <c:y val="0.1499212765737676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Analysis!$B$47:$B$48</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Analysis!$A$49:$A$51</c:f>
              <c:strCache>
                <c:ptCount val="2"/>
                <c:pt idx="0">
                  <c:v>Unplanned usage</c:v>
                </c:pt>
                <c:pt idx="1">
                  <c:v>Paying &amp; Using</c:v>
                </c:pt>
              </c:strCache>
            </c:strRef>
          </c:cat>
          <c:val>
            <c:numRef>
              <c:f>Analysis!$B$49:$B$51</c:f>
              <c:numCache>
                <c:formatCode>General</c:formatCode>
                <c:ptCount val="2"/>
                <c:pt idx="0">
                  <c:v>76</c:v>
                </c:pt>
                <c:pt idx="1">
                  <c:v>19</c:v>
                </c:pt>
              </c:numCache>
            </c:numRef>
          </c:val>
          <c:extLst>
            <c:ext xmlns:c16="http://schemas.microsoft.com/office/drawing/2014/chart" uri="{C3380CC4-5D6E-409C-BE32-E72D297353CC}">
              <c16:uniqueId val="{00000000-46EC-47B5-8431-7CB8194A22A5}"/>
            </c:ext>
          </c:extLst>
        </c:ser>
        <c:dLbls>
          <c:dLblPos val="outEnd"/>
          <c:showLegendKey val="0"/>
          <c:showVal val="1"/>
          <c:showCatName val="0"/>
          <c:showSerName val="0"/>
          <c:showPercent val="0"/>
          <c:showBubbleSize val="0"/>
        </c:dLbls>
        <c:gapWidth val="219"/>
        <c:overlap val="-27"/>
        <c:axId val="1237543200"/>
        <c:axId val="1237544640"/>
      </c:barChart>
      <c:catAx>
        <c:axId val="123754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2">
                    <a:lumMod val="50000"/>
                  </a:schemeClr>
                </a:solidFill>
                <a:latin typeface="+mn-lt"/>
                <a:ea typeface="+mn-ea"/>
                <a:cs typeface="+mn-cs"/>
              </a:defRPr>
            </a:pPr>
            <a:endParaRPr lang="en-US"/>
          </a:p>
        </c:txPr>
        <c:crossAx val="1237544640"/>
        <c:crosses val="autoZero"/>
        <c:auto val="1"/>
        <c:lblAlgn val="ctr"/>
        <c:lblOffset val="100"/>
        <c:noMultiLvlLbl val="0"/>
      </c:catAx>
      <c:valAx>
        <c:axId val="123754464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NO.</a:t>
                </a:r>
                <a:r>
                  <a:rPr lang="en-US" sz="1800" b="1" baseline="0">
                    <a:solidFill>
                      <a:schemeClr val="tx2">
                        <a:lumMod val="50000"/>
                      </a:schemeClr>
                    </a:solidFill>
                  </a:rPr>
                  <a:t> OF CUSTOMERS</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23754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[churn-bigml-20.csv.xlsx]Analysis!CHURN OVERVIEW BY VOICEMAIL PLAN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50000"/>
                  </a:schemeClr>
                </a:solidFill>
              </a:rPr>
              <a:t>VOICEMAIL</a:t>
            </a:r>
            <a:r>
              <a:rPr lang="en-US" sz="1200" b="1" baseline="0">
                <a:solidFill>
                  <a:schemeClr val="tx2">
                    <a:lumMod val="50000"/>
                  </a:schemeClr>
                </a:solidFill>
              </a:rPr>
              <a:t> PLAN</a:t>
            </a:r>
            <a:endParaRPr lang="en-US" sz="1200" b="1">
              <a:solidFill>
                <a:schemeClr val="tx2">
                  <a:lumMod val="50000"/>
                </a:schemeClr>
              </a:solidFill>
            </a:endParaRPr>
          </a:p>
        </c:rich>
      </c:tx>
      <c:layout>
        <c:manualLayout>
          <c:xMode val="edge"/>
          <c:yMode val="edge"/>
          <c:x val="0.36129949035883052"/>
          <c:y val="9.1544545133225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Analysis!$G$47:$G$48</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Analysis!$F$49:$F$51</c:f>
              <c:strCache>
                <c:ptCount val="2"/>
                <c:pt idx="0">
                  <c:v>Inactive</c:v>
                </c:pt>
                <c:pt idx="1">
                  <c:v>Active user</c:v>
                </c:pt>
              </c:strCache>
            </c:strRef>
          </c:cat>
          <c:val>
            <c:numRef>
              <c:f>Analysis!$G$49:$G$51</c:f>
              <c:numCache>
                <c:formatCode>General</c:formatCode>
                <c:ptCount val="2"/>
                <c:pt idx="0">
                  <c:v>80</c:v>
                </c:pt>
                <c:pt idx="1">
                  <c:v>15</c:v>
                </c:pt>
              </c:numCache>
            </c:numRef>
          </c:val>
          <c:extLst>
            <c:ext xmlns:c16="http://schemas.microsoft.com/office/drawing/2014/chart" uri="{C3380CC4-5D6E-409C-BE32-E72D297353CC}">
              <c16:uniqueId val="{00000000-100A-4729-83B2-CBA8FE223C0A}"/>
            </c:ext>
          </c:extLst>
        </c:ser>
        <c:dLbls>
          <c:dLblPos val="outEnd"/>
          <c:showLegendKey val="0"/>
          <c:showVal val="1"/>
          <c:showCatName val="0"/>
          <c:showSerName val="0"/>
          <c:showPercent val="0"/>
          <c:showBubbleSize val="0"/>
        </c:dLbls>
        <c:gapWidth val="219"/>
        <c:overlap val="-27"/>
        <c:axId val="1237561920"/>
        <c:axId val="1237536000"/>
      </c:barChart>
      <c:catAx>
        <c:axId val="12375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2">
                    <a:lumMod val="50000"/>
                  </a:schemeClr>
                </a:solidFill>
                <a:latin typeface="+mn-lt"/>
                <a:ea typeface="+mn-ea"/>
                <a:cs typeface="+mn-cs"/>
              </a:defRPr>
            </a:pPr>
            <a:endParaRPr lang="en-US"/>
          </a:p>
        </c:txPr>
        <c:crossAx val="1237536000"/>
        <c:crosses val="autoZero"/>
        <c:auto val="1"/>
        <c:lblAlgn val="ctr"/>
        <c:lblOffset val="100"/>
        <c:noMultiLvlLbl val="0"/>
      </c:catAx>
      <c:valAx>
        <c:axId val="123753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NO.</a:t>
                </a:r>
                <a:r>
                  <a:rPr lang="en-US" sz="1800" b="1" baseline="0">
                    <a:solidFill>
                      <a:schemeClr val="tx2">
                        <a:lumMod val="50000"/>
                      </a:schemeClr>
                    </a:solidFill>
                  </a:rPr>
                  <a:t> OF CUSTOMERS</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2375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[churn-bigml-20.csv.xlsx]Analysis!PivotTable16</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2">
                    <a:lumMod val="50000"/>
                  </a:schemeClr>
                </a:solidFill>
              </a:rPr>
              <a:t>RISK</a:t>
            </a:r>
            <a:r>
              <a:rPr lang="en-US" sz="1800" b="1" baseline="0">
                <a:solidFill>
                  <a:schemeClr val="tx2">
                    <a:lumMod val="50000"/>
                  </a:schemeClr>
                </a:solidFill>
              </a:rPr>
              <a:t> DISTRIBUTION</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532677759450381"/>
                  <c:h val="0.14282405817296842"/>
                </c:manualLayout>
              </c15:layout>
            </c:ext>
          </c:extLst>
        </c:dLbl>
      </c:pivotFmt>
      <c:pivotFmt>
        <c:idx val="7"/>
        <c:spPr>
          <a:solidFill>
            <a:schemeClr val="accent3"/>
          </a:solidFill>
          <a:ln w="19050">
            <a:solidFill>
              <a:schemeClr val="lt1"/>
            </a:solidFill>
          </a:ln>
          <a:effectLst/>
        </c:spPr>
      </c:pivotFmt>
      <c:pivotFmt>
        <c:idx val="8"/>
        <c:spPr>
          <a:solidFill>
            <a:schemeClr val="accent2"/>
          </a:solidFill>
          <a:ln w="19050">
            <a:solidFill>
              <a:schemeClr val="lt1"/>
            </a:solidFill>
          </a:ln>
          <a:effectLst/>
        </c:spPr>
        <c:dLbl>
          <c:idx val="0"/>
          <c:layout>
            <c:manualLayout>
              <c:x val="0"/>
              <c:y val="-1.23103121449275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Analysis!$K$8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83-4CBC-AF0B-418C12FEDBD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D83-4CBC-AF0B-418C12FEDBD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D83-4CBC-AF0B-418C12FEDBDB}"/>
              </c:ext>
            </c:extLst>
          </c:dPt>
          <c:dLbls>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532677759450381"/>
                      <c:h val="0.14282405817296842"/>
                    </c:manualLayout>
                  </c15:layout>
                </c:ext>
                <c:ext xmlns:c16="http://schemas.microsoft.com/office/drawing/2014/chart" uri="{C3380CC4-5D6E-409C-BE32-E72D297353CC}">
                  <c16:uniqueId val="{00000001-1D83-4CBC-AF0B-418C12FEDBDB}"/>
                </c:ext>
              </c:extLst>
            </c:dLbl>
            <c:dLbl>
              <c:idx val="2"/>
              <c:layout>
                <c:manualLayout>
                  <c:x val="0"/>
                  <c:y val="-1.2310312144927508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D83-4CBC-AF0B-418C12FEDBD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Analysis!$J$9:$J$12</c:f>
              <c:strCache>
                <c:ptCount val="3"/>
                <c:pt idx="0">
                  <c:v>Low Risk</c:v>
                </c:pt>
                <c:pt idx="1">
                  <c:v>Medium Risk</c:v>
                </c:pt>
                <c:pt idx="2">
                  <c:v>High Risk</c:v>
                </c:pt>
              </c:strCache>
            </c:strRef>
          </c:cat>
          <c:val>
            <c:numRef>
              <c:f>Analysis!$K$9:$K$12</c:f>
              <c:numCache>
                <c:formatCode>General</c:formatCode>
                <c:ptCount val="3"/>
                <c:pt idx="0">
                  <c:v>384</c:v>
                </c:pt>
                <c:pt idx="1">
                  <c:v>232</c:v>
                </c:pt>
                <c:pt idx="2">
                  <c:v>51</c:v>
                </c:pt>
              </c:numCache>
            </c:numRef>
          </c:val>
          <c:extLst>
            <c:ext xmlns:c16="http://schemas.microsoft.com/office/drawing/2014/chart" uri="{C3380CC4-5D6E-409C-BE32-E72D297353CC}">
              <c16:uniqueId val="{00000006-1D83-4CBC-AF0B-418C12FEDBDB}"/>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2">
                    <a:lumMod val="50000"/>
                  </a:schemeClr>
                </a:solidFill>
              </a:rPr>
              <a:t>KEY</a:t>
            </a:r>
            <a:r>
              <a:rPr lang="en-US" sz="1600" b="1" baseline="0">
                <a:solidFill>
                  <a:schemeClr val="tx2">
                    <a:lumMod val="50000"/>
                  </a:schemeClr>
                </a:solidFill>
              </a:rPr>
              <a:t> DRIVERS BY IMPACT ON CHURN</a:t>
            </a:r>
            <a:endParaRPr lang="en-US" sz="16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Analysis!$G$35</c:f>
              <c:strCache>
                <c:ptCount val="1"/>
                <c:pt idx="0">
                  <c:v>Impact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Analysis!$F$36:$F$40</c:f>
              <c:strCache>
                <c:ptCount val="5"/>
                <c:pt idx="0">
                  <c:v>Customer service </c:v>
                </c:pt>
                <c:pt idx="1">
                  <c:v>International usage </c:v>
                </c:pt>
                <c:pt idx="2">
                  <c:v>Customer usage </c:v>
                </c:pt>
                <c:pt idx="3">
                  <c:v>Charges </c:v>
                </c:pt>
                <c:pt idx="4">
                  <c:v>Voicemail usage </c:v>
                </c:pt>
              </c:strCache>
            </c:strRef>
          </c:cat>
          <c:val>
            <c:numRef>
              <c:f>Analysis!$G$36:$G$40</c:f>
              <c:numCache>
                <c:formatCode>0.00</c:formatCode>
                <c:ptCount val="5"/>
                <c:pt idx="0">
                  <c:v>0.13793103448275862</c:v>
                </c:pt>
                <c:pt idx="1">
                  <c:v>0.35849056603773582</c:v>
                </c:pt>
                <c:pt idx="2">
                  <c:v>5.865102639296188E-2</c:v>
                </c:pt>
                <c:pt idx="3">
                  <c:v>5.6105610561056105E-2</c:v>
                </c:pt>
                <c:pt idx="4">
                  <c:v>0.16736401673640167</c:v>
                </c:pt>
              </c:numCache>
            </c:numRef>
          </c:val>
          <c:extLst>
            <c:ext xmlns:c16="http://schemas.microsoft.com/office/drawing/2014/chart" uri="{C3380CC4-5D6E-409C-BE32-E72D297353CC}">
              <c16:uniqueId val="{00000000-B2DA-451C-B1B6-8A02CBD10F95}"/>
            </c:ext>
          </c:extLst>
        </c:ser>
        <c:dLbls>
          <c:dLblPos val="outEnd"/>
          <c:showLegendKey val="0"/>
          <c:showVal val="1"/>
          <c:showCatName val="0"/>
          <c:showSerName val="0"/>
          <c:showPercent val="0"/>
          <c:showBubbleSize val="0"/>
        </c:dLbls>
        <c:gapWidth val="106"/>
        <c:axId val="1714016496"/>
        <c:axId val="1714011216"/>
      </c:barChart>
      <c:catAx>
        <c:axId val="17140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714011216"/>
        <c:crosses val="autoZero"/>
        <c:auto val="1"/>
        <c:lblAlgn val="ctr"/>
        <c:lblOffset val="100"/>
        <c:noMultiLvlLbl val="0"/>
      </c:catAx>
      <c:valAx>
        <c:axId val="1714011216"/>
        <c:scaling>
          <c:orientation val="minMax"/>
          <c:max val="0.5"/>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crossAx val="1714016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chemeClr val="tx2">
                    <a:lumMod val="50000"/>
                  </a:schemeClr>
                </a:solidFill>
                <a:latin typeface="+mn-lt"/>
                <a:ea typeface="+mn-ea"/>
                <a:cs typeface="+mn-cs"/>
              </a:defRPr>
            </a:pPr>
            <a:r>
              <a:rPr lang="en-US" sz="1600" b="1" i="0" u="none" strike="noStrike" kern="1200" spc="0" baseline="0">
                <a:solidFill>
                  <a:schemeClr val="tx2">
                    <a:lumMod val="50000"/>
                  </a:schemeClr>
                </a:solidFill>
                <a:latin typeface="+mn-lt"/>
                <a:ea typeface="+mn-ea"/>
                <a:cs typeface="+mn-cs"/>
              </a:rPr>
              <a:t>RISK SEGMENTATION (CHURN RATE)</a:t>
            </a:r>
          </a:p>
        </c:rich>
      </c:tx>
      <c:layout>
        <c:manualLayout>
          <c:xMode val="edge"/>
          <c:yMode val="edge"/>
          <c:x val="0.22739665364093653"/>
          <c:y val="3.055555778328651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2">
                  <a:lumMod val="50000"/>
                </a:schemeClr>
              </a:solidFill>
              <a:latin typeface="+mn-lt"/>
              <a:ea typeface="+mn-ea"/>
              <a:cs typeface="+mn-cs"/>
            </a:defRPr>
          </a:pPr>
          <a:endParaRPr lang="en-US"/>
        </a:p>
      </c:txPr>
    </c:title>
    <c:autoTitleDeleted val="0"/>
    <c:plotArea>
      <c:layout>
        <c:manualLayout>
          <c:layoutTarget val="inner"/>
          <c:xMode val="edge"/>
          <c:yMode val="edge"/>
          <c:x val="0.16670378702051117"/>
          <c:y val="9.5395158938466035E-2"/>
          <c:w val="0.79241352516810293"/>
          <c:h val="0.7638557402546903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Analysis!$E$4:$E$6</c:f>
              <c:strCache>
                <c:ptCount val="3"/>
                <c:pt idx="0">
                  <c:v>High Risk</c:v>
                </c:pt>
                <c:pt idx="1">
                  <c:v>Low Risk</c:v>
                </c:pt>
                <c:pt idx="2">
                  <c:v>Medium Risk</c:v>
                </c:pt>
              </c:strCache>
            </c:strRef>
          </c:cat>
          <c:val>
            <c:numRef>
              <c:f>Analysis!$F$4:$F$6</c:f>
              <c:numCache>
                <c:formatCode>0.00%</c:formatCode>
                <c:ptCount val="3"/>
                <c:pt idx="0">
                  <c:v>0.45098039215686275</c:v>
                </c:pt>
                <c:pt idx="1">
                  <c:v>0.10416666666666667</c:v>
                </c:pt>
                <c:pt idx="2">
                  <c:v>0.13793103448275862</c:v>
                </c:pt>
              </c:numCache>
            </c:numRef>
          </c:val>
          <c:extLst>
            <c:ext xmlns:c16="http://schemas.microsoft.com/office/drawing/2014/chart" uri="{C3380CC4-5D6E-409C-BE32-E72D297353CC}">
              <c16:uniqueId val="{00000000-0C6E-4861-86B4-1167B8F73CE2}"/>
            </c:ext>
          </c:extLst>
        </c:ser>
        <c:dLbls>
          <c:dLblPos val="outEnd"/>
          <c:showLegendKey val="0"/>
          <c:showVal val="1"/>
          <c:showCatName val="0"/>
          <c:showSerName val="0"/>
          <c:showPercent val="0"/>
          <c:showBubbleSize val="0"/>
        </c:dLbls>
        <c:gapWidth val="110"/>
        <c:overlap val="-27"/>
        <c:axId val="1017725823"/>
        <c:axId val="1017724863"/>
      </c:barChart>
      <c:catAx>
        <c:axId val="1017725823"/>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RISK</a:t>
                </a:r>
                <a:r>
                  <a:rPr lang="en-US" sz="1800" b="1" baseline="0">
                    <a:solidFill>
                      <a:schemeClr val="tx2">
                        <a:lumMod val="50000"/>
                      </a:schemeClr>
                    </a:solidFill>
                  </a:rPr>
                  <a:t> SEGMENTATION</a:t>
                </a:r>
                <a:endParaRPr lang="en-US"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17724863"/>
        <c:crosses val="autoZero"/>
        <c:auto val="1"/>
        <c:lblAlgn val="ctr"/>
        <c:lblOffset val="100"/>
        <c:noMultiLvlLbl val="0"/>
      </c:catAx>
      <c:valAx>
        <c:axId val="1017724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baseline="0">
                    <a:solidFill>
                      <a:schemeClr val="tx2">
                        <a:lumMod val="50000"/>
                      </a:schemeClr>
                    </a:solidFill>
                  </a:rPr>
                  <a:t> % OF CHURN RATE</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17725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tx2">
                    <a:lumMod val="50000"/>
                  </a:schemeClr>
                </a:solidFill>
                <a:latin typeface="+mn-lt"/>
                <a:ea typeface="+mn-ea"/>
                <a:cs typeface="+mn-cs"/>
              </a:defRPr>
            </a:pPr>
            <a:r>
              <a:rPr lang="en-US" sz="1800" b="1" i="0" u="none" strike="noStrike" kern="1200" baseline="0">
                <a:solidFill>
                  <a:schemeClr val="tx2">
                    <a:lumMod val="50000"/>
                  </a:schemeClr>
                </a:solidFill>
                <a:latin typeface="+mn-lt"/>
                <a:ea typeface="+mn-ea"/>
                <a:cs typeface="+mn-cs"/>
              </a:rPr>
              <a:t>RETENTION OPPURTUNITY (HIGH RISK CUSTOMERS)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2">
                  <a:lumMod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Analysis!$G$12</c:f>
              <c:strCache>
                <c:ptCount val="1"/>
                <c:pt idx="0">
                  <c:v>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Analysis!$F$13:$F$17</c:f>
              <c:strCache>
                <c:ptCount val="5"/>
                <c:pt idx="0">
                  <c:v>Unplanned intl usage</c:v>
                </c:pt>
                <c:pt idx="1">
                  <c:v>Inactive voicemail usage</c:v>
                </c:pt>
                <c:pt idx="2">
                  <c:v>Charges</c:v>
                </c:pt>
                <c:pt idx="3">
                  <c:v>Customer Usage</c:v>
                </c:pt>
                <c:pt idx="4">
                  <c:v>Customer service calls</c:v>
                </c:pt>
              </c:strCache>
            </c:strRef>
          </c:cat>
          <c:val>
            <c:numRef>
              <c:f>Analysis!$G$13:$G$17</c:f>
              <c:numCache>
                <c:formatCode>General</c:formatCode>
                <c:ptCount val="5"/>
                <c:pt idx="0">
                  <c:v>611</c:v>
                </c:pt>
                <c:pt idx="1">
                  <c:v>478</c:v>
                </c:pt>
                <c:pt idx="2">
                  <c:v>176</c:v>
                </c:pt>
                <c:pt idx="3">
                  <c:v>158</c:v>
                </c:pt>
                <c:pt idx="4">
                  <c:v>57</c:v>
                </c:pt>
              </c:numCache>
            </c:numRef>
          </c:val>
          <c:extLst>
            <c:ext xmlns:c16="http://schemas.microsoft.com/office/drawing/2014/chart" uri="{C3380CC4-5D6E-409C-BE32-E72D297353CC}">
              <c16:uniqueId val="{00000000-38BB-462D-8B0D-500036756B1B}"/>
            </c:ext>
          </c:extLst>
        </c:ser>
        <c:ser>
          <c:idx val="1"/>
          <c:order val="1"/>
          <c:tx>
            <c:strRef>
              <c:f>Analysis!$H$12</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Analysis!$F$13:$F$17</c:f>
              <c:strCache>
                <c:ptCount val="5"/>
                <c:pt idx="0">
                  <c:v>Unplanned intl usage</c:v>
                </c:pt>
                <c:pt idx="1">
                  <c:v>Inactive voicemail usage</c:v>
                </c:pt>
                <c:pt idx="2">
                  <c:v>Charges</c:v>
                </c:pt>
                <c:pt idx="3">
                  <c:v>Customer Usage</c:v>
                </c:pt>
                <c:pt idx="4">
                  <c:v>Customer service calls</c:v>
                </c:pt>
              </c:strCache>
            </c:strRef>
          </c:cat>
          <c:val>
            <c:numRef>
              <c:f>Analysis!$H$13:$H$17</c:f>
              <c:numCache>
                <c:formatCode>0%</c:formatCode>
                <c:ptCount val="5"/>
                <c:pt idx="0">
                  <c:v>0.41283783783783784</c:v>
                </c:pt>
                <c:pt idx="1">
                  <c:v>0.32297297297297295</c:v>
                </c:pt>
                <c:pt idx="2">
                  <c:v>0.11891891891891893</c:v>
                </c:pt>
                <c:pt idx="3">
                  <c:v>0.10675675675675676</c:v>
                </c:pt>
                <c:pt idx="4">
                  <c:v>3.8513513513513516E-2</c:v>
                </c:pt>
              </c:numCache>
            </c:numRef>
          </c:val>
          <c:extLst>
            <c:ext xmlns:c16="http://schemas.microsoft.com/office/drawing/2014/chart" uri="{C3380CC4-5D6E-409C-BE32-E72D297353CC}">
              <c16:uniqueId val="{00000001-38BB-462D-8B0D-500036756B1B}"/>
            </c:ext>
          </c:extLst>
        </c:ser>
        <c:dLbls>
          <c:dLblPos val="outEnd"/>
          <c:showLegendKey val="0"/>
          <c:showVal val="1"/>
          <c:showCatName val="0"/>
          <c:showSerName val="0"/>
          <c:showPercent val="0"/>
          <c:showBubbleSize val="0"/>
        </c:dLbls>
        <c:gapWidth val="0"/>
        <c:axId val="1049309599"/>
        <c:axId val="1049293759"/>
      </c:barChart>
      <c:catAx>
        <c:axId val="1049309599"/>
        <c:scaling>
          <c:orientation val="minMax"/>
        </c:scaling>
        <c:delete val="0"/>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a:solidFill>
                      <a:schemeClr val="tx2">
                        <a:lumMod val="50000"/>
                      </a:schemeClr>
                    </a:solidFill>
                  </a:rPr>
                  <a:t>KEY</a:t>
                </a:r>
                <a:r>
                  <a:rPr lang="en-US" sz="1800" b="1" baseline="0">
                    <a:solidFill>
                      <a:schemeClr val="tx2">
                        <a:lumMod val="50000"/>
                      </a:schemeClr>
                    </a:solidFill>
                  </a:rPr>
                  <a:t> DRIVERS</a:t>
                </a:r>
                <a:endParaRPr lang="en-US" sz="1800" b="1">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49293759"/>
        <c:crosses val="autoZero"/>
        <c:auto val="1"/>
        <c:lblAlgn val="ctr"/>
        <c:lblOffset val="100"/>
        <c:noMultiLvlLbl val="0"/>
      </c:catAx>
      <c:valAx>
        <c:axId val="104929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crossAx val="1049309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44</xdr:col>
      <xdr:colOff>492743</xdr:colOff>
      <xdr:row>112</xdr:row>
      <xdr:rowOff>138545</xdr:rowOff>
    </xdr:to>
    <xdr:sp macro="" textlink="">
      <xdr:nvSpPr>
        <xdr:cNvPr id="24" name="Rectangle 23">
          <a:extLst>
            <a:ext uri="{FF2B5EF4-FFF2-40B4-BE49-F238E27FC236}">
              <a16:creationId xmlns:a16="http://schemas.microsoft.com/office/drawing/2014/main" id="{1AF96DA3-FB6F-8569-AF95-CDEF1196451F}"/>
            </a:ext>
          </a:extLst>
        </xdr:cNvPr>
        <xdr:cNvSpPr/>
      </xdr:nvSpPr>
      <xdr:spPr>
        <a:xfrm>
          <a:off x="0" y="371104"/>
          <a:ext cx="27162743" cy="2054925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p>
      </xdr:txBody>
    </xdr:sp>
    <xdr:clientData/>
  </xdr:twoCellAnchor>
  <xdr:twoCellAnchor>
    <xdr:from>
      <xdr:col>6</xdr:col>
      <xdr:colOff>375673</xdr:colOff>
      <xdr:row>78</xdr:row>
      <xdr:rowOff>71270</xdr:rowOff>
    </xdr:from>
    <xdr:to>
      <xdr:col>44</xdr:col>
      <xdr:colOff>121227</xdr:colOff>
      <xdr:row>108</xdr:row>
      <xdr:rowOff>0</xdr:rowOff>
    </xdr:to>
    <xdr:sp macro="" textlink="">
      <xdr:nvSpPr>
        <xdr:cNvPr id="3" name="Rectangle 2">
          <a:extLst>
            <a:ext uri="{FF2B5EF4-FFF2-40B4-BE49-F238E27FC236}">
              <a16:creationId xmlns:a16="http://schemas.microsoft.com/office/drawing/2014/main" id="{578DC1EC-C26C-B4E1-CAEC-1C7266900302}"/>
            </a:ext>
          </a:extLst>
        </xdr:cNvPr>
        <xdr:cNvSpPr/>
      </xdr:nvSpPr>
      <xdr:spPr>
        <a:xfrm>
          <a:off x="4012491" y="14930270"/>
          <a:ext cx="22778736" cy="564373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34637</xdr:colOff>
      <xdr:row>23</xdr:row>
      <xdr:rowOff>143996</xdr:rowOff>
    </xdr:from>
    <xdr:to>
      <xdr:col>5</xdr:col>
      <xdr:colOff>597748</xdr:colOff>
      <xdr:row>29</xdr:row>
      <xdr:rowOff>168088</xdr:rowOff>
    </xdr:to>
    <xdr:sp macro="" textlink="">
      <xdr:nvSpPr>
        <xdr:cNvPr id="13" name="Rectangle 12">
          <a:extLst>
            <a:ext uri="{FF2B5EF4-FFF2-40B4-BE49-F238E27FC236}">
              <a16:creationId xmlns:a16="http://schemas.microsoft.com/office/drawing/2014/main" id="{DAA58C1F-5118-69BB-0891-28E9D0414369}"/>
            </a:ext>
          </a:extLst>
        </xdr:cNvPr>
        <xdr:cNvSpPr/>
      </xdr:nvSpPr>
      <xdr:spPr>
        <a:xfrm>
          <a:off x="639755" y="4525496"/>
          <a:ext cx="2983581" cy="1167092"/>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554182</xdr:colOff>
      <xdr:row>32</xdr:row>
      <xdr:rowOff>173183</xdr:rowOff>
    </xdr:from>
    <xdr:to>
      <xdr:col>5</xdr:col>
      <xdr:colOff>519545</xdr:colOff>
      <xdr:row>43</xdr:row>
      <xdr:rowOff>69273</xdr:rowOff>
    </xdr:to>
    <xdr:sp macro="" textlink="">
      <xdr:nvSpPr>
        <xdr:cNvPr id="14" name="Rectangle 13">
          <a:extLst>
            <a:ext uri="{FF2B5EF4-FFF2-40B4-BE49-F238E27FC236}">
              <a16:creationId xmlns:a16="http://schemas.microsoft.com/office/drawing/2014/main" id="{020086AE-E98B-30B9-D268-B3CE9E01B402}"/>
            </a:ext>
          </a:extLst>
        </xdr:cNvPr>
        <xdr:cNvSpPr/>
      </xdr:nvSpPr>
      <xdr:spPr>
        <a:xfrm>
          <a:off x="554182" y="6269183"/>
          <a:ext cx="2996045" cy="199159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153683</xdr:colOff>
      <xdr:row>49</xdr:row>
      <xdr:rowOff>155864</xdr:rowOff>
    </xdr:from>
    <xdr:to>
      <xdr:col>5</xdr:col>
      <xdr:colOff>605523</xdr:colOff>
      <xdr:row>74</xdr:row>
      <xdr:rowOff>17318</xdr:rowOff>
    </xdr:to>
    <xdr:sp macro="" textlink="">
      <xdr:nvSpPr>
        <xdr:cNvPr id="15" name="Rectangle 14">
          <a:extLst>
            <a:ext uri="{FF2B5EF4-FFF2-40B4-BE49-F238E27FC236}">
              <a16:creationId xmlns:a16="http://schemas.microsoft.com/office/drawing/2014/main" id="{C653A7E5-BB45-3B84-722E-626F5EB76929}"/>
            </a:ext>
          </a:extLst>
        </xdr:cNvPr>
        <xdr:cNvSpPr/>
      </xdr:nvSpPr>
      <xdr:spPr>
        <a:xfrm>
          <a:off x="759819" y="9490364"/>
          <a:ext cx="2876386" cy="4623954"/>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4994</xdr:colOff>
      <xdr:row>84</xdr:row>
      <xdr:rowOff>44648</xdr:rowOff>
    </xdr:from>
    <xdr:to>
      <xdr:col>5</xdr:col>
      <xdr:colOff>478952</xdr:colOff>
      <xdr:row>92</xdr:row>
      <xdr:rowOff>53953</xdr:rowOff>
    </xdr:to>
    <xdr:sp macro="" textlink="">
      <xdr:nvSpPr>
        <xdr:cNvPr id="17" name="Rectangle 16">
          <a:extLst>
            <a:ext uri="{FF2B5EF4-FFF2-40B4-BE49-F238E27FC236}">
              <a16:creationId xmlns:a16="http://schemas.microsoft.com/office/drawing/2014/main" id="{198BC29F-6723-787B-0CCE-48CBC0F0E345}"/>
            </a:ext>
          </a:extLst>
        </xdr:cNvPr>
        <xdr:cNvSpPr/>
      </xdr:nvSpPr>
      <xdr:spPr>
        <a:xfrm>
          <a:off x="627782" y="15431186"/>
          <a:ext cx="2965112" cy="147469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572966</xdr:colOff>
      <xdr:row>93</xdr:row>
      <xdr:rowOff>155698</xdr:rowOff>
    </xdr:from>
    <xdr:to>
      <xdr:col>5</xdr:col>
      <xdr:colOff>424136</xdr:colOff>
      <xdr:row>103</xdr:row>
      <xdr:rowOff>0</xdr:rowOff>
    </xdr:to>
    <xdr:sp macro="" textlink="">
      <xdr:nvSpPr>
        <xdr:cNvPr id="18" name="Rectangle 17">
          <a:extLst>
            <a:ext uri="{FF2B5EF4-FFF2-40B4-BE49-F238E27FC236}">
              <a16:creationId xmlns:a16="http://schemas.microsoft.com/office/drawing/2014/main" id="{10FEF41C-328E-F665-669D-58E979EE0783}"/>
            </a:ext>
          </a:extLst>
        </xdr:cNvPr>
        <xdr:cNvSpPr/>
      </xdr:nvSpPr>
      <xdr:spPr>
        <a:xfrm>
          <a:off x="572966" y="17872198"/>
          <a:ext cx="2881852" cy="1749302"/>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191118</xdr:colOff>
      <xdr:row>3</xdr:row>
      <xdr:rowOff>22266</xdr:rowOff>
    </xdr:from>
    <xdr:ext cx="17307667" cy="1731818"/>
    <xdr:sp macro="" textlink="">
      <xdr:nvSpPr>
        <xdr:cNvPr id="25" name="TextBox 24">
          <a:extLst>
            <a:ext uri="{FF2B5EF4-FFF2-40B4-BE49-F238E27FC236}">
              <a16:creationId xmlns:a16="http://schemas.microsoft.com/office/drawing/2014/main" id="{7D9E3CFA-197D-6C4D-32A2-C8BB41FB7B42}"/>
            </a:ext>
          </a:extLst>
        </xdr:cNvPr>
        <xdr:cNvSpPr txBox="1"/>
      </xdr:nvSpPr>
      <xdr:spPr>
        <a:xfrm>
          <a:off x="3827936" y="578922"/>
          <a:ext cx="17307667" cy="1731818"/>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1">
              <a:solidFill>
                <a:schemeClr val="tx2"/>
              </a:solidFill>
            </a:rPr>
            <a:t>TELECOM CUSTOMER CHURN DASHBOARD</a:t>
          </a:r>
        </a:p>
        <a:p>
          <a:r>
            <a:rPr lang="en-US" sz="3200" b="1">
              <a:solidFill>
                <a:schemeClr val="tx2"/>
              </a:solidFill>
            </a:rPr>
            <a:t>Understand</a:t>
          </a:r>
          <a:r>
            <a:rPr lang="en-US" sz="3200" b="1" baseline="0">
              <a:solidFill>
                <a:schemeClr val="tx2"/>
              </a:solidFill>
            </a:rPr>
            <a:t> customer behaviour,identify churn drivers and take actions to improve retention</a:t>
          </a:r>
          <a:r>
            <a:rPr lang="en-US" sz="1400" baseline="0"/>
            <a:t>.</a:t>
          </a:r>
          <a:endParaRPr lang="en-US" sz="1400"/>
        </a:p>
      </xdr:txBody>
    </xdr:sp>
    <xdr:clientData/>
  </xdr:oneCellAnchor>
  <xdr:twoCellAnchor>
    <xdr:from>
      <xdr:col>6</xdr:col>
      <xdr:colOff>155863</xdr:colOff>
      <xdr:row>23</xdr:row>
      <xdr:rowOff>27477</xdr:rowOff>
    </xdr:from>
    <xdr:to>
      <xdr:col>44</xdr:col>
      <xdr:colOff>90714</xdr:colOff>
      <xdr:row>48</xdr:row>
      <xdr:rowOff>36634</xdr:rowOff>
    </xdr:to>
    <xdr:grpSp>
      <xdr:nvGrpSpPr>
        <xdr:cNvPr id="29" name="Group 28">
          <a:extLst>
            <a:ext uri="{FF2B5EF4-FFF2-40B4-BE49-F238E27FC236}">
              <a16:creationId xmlns:a16="http://schemas.microsoft.com/office/drawing/2014/main" id="{09BA33B2-A3C5-6DF1-C000-565090B1907F}"/>
            </a:ext>
          </a:extLst>
        </xdr:cNvPr>
        <xdr:cNvGrpSpPr/>
      </xdr:nvGrpSpPr>
      <xdr:grpSpPr>
        <a:xfrm>
          <a:off x="3727738" y="4135133"/>
          <a:ext cx="22556726" cy="4474001"/>
          <a:chOff x="3792681" y="4408977"/>
          <a:chExt cx="20622512" cy="3511106"/>
        </a:xfrm>
      </xdr:grpSpPr>
      <xdr:sp macro="" textlink="">
        <xdr:nvSpPr>
          <xdr:cNvPr id="7" name="Rectangle 6">
            <a:extLst>
              <a:ext uri="{FF2B5EF4-FFF2-40B4-BE49-F238E27FC236}">
                <a16:creationId xmlns:a16="http://schemas.microsoft.com/office/drawing/2014/main" id="{DF3243DD-5A9D-AB79-8BEB-CBFEA17AD905}"/>
              </a:ext>
            </a:extLst>
          </xdr:cNvPr>
          <xdr:cNvSpPr/>
        </xdr:nvSpPr>
        <xdr:spPr>
          <a:xfrm>
            <a:off x="3814266" y="4408977"/>
            <a:ext cx="20547574" cy="3511106"/>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sp macro="" textlink="">
        <xdr:nvSpPr>
          <xdr:cNvPr id="28" name="TextBox 27">
            <a:extLst>
              <a:ext uri="{FF2B5EF4-FFF2-40B4-BE49-F238E27FC236}">
                <a16:creationId xmlns:a16="http://schemas.microsoft.com/office/drawing/2014/main" id="{CD87BC95-6C30-76F4-A42D-7520C241203E}"/>
              </a:ext>
            </a:extLst>
          </xdr:cNvPr>
          <xdr:cNvSpPr txBox="1"/>
        </xdr:nvSpPr>
        <xdr:spPr>
          <a:xfrm>
            <a:off x="3792681" y="4416136"/>
            <a:ext cx="20622512" cy="415637"/>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tx2"/>
                </a:solidFill>
              </a:rPr>
              <a:t>CHURN OVERVIEW (Descriptive</a:t>
            </a:r>
            <a:r>
              <a:rPr lang="en-US" sz="2000" b="1" baseline="0">
                <a:solidFill>
                  <a:schemeClr val="tx2"/>
                </a:solidFill>
              </a:rPr>
              <a:t> analysis)</a:t>
            </a:r>
            <a:endParaRPr lang="en-US" sz="2000" b="1">
              <a:solidFill>
                <a:schemeClr val="tx2"/>
              </a:solidFill>
            </a:endParaRPr>
          </a:p>
        </xdr:txBody>
      </xdr:sp>
    </xdr:grpSp>
    <xdr:clientData/>
  </xdr:twoCellAnchor>
  <xdr:twoCellAnchor>
    <xdr:from>
      <xdr:col>6</xdr:col>
      <xdr:colOff>207066</xdr:colOff>
      <xdr:row>49</xdr:row>
      <xdr:rowOff>124239</xdr:rowOff>
    </xdr:from>
    <xdr:to>
      <xdr:col>44</xdr:col>
      <xdr:colOff>113393</xdr:colOff>
      <xdr:row>76</xdr:row>
      <xdr:rowOff>105907</xdr:rowOff>
    </xdr:to>
    <xdr:grpSp>
      <xdr:nvGrpSpPr>
        <xdr:cNvPr id="32" name="Group 31">
          <a:extLst>
            <a:ext uri="{FF2B5EF4-FFF2-40B4-BE49-F238E27FC236}">
              <a16:creationId xmlns:a16="http://schemas.microsoft.com/office/drawing/2014/main" id="{B0CF1D1B-998E-17E6-BC07-97487BC64DAE}"/>
            </a:ext>
          </a:extLst>
        </xdr:cNvPr>
        <xdr:cNvGrpSpPr/>
      </xdr:nvGrpSpPr>
      <xdr:grpSpPr>
        <a:xfrm>
          <a:off x="3778941" y="8875333"/>
          <a:ext cx="22528202" cy="4803699"/>
          <a:chOff x="3851414" y="9594022"/>
          <a:chExt cx="19008586" cy="5199711"/>
        </a:xfrm>
      </xdr:grpSpPr>
      <xdr:sp macro="" textlink="">
        <xdr:nvSpPr>
          <xdr:cNvPr id="4" name="Rectangle 3">
            <a:extLst>
              <a:ext uri="{FF2B5EF4-FFF2-40B4-BE49-F238E27FC236}">
                <a16:creationId xmlns:a16="http://schemas.microsoft.com/office/drawing/2014/main" id="{7EBFE635-6FF4-A0D2-9BBF-8386D4F0CA5E}"/>
              </a:ext>
            </a:extLst>
          </xdr:cNvPr>
          <xdr:cNvSpPr/>
        </xdr:nvSpPr>
        <xdr:spPr>
          <a:xfrm>
            <a:off x="3882473" y="9714562"/>
            <a:ext cx="18977527" cy="5079171"/>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754C306C-CC49-E197-F08F-79D24FBDE510}"/>
              </a:ext>
            </a:extLst>
          </xdr:cNvPr>
          <xdr:cNvSpPr txBox="1"/>
        </xdr:nvSpPr>
        <xdr:spPr>
          <a:xfrm>
            <a:off x="3851414" y="9594022"/>
            <a:ext cx="18994782" cy="57324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tx2"/>
                </a:solidFill>
              </a:rPr>
              <a:t>CHURN DRIVERS (Diagnostic Analysis)</a:t>
            </a:r>
          </a:p>
        </xdr:txBody>
      </xdr:sp>
    </xdr:grpSp>
    <xdr:clientData/>
  </xdr:twoCellAnchor>
  <xdr:oneCellAnchor>
    <xdr:from>
      <xdr:col>6</xdr:col>
      <xdr:colOff>343033</xdr:colOff>
      <xdr:row>78</xdr:row>
      <xdr:rowOff>69270</xdr:rowOff>
    </xdr:from>
    <xdr:ext cx="22888072" cy="588821"/>
    <xdr:sp macro="" textlink="">
      <xdr:nvSpPr>
        <xdr:cNvPr id="35" name="TextBox 34">
          <a:extLst>
            <a:ext uri="{FF2B5EF4-FFF2-40B4-BE49-F238E27FC236}">
              <a16:creationId xmlns:a16="http://schemas.microsoft.com/office/drawing/2014/main" id="{61431632-F4B4-FF26-BDD8-F9E55A7B37A1}"/>
            </a:ext>
          </a:extLst>
        </xdr:cNvPr>
        <xdr:cNvSpPr txBox="1"/>
      </xdr:nvSpPr>
      <xdr:spPr>
        <a:xfrm>
          <a:off x="3979851" y="14542322"/>
          <a:ext cx="22888072" cy="588821"/>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tx2"/>
              </a:solidFill>
            </a:rPr>
            <a:t>CHURN</a:t>
          </a:r>
          <a:r>
            <a:rPr lang="en-US" sz="2000" b="1" baseline="0">
              <a:solidFill>
                <a:schemeClr val="tx2"/>
              </a:solidFill>
            </a:rPr>
            <a:t> RISK &amp; RETENTION (Predictive analysis</a:t>
          </a:r>
          <a:endParaRPr lang="en-US" sz="2000" b="1">
            <a:solidFill>
              <a:schemeClr val="tx2"/>
            </a:solidFill>
          </a:endParaRPr>
        </a:p>
      </xdr:txBody>
    </xdr:sp>
    <xdr:clientData/>
  </xdr:oneCellAnchor>
  <xdr:twoCellAnchor>
    <xdr:from>
      <xdr:col>6</xdr:col>
      <xdr:colOff>136965</xdr:colOff>
      <xdr:row>26</xdr:row>
      <xdr:rowOff>819</xdr:rowOff>
    </xdr:from>
    <xdr:to>
      <xdr:col>13</xdr:col>
      <xdr:colOff>595312</xdr:colOff>
      <xdr:row>48</xdr:row>
      <xdr:rowOff>67235</xdr:rowOff>
    </xdr:to>
    <xdr:graphicFrame macro="">
      <xdr:nvGraphicFramePr>
        <xdr:cNvPr id="20" name="Chart 19">
          <a:extLst>
            <a:ext uri="{FF2B5EF4-FFF2-40B4-BE49-F238E27FC236}">
              <a16:creationId xmlns:a16="http://schemas.microsoft.com/office/drawing/2014/main" id="{1DF3340E-AF50-4FAB-BC2F-F4137E8BD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593587</xdr:colOff>
      <xdr:row>26</xdr:row>
      <xdr:rowOff>14882</xdr:rowOff>
    </xdr:from>
    <xdr:to>
      <xdr:col>21</xdr:col>
      <xdr:colOff>386522</xdr:colOff>
      <xdr:row>48</xdr:row>
      <xdr:rowOff>55217</xdr:rowOff>
    </xdr:to>
    <xdr:graphicFrame macro="">
      <xdr:nvGraphicFramePr>
        <xdr:cNvPr id="21" name="Chart 20">
          <a:extLst>
            <a:ext uri="{FF2B5EF4-FFF2-40B4-BE49-F238E27FC236}">
              <a16:creationId xmlns:a16="http://schemas.microsoft.com/office/drawing/2014/main" id="{80EDEA87-A822-48DD-909D-CA85D5A20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375618</xdr:colOff>
      <xdr:row>26</xdr:row>
      <xdr:rowOff>31372</xdr:rowOff>
    </xdr:from>
    <xdr:to>
      <xdr:col>29</xdr:col>
      <xdr:colOff>262282</xdr:colOff>
      <xdr:row>48</xdr:row>
      <xdr:rowOff>69020</xdr:rowOff>
    </xdr:to>
    <xdr:graphicFrame macro="">
      <xdr:nvGraphicFramePr>
        <xdr:cNvPr id="22" name="Chart 21">
          <a:extLst>
            <a:ext uri="{FF2B5EF4-FFF2-40B4-BE49-F238E27FC236}">
              <a16:creationId xmlns:a16="http://schemas.microsoft.com/office/drawing/2014/main" id="{9778E46E-8BA5-4B13-AEE1-D45E44A5D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234674</xdr:colOff>
      <xdr:row>52</xdr:row>
      <xdr:rowOff>110433</xdr:rowOff>
    </xdr:from>
    <xdr:to>
      <xdr:col>14</xdr:col>
      <xdr:colOff>13805</xdr:colOff>
      <xdr:row>76</xdr:row>
      <xdr:rowOff>138544</xdr:rowOff>
    </xdr:to>
    <xdr:graphicFrame macro="">
      <xdr:nvGraphicFramePr>
        <xdr:cNvPr id="23" name="Chart 22">
          <a:extLst>
            <a:ext uri="{FF2B5EF4-FFF2-40B4-BE49-F238E27FC236}">
              <a16:creationId xmlns:a16="http://schemas.microsoft.com/office/drawing/2014/main" id="{10C62B05-74AE-4BDF-8F94-F7DDDE4C7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27609</xdr:colOff>
      <xdr:row>52</xdr:row>
      <xdr:rowOff>96630</xdr:rowOff>
    </xdr:from>
    <xdr:to>
      <xdr:col>21</xdr:col>
      <xdr:colOff>579783</xdr:colOff>
      <xdr:row>76</xdr:row>
      <xdr:rowOff>179456</xdr:rowOff>
    </xdr:to>
    <xdr:graphicFrame macro="">
      <xdr:nvGraphicFramePr>
        <xdr:cNvPr id="26" name="Chart 25">
          <a:extLst>
            <a:ext uri="{FF2B5EF4-FFF2-40B4-BE49-F238E27FC236}">
              <a16:creationId xmlns:a16="http://schemas.microsoft.com/office/drawing/2014/main" id="{5F517A28-31F8-4A11-824C-EC000F246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557046</xdr:colOff>
      <xdr:row>52</xdr:row>
      <xdr:rowOff>86886</xdr:rowOff>
    </xdr:from>
    <xdr:to>
      <xdr:col>30</xdr:col>
      <xdr:colOff>45356</xdr:colOff>
      <xdr:row>76</xdr:row>
      <xdr:rowOff>128299</xdr:rowOff>
    </xdr:to>
    <xdr:graphicFrame macro="">
      <xdr:nvGraphicFramePr>
        <xdr:cNvPr id="31" name="Chart 30">
          <a:extLst>
            <a:ext uri="{FF2B5EF4-FFF2-40B4-BE49-F238E27FC236}">
              <a16:creationId xmlns:a16="http://schemas.microsoft.com/office/drawing/2014/main" id="{F531E674-6736-4C9E-9476-F37F0E33F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22677</xdr:colOff>
      <xdr:row>52</xdr:row>
      <xdr:rowOff>110434</xdr:rowOff>
    </xdr:from>
    <xdr:to>
      <xdr:col>37</xdr:col>
      <xdr:colOff>284512</xdr:colOff>
      <xdr:row>76</xdr:row>
      <xdr:rowOff>124239</xdr:rowOff>
    </xdr:to>
    <xdr:graphicFrame macro="">
      <xdr:nvGraphicFramePr>
        <xdr:cNvPr id="33" name="Chart 32">
          <a:extLst>
            <a:ext uri="{FF2B5EF4-FFF2-40B4-BE49-F238E27FC236}">
              <a16:creationId xmlns:a16="http://schemas.microsoft.com/office/drawing/2014/main" id="{5E631BD5-3C4A-430F-983F-76897BC12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258337</xdr:colOff>
      <xdr:row>52</xdr:row>
      <xdr:rowOff>101561</xdr:rowOff>
    </xdr:from>
    <xdr:to>
      <xdr:col>44</xdr:col>
      <xdr:colOff>113392</xdr:colOff>
      <xdr:row>76</xdr:row>
      <xdr:rowOff>115366</xdr:rowOff>
    </xdr:to>
    <xdr:graphicFrame macro="">
      <xdr:nvGraphicFramePr>
        <xdr:cNvPr id="34" name="Chart 33">
          <a:extLst>
            <a:ext uri="{FF2B5EF4-FFF2-40B4-BE49-F238E27FC236}">
              <a16:creationId xmlns:a16="http://schemas.microsoft.com/office/drawing/2014/main" id="{5ECA5E89-0489-4586-B45A-4F8F5AE3A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35</xdr:col>
      <xdr:colOff>470065</xdr:colOff>
      <xdr:row>52</xdr:row>
      <xdr:rowOff>179458</xdr:rowOff>
    </xdr:from>
    <xdr:ext cx="2474025" cy="441739"/>
    <xdr:sp macro="" textlink="">
      <xdr:nvSpPr>
        <xdr:cNvPr id="37" name="TextBox 36">
          <a:extLst>
            <a:ext uri="{FF2B5EF4-FFF2-40B4-BE49-F238E27FC236}">
              <a16:creationId xmlns:a16="http://schemas.microsoft.com/office/drawing/2014/main" id="{8009877D-A4E5-0F43-01CA-97AFF3872BDF}"/>
            </a:ext>
          </a:extLst>
        </xdr:cNvPr>
        <xdr:cNvSpPr txBox="1"/>
      </xdr:nvSpPr>
      <xdr:spPr>
        <a:xfrm>
          <a:off x="21684838" y="9828159"/>
          <a:ext cx="2474025" cy="441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chemeClr val="tx2">
                  <a:lumMod val="50000"/>
                </a:schemeClr>
              </a:solidFill>
            </a:rPr>
            <a:t>PLANS VS </a:t>
          </a:r>
          <a:r>
            <a:rPr lang="en-US" sz="1800" b="1" baseline="0">
              <a:solidFill>
                <a:schemeClr val="tx2">
                  <a:lumMod val="50000"/>
                </a:schemeClr>
              </a:solidFill>
            </a:rPr>
            <a:t> CHURN</a:t>
          </a:r>
          <a:endParaRPr lang="en-US" sz="1800" b="1">
            <a:solidFill>
              <a:schemeClr val="tx2">
                <a:lumMod val="50000"/>
              </a:schemeClr>
            </a:solidFill>
          </a:endParaRPr>
        </a:p>
      </xdr:txBody>
    </xdr:sp>
    <xdr:clientData/>
  </xdr:oneCellAnchor>
  <xdr:twoCellAnchor>
    <xdr:from>
      <xdr:col>29</xdr:col>
      <xdr:colOff>261472</xdr:colOff>
      <xdr:row>26</xdr:row>
      <xdr:rowOff>0</xdr:rowOff>
    </xdr:from>
    <xdr:to>
      <xdr:col>37</xdr:col>
      <xdr:colOff>136072</xdr:colOff>
      <xdr:row>48</xdr:row>
      <xdr:rowOff>74706</xdr:rowOff>
    </xdr:to>
    <xdr:graphicFrame macro="">
      <xdr:nvGraphicFramePr>
        <xdr:cNvPr id="44" name="Chart 43">
          <a:extLst>
            <a:ext uri="{FF2B5EF4-FFF2-40B4-BE49-F238E27FC236}">
              <a16:creationId xmlns:a16="http://schemas.microsoft.com/office/drawing/2014/main" id="{6BCE760D-CC01-48B7-9022-2533D9FCF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37</xdr:col>
      <xdr:colOff>126998</xdr:colOff>
      <xdr:row>26</xdr:row>
      <xdr:rowOff>0</xdr:rowOff>
    </xdr:from>
    <xdr:to>
      <xdr:col>44</xdr:col>
      <xdr:colOff>68036</xdr:colOff>
      <xdr:row>48</xdr:row>
      <xdr:rowOff>86179</xdr:rowOff>
    </xdr:to>
    <xdr:graphicFrame macro="">
      <xdr:nvGraphicFramePr>
        <xdr:cNvPr id="45" name="Chart 44">
          <a:extLst>
            <a:ext uri="{FF2B5EF4-FFF2-40B4-BE49-F238E27FC236}">
              <a16:creationId xmlns:a16="http://schemas.microsoft.com/office/drawing/2014/main" id="{2F50736A-5A43-4C8F-9023-C1FF6694B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35</xdr:col>
      <xdr:colOff>347308</xdr:colOff>
      <xdr:row>26</xdr:row>
      <xdr:rowOff>27722</xdr:rowOff>
    </xdr:from>
    <xdr:ext cx="2258632" cy="374077"/>
    <xdr:sp macro="" textlink="">
      <xdr:nvSpPr>
        <xdr:cNvPr id="40" name="TextBox 39">
          <a:extLst>
            <a:ext uri="{FF2B5EF4-FFF2-40B4-BE49-F238E27FC236}">
              <a16:creationId xmlns:a16="http://schemas.microsoft.com/office/drawing/2014/main" id="{C0B3FC41-2D44-C91F-970C-4B8B0C1F9B55}"/>
            </a:ext>
          </a:extLst>
        </xdr:cNvPr>
        <xdr:cNvSpPr txBox="1"/>
      </xdr:nvSpPr>
      <xdr:spPr>
        <a:xfrm>
          <a:off x="21562081" y="4852073"/>
          <a:ext cx="225863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tx2">
                  <a:lumMod val="50000"/>
                </a:schemeClr>
              </a:solidFill>
            </a:rPr>
            <a:t>CHURN</a:t>
          </a:r>
          <a:r>
            <a:rPr lang="en-US" sz="1800" b="1" baseline="0">
              <a:solidFill>
                <a:schemeClr val="tx2">
                  <a:lumMod val="50000"/>
                </a:schemeClr>
              </a:solidFill>
            </a:rPr>
            <a:t> BY PLAN TYPE</a:t>
          </a:r>
          <a:endParaRPr lang="en-US" sz="1800" b="1">
            <a:solidFill>
              <a:schemeClr val="tx2">
                <a:lumMod val="50000"/>
              </a:schemeClr>
            </a:solidFill>
          </a:endParaRPr>
        </a:p>
      </xdr:txBody>
    </xdr:sp>
    <xdr:clientData/>
  </xdr:oneCellAnchor>
  <xdr:twoCellAnchor>
    <xdr:from>
      <xdr:col>6</xdr:col>
      <xdr:colOff>405199</xdr:colOff>
      <xdr:row>81</xdr:row>
      <xdr:rowOff>87895</xdr:rowOff>
    </xdr:from>
    <xdr:to>
      <xdr:col>15</xdr:col>
      <xdr:colOff>19050</xdr:colOff>
      <xdr:row>108</xdr:row>
      <xdr:rowOff>102672</xdr:rowOff>
    </xdr:to>
    <xdr:graphicFrame macro="">
      <xdr:nvGraphicFramePr>
        <xdr:cNvPr id="38" name="Chart 37">
          <a:extLst>
            <a:ext uri="{FF2B5EF4-FFF2-40B4-BE49-F238E27FC236}">
              <a16:creationId xmlns:a16="http://schemas.microsoft.com/office/drawing/2014/main" id="{F97FE410-A88D-4A86-8E79-9FA52494A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17318</xdr:colOff>
      <xdr:row>81</xdr:row>
      <xdr:rowOff>69273</xdr:rowOff>
    </xdr:from>
    <xdr:to>
      <xdr:col>23</xdr:col>
      <xdr:colOff>126066</xdr:colOff>
      <xdr:row>108</xdr:row>
      <xdr:rowOff>0</xdr:rowOff>
    </xdr:to>
    <xdr:graphicFrame macro="">
      <xdr:nvGraphicFramePr>
        <xdr:cNvPr id="39" name="Chart 38">
          <a:extLst>
            <a:ext uri="{FF2B5EF4-FFF2-40B4-BE49-F238E27FC236}">
              <a16:creationId xmlns:a16="http://schemas.microsoft.com/office/drawing/2014/main" id="{70314CC1-6EB9-4ABC-BD70-80546C76C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554182</xdr:colOff>
      <xdr:row>23</xdr:row>
      <xdr:rowOff>145968</xdr:rowOff>
    </xdr:from>
    <xdr:to>
      <xdr:col>6</xdr:col>
      <xdr:colOff>86591</xdr:colOff>
      <xdr:row>105</xdr:row>
      <xdr:rowOff>29764</xdr:rowOff>
    </xdr:to>
    <xdr:grpSp>
      <xdr:nvGrpSpPr>
        <xdr:cNvPr id="55" name="Group 54">
          <a:extLst>
            <a:ext uri="{FF2B5EF4-FFF2-40B4-BE49-F238E27FC236}">
              <a16:creationId xmlns:a16="http://schemas.microsoft.com/office/drawing/2014/main" id="{BA251BB6-E06B-7CB7-B3CB-F3183B74626D}"/>
            </a:ext>
          </a:extLst>
        </xdr:cNvPr>
        <xdr:cNvGrpSpPr/>
      </xdr:nvGrpSpPr>
      <xdr:grpSpPr>
        <a:xfrm>
          <a:off x="554182" y="4253624"/>
          <a:ext cx="3104284" cy="14528484"/>
          <a:chOff x="554182" y="4527468"/>
          <a:chExt cx="3151909" cy="15495085"/>
        </a:xfrm>
      </xdr:grpSpPr>
      <xdr:grpSp>
        <xdr:nvGrpSpPr>
          <xdr:cNvPr id="61" name="Group 60">
            <a:extLst>
              <a:ext uri="{FF2B5EF4-FFF2-40B4-BE49-F238E27FC236}">
                <a16:creationId xmlns:a16="http://schemas.microsoft.com/office/drawing/2014/main" id="{7DB65050-B5E8-6C41-7742-444729F353AB}"/>
              </a:ext>
            </a:extLst>
          </xdr:cNvPr>
          <xdr:cNvGrpSpPr/>
        </xdr:nvGrpSpPr>
        <xdr:grpSpPr>
          <a:xfrm>
            <a:off x="554182" y="4527468"/>
            <a:ext cx="3151909" cy="9905708"/>
            <a:chOff x="554182" y="4527468"/>
            <a:chExt cx="3151909" cy="9905708"/>
          </a:xfrm>
        </xdr:grpSpPr>
        <mc:AlternateContent xmlns:mc="http://schemas.openxmlformats.org/markup-compatibility/2006">
          <mc:Choice xmlns:a14="http://schemas.microsoft.com/office/drawing/2010/main" Requires="a14">
            <xdr:graphicFrame macro="">
              <xdr:nvGraphicFramePr>
                <xdr:cNvPr id="43" name="Churn">
                  <a:extLst>
                    <a:ext uri="{FF2B5EF4-FFF2-40B4-BE49-F238E27FC236}">
                      <a16:creationId xmlns:a16="http://schemas.microsoft.com/office/drawing/2014/main" id="{EF9A4AA6-7999-4368-BAD5-5D0DCE48A7D5}"/>
                    </a:ext>
                  </a:extLst>
                </xdr:cNvPr>
                <xdr:cNvGraphicFramePr/>
              </xdr:nvGraphicFramePr>
              <xdr:xfrm>
                <a:off x="576447" y="4527468"/>
                <a:ext cx="3065319" cy="1463366"/>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576111" y="4253624"/>
                  <a:ext cx="3019002" cy="137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State">
                  <a:extLst>
                    <a:ext uri="{FF2B5EF4-FFF2-40B4-BE49-F238E27FC236}">
                      <a16:creationId xmlns:a16="http://schemas.microsoft.com/office/drawing/2014/main" id="{FEAEB831-60AD-48A9-86B2-3DEC2197DD06}"/>
                    </a:ext>
                  </a:extLst>
                </xdr:cNvPr>
                <xdr:cNvGraphicFramePr/>
              </xdr:nvGraphicFramePr>
              <xdr:xfrm>
                <a:off x="707159" y="9473045"/>
                <a:ext cx="2998932" cy="4960131"/>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04848" y="8890690"/>
                  <a:ext cx="2953618" cy="465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Area code">
                  <a:extLst>
                    <a:ext uri="{FF2B5EF4-FFF2-40B4-BE49-F238E27FC236}">
                      <a16:creationId xmlns:a16="http://schemas.microsoft.com/office/drawing/2014/main" id="{E1B6F039-E12F-4B98-8A4D-DDC6C7CDF64E}"/>
                    </a:ext>
                  </a:extLst>
                </xdr:cNvPr>
                <xdr:cNvGraphicFramePr/>
              </xdr:nvGraphicFramePr>
              <xdr:xfrm>
                <a:off x="554182" y="6140823"/>
                <a:ext cx="2998931" cy="2961116"/>
              </xdr:xfrm>
              <a:graphic>
                <a:graphicData uri="http://schemas.microsoft.com/office/drawing/2010/slicer">
                  <sle:slicer xmlns:sle="http://schemas.microsoft.com/office/drawing/2010/slicer" name="Area code"/>
                </a:graphicData>
              </a:graphic>
            </xdr:graphicFrame>
          </mc:Choice>
          <mc:Fallback>
            <xdr:sp macro="" textlink="">
              <xdr:nvSpPr>
                <xdr:cNvPr id="0" name=""/>
                <xdr:cNvSpPr>
                  <a:spLocks noTextEdit="1"/>
                </xdr:cNvSpPr>
              </xdr:nvSpPr>
              <xdr:spPr>
                <a:xfrm>
                  <a:off x="554182" y="5766336"/>
                  <a:ext cx="2953617" cy="2776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48" name="International plan">
                <a:extLst>
                  <a:ext uri="{FF2B5EF4-FFF2-40B4-BE49-F238E27FC236}">
                    <a16:creationId xmlns:a16="http://schemas.microsoft.com/office/drawing/2014/main" id="{BA8CCCD4-B5F8-4812-99D8-FC1213C4CE67}"/>
                  </a:ext>
                </a:extLst>
              </xdr:cNvPr>
              <xdr:cNvGraphicFramePr/>
            </xdr:nvGraphicFramePr>
            <xdr:xfrm>
              <a:off x="555625" y="15967365"/>
              <a:ext cx="2980170" cy="1769480"/>
            </xdr:xfrm>
            <a:graphic>
              <a:graphicData uri="http://schemas.microsoft.com/office/drawing/2010/slicer">
                <sle:slicer xmlns:sle="http://schemas.microsoft.com/office/drawing/2010/slicer" name="International plan"/>
              </a:graphicData>
            </a:graphic>
          </xdr:graphicFrame>
        </mc:Choice>
        <mc:Fallback>
          <xdr:sp macro="" textlink="">
            <xdr:nvSpPr>
              <xdr:cNvPr id="0" name=""/>
              <xdr:cNvSpPr>
                <a:spLocks noTextEdit="1"/>
              </xdr:cNvSpPr>
            </xdr:nvSpPr>
            <xdr:spPr>
              <a:xfrm>
                <a:off x="555603" y="14979887"/>
                <a:ext cx="2935140" cy="1659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9" name="Voice mail plan">
                <a:extLst>
                  <a:ext uri="{FF2B5EF4-FFF2-40B4-BE49-F238E27FC236}">
                    <a16:creationId xmlns:a16="http://schemas.microsoft.com/office/drawing/2014/main" id="{1787EB8A-AFFE-4C83-8644-C13411BEEA84}"/>
                  </a:ext>
                </a:extLst>
              </xdr:cNvPr>
              <xdr:cNvGraphicFramePr/>
            </xdr:nvGraphicFramePr>
            <xdr:xfrm>
              <a:off x="571501" y="17889681"/>
              <a:ext cx="2900218" cy="2132872"/>
            </xdr:xfrm>
            <a:graphic>
              <a:graphicData uri="http://schemas.microsoft.com/office/drawing/2010/slicer">
                <sle:slicer xmlns:sle="http://schemas.microsoft.com/office/drawing/2010/slicer" name="Voice mail plan"/>
              </a:graphicData>
            </a:graphic>
          </xdr:graphicFrame>
        </mc:Choice>
        <mc:Fallback>
          <xdr:sp macro="" textlink="">
            <xdr:nvSpPr>
              <xdr:cNvPr id="0" name=""/>
              <xdr:cNvSpPr>
                <a:spLocks noTextEdit="1"/>
              </xdr:cNvSpPr>
            </xdr:nvSpPr>
            <xdr:spPr>
              <a:xfrm>
                <a:off x="571239" y="16782287"/>
                <a:ext cx="2856396" cy="1999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408214</xdr:colOff>
      <xdr:row>13</xdr:row>
      <xdr:rowOff>143493</xdr:rowOff>
    </xdr:from>
    <xdr:to>
      <xdr:col>38</xdr:col>
      <xdr:colOff>564077</xdr:colOff>
      <xdr:row>22</xdr:row>
      <xdr:rowOff>89464</xdr:rowOff>
    </xdr:to>
    <xdr:grpSp>
      <xdr:nvGrpSpPr>
        <xdr:cNvPr id="56" name="Group 55">
          <a:extLst>
            <a:ext uri="{FF2B5EF4-FFF2-40B4-BE49-F238E27FC236}">
              <a16:creationId xmlns:a16="http://schemas.microsoft.com/office/drawing/2014/main" id="{17E30849-972E-386B-B4BD-ADD02096E5C4}"/>
            </a:ext>
          </a:extLst>
        </xdr:cNvPr>
        <xdr:cNvGrpSpPr/>
      </xdr:nvGrpSpPr>
      <xdr:grpSpPr>
        <a:xfrm>
          <a:off x="2194152" y="2465212"/>
          <a:ext cx="20991800" cy="1553315"/>
          <a:chOff x="2164772" y="2736273"/>
          <a:chExt cx="21370636" cy="1660471"/>
        </a:xfrm>
      </xdr:grpSpPr>
      <xdr:grpSp>
        <xdr:nvGrpSpPr>
          <xdr:cNvPr id="54" name="Group 53">
            <a:extLst>
              <a:ext uri="{FF2B5EF4-FFF2-40B4-BE49-F238E27FC236}">
                <a16:creationId xmlns:a16="http://schemas.microsoft.com/office/drawing/2014/main" id="{57E59A49-383E-5070-8466-76AAF3F5DCF7}"/>
              </a:ext>
            </a:extLst>
          </xdr:cNvPr>
          <xdr:cNvGrpSpPr/>
        </xdr:nvGrpSpPr>
        <xdr:grpSpPr>
          <a:xfrm>
            <a:off x="2164772" y="2736273"/>
            <a:ext cx="21370636" cy="1660471"/>
            <a:chOff x="1991591" y="2667000"/>
            <a:chExt cx="21370636" cy="1660471"/>
          </a:xfrm>
        </xdr:grpSpPr>
        <xdr:grpSp>
          <xdr:nvGrpSpPr>
            <xdr:cNvPr id="53" name="Group 52">
              <a:extLst>
                <a:ext uri="{FF2B5EF4-FFF2-40B4-BE49-F238E27FC236}">
                  <a16:creationId xmlns:a16="http://schemas.microsoft.com/office/drawing/2014/main" id="{472FD5AC-8C7F-7371-9925-FF3605F43BC4}"/>
                </a:ext>
              </a:extLst>
            </xdr:cNvPr>
            <xdr:cNvGrpSpPr/>
          </xdr:nvGrpSpPr>
          <xdr:grpSpPr>
            <a:xfrm>
              <a:off x="1991591" y="2667000"/>
              <a:ext cx="21370636" cy="1660471"/>
              <a:chOff x="1991591" y="2667000"/>
              <a:chExt cx="21370636" cy="1660471"/>
            </a:xfrm>
          </xdr:grpSpPr>
          <xdr:grpSp>
            <xdr:nvGrpSpPr>
              <xdr:cNvPr id="52" name="Group 51">
                <a:extLst>
                  <a:ext uri="{FF2B5EF4-FFF2-40B4-BE49-F238E27FC236}">
                    <a16:creationId xmlns:a16="http://schemas.microsoft.com/office/drawing/2014/main" id="{E1713F97-3381-5E94-98D2-66C939310DC2}"/>
                  </a:ext>
                </a:extLst>
              </xdr:cNvPr>
              <xdr:cNvGrpSpPr/>
            </xdr:nvGrpSpPr>
            <xdr:grpSpPr>
              <a:xfrm>
                <a:off x="1991591" y="2667000"/>
                <a:ext cx="21370636" cy="1660471"/>
                <a:chOff x="1991591" y="2667000"/>
                <a:chExt cx="21370636" cy="1660471"/>
              </a:xfrm>
            </xdr:grpSpPr>
            <xdr:grpSp>
              <xdr:nvGrpSpPr>
                <xdr:cNvPr id="51" name="Group 50">
                  <a:extLst>
                    <a:ext uri="{FF2B5EF4-FFF2-40B4-BE49-F238E27FC236}">
                      <a16:creationId xmlns:a16="http://schemas.microsoft.com/office/drawing/2014/main" id="{3FE88F9F-41D5-0436-6713-360270A180DD}"/>
                    </a:ext>
                  </a:extLst>
                </xdr:cNvPr>
                <xdr:cNvGrpSpPr/>
              </xdr:nvGrpSpPr>
              <xdr:grpSpPr>
                <a:xfrm>
                  <a:off x="1991591" y="2667000"/>
                  <a:ext cx="21370636" cy="1660471"/>
                  <a:chOff x="1991591" y="2667000"/>
                  <a:chExt cx="21370636" cy="1660471"/>
                </a:xfrm>
              </xdr:grpSpPr>
              <xdr:grpSp>
                <xdr:nvGrpSpPr>
                  <xdr:cNvPr id="50" name="Group 49">
                    <a:extLst>
                      <a:ext uri="{FF2B5EF4-FFF2-40B4-BE49-F238E27FC236}">
                        <a16:creationId xmlns:a16="http://schemas.microsoft.com/office/drawing/2014/main" id="{A56F082A-A75F-C356-E1E1-8FBDE1449F64}"/>
                      </a:ext>
                    </a:extLst>
                  </xdr:cNvPr>
                  <xdr:cNvGrpSpPr/>
                </xdr:nvGrpSpPr>
                <xdr:grpSpPr>
                  <a:xfrm>
                    <a:off x="1991591" y="2667000"/>
                    <a:ext cx="21370636" cy="1660471"/>
                    <a:chOff x="1991591" y="2667000"/>
                    <a:chExt cx="21370636" cy="1660471"/>
                  </a:xfrm>
                </xdr:grpSpPr>
                <xdr:grpSp>
                  <xdr:nvGrpSpPr>
                    <xdr:cNvPr id="2" name="Group 1">
                      <a:extLst>
                        <a:ext uri="{FF2B5EF4-FFF2-40B4-BE49-F238E27FC236}">
                          <a16:creationId xmlns:a16="http://schemas.microsoft.com/office/drawing/2014/main" id="{0DBA41E8-93AF-2C5E-DE3C-ED01099CB2E0}"/>
                        </a:ext>
                      </a:extLst>
                    </xdr:cNvPr>
                    <xdr:cNvGrpSpPr/>
                  </xdr:nvGrpSpPr>
                  <xdr:grpSpPr>
                    <a:xfrm>
                      <a:off x="1991591" y="2667000"/>
                      <a:ext cx="21370636" cy="1660471"/>
                      <a:chOff x="606137" y="2649682"/>
                      <a:chExt cx="20253591" cy="1660471"/>
                    </a:xfrm>
                  </xdr:grpSpPr>
                  <xdr:sp macro="" textlink="">
                    <xdr:nvSpPr>
                      <xdr:cNvPr id="12" name="Rectangle 11">
                        <a:extLst>
                          <a:ext uri="{FF2B5EF4-FFF2-40B4-BE49-F238E27FC236}">
                            <a16:creationId xmlns:a16="http://schemas.microsoft.com/office/drawing/2014/main" id="{9882AA53-4451-8514-050D-A1AF79429768}"/>
                          </a:ext>
                        </a:extLst>
                      </xdr:cNvPr>
                      <xdr:cNvSpPr/>
                    </xdr:nvSpPr>
                    <xdr:spPr>
                      <a:xfrm>
                        <a:off x="18053112" y="2684318"/>
                        <a:ext cx="2806616" cy="1533097"/>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TOTAL CHARGES</a:t>
                        </a:r>
                      </a:p>
                    </xdr:txBody>
                  </xdr:sp>
                  <xdr:grpSp>
                    <xdr:nvGrpSpPr>
                      <xdr:cNvPr id="27" name="Group 26">
                        <a:extLst>
                          <a:ext uri="{FF2B5EF4-FFF2-40B4-BE49-F238E27FC236}">
                            <a16:creationId xmlns:a16="http://schemas.microsoft.com/office/drawing/2014/main" id="{BA699CB0-B91C-DD70-8051-1BAD6953C741}"/>
                          </a:ext>
                        </a:extLst>
                      </xdr:cNvPr>
                      <xdr:cNvGrpSpPr/>
                    </xdr:nvGrpSpPr>
                    <xdr:grpSpPr>
                      <a:xfrm>
                        <a:off x="606137" y="2649682"/>
                        <a:ext cx="16729363" cy="1660471"/>
                        <a:chOff x="606137" y="2649682"/>
                        <a:chExt cx="16729363" cy="1660471"/>
                      </a:xfrm>
                    </xdr:grpSpPr>
                    <xdr:sp macro="" textlink="">
                      <xdr:nvSpPr>
                        <xdr:cNvPr id="8" name="Rectangle 7">
                          <a:extLst>
                            <a:ext uri="{FF2B5EF4-FFF2-40B4-BE49-F238E27FC236}">
                              <a16:creationId xmlns:a16="http://schemas.microsoft.com/office/drawing/2014/main" id="{CCF37237-E4C8-A046-3008-6BD0432D0D4A}"/>
                            </a:ext>
                          </a:extLst>
                        </xdr:cNvPr>
                        <xdr:cNvSpPr/>
                      </xdr:nvSpPr>
                      <xdr:spPr>
                        <a:xfrm>
                          <a:off x="3855903" y="2667000"/>
                          <a:ext cx="2872267" cy="152400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TOTAL</a:t>
                          </a:r>
                          <a:r>
                            <a:rPr lang="en-US" sz="1100"/>
                            <a:t> </a:t>
                          </a:r>
                          <a:r>
                            <a:rPr lang="en-US" sz="1600" b="1">
                              <a:solidFill>
                                <a:schemeClr val="lt1"/>
                              </a:solidFill>
                              <a:latin typeface="+mn-lt"/>
                              <a:ea typeface="+mn-ea"/>
                              <a:cs typeface="+mn-cs"/>
                            </a:rPr>
                            <a:t>CHURNED</a:t>
                          </a:r>
                          <a:r>
                            <a:rPr lang="en-US" sz="1100"/>
                            <a:t> </a:t>
                          </a:r>
                          <a:r>
                            <a:rPr lang="en-US" sz="1600" b="1">
                              <a:solidFill>
                                <a:schemeClr val="lt1"/>
                              </a:solidFill>
                              <a:latin typeface="+mn-lt"/>
                              <a:ea typeface="+mn-ea"/>
                              <a:cs typeface="+mn-cs"/>
                            </a:rPr>
                            <a:t>CUSTOMERS</a:t>
                          </a:r>
                        </a:p>
                      </xdr:txBody>
                    </xdr:sp>
                    <xdr:sp macro="" textlink="">
                      <xdr:nvSpPr>
                        <xdr:cNvPr id="9" name="Rectangle 8">
                          <a:extLst>
                            <a:ext uri="{FF2B5EF4-FFF2-40B4-BE49-F238E27FC236}">
                              <a16:creationId xmlns:a16="http://schemas.microsoft.com/office/drawing/2014/main" id="{B167AE34-A536-1C42-7902-37E97ABA80AD}"/>
                            </a:ext>
                          </a:extLst>
                        </xdr:cNvPr>
                        <xdr:cNvSpPr/>
                      </xdr:nvSpPr>
                      <xdr:spPr>
                        <a:xfrm>
                          <a:off x="7253386" y="2667000"/>
                          <a:ext cx="3052810" cy="1568649"/>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CHURN RATE</a:t>
                          </a:r>
                        </a:p>
                      </xdr:txBody>
                    </xdr:sp>
                    <xdr:sp macro="" textlink="">
                      <xdr:nvSpPr>
                        <xdr:cNvPr id="10" name="Rectangle 9">
                          <a:extLst>
                            <a:ext uri="{FF2B5EF4-FFF2-40B4-BE49-F238E27FC236}">
                              <a16:creationId xmlns:a16="http://schemas.microsoft.com/office/drawing/2014/main" id="{1A1BC162-92A7-6104-D6F2-279DEE78E0AB}"/>
                            </a:ext>
                          </a:extLst>
                        </xdr:cNvPr>
                        <xdr:cNvSpPr/>
                      </xdr:nvSpPr>
                      <xdr:spPr>
                        <a:xfrm>
                          <a:off x="10864236" y="2649682"/>
                          <a:ext cx="3167701" cy="1646595"/>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CUSTOMER SERVICE CALLS</a:t>
                          </a:r>
                        </a:p>
                      </xdr:txBody>
                    </xdr:sp>
                    <xdr:sp macro="" textlink="">
                      <xdr:nvSpPr>
                        <xdr:cNvPr id="11" name="Rectangle 10">
                          <a:extLst>
                            <a:ext uri="{FF2B5EF4-FFF2-40B4-BE49-F238E27FC236}">
                              <a16:creationId xmlns:a16="http://schemas.microsoft.com/office/drawing/2014/main" id="{19F5DC7E-2717-9E9D-9897-5C78FD91C71F}"/>
                            </a:ext>
                          </a:extLst>
                        </xdr:cNvPr>
                        <xdr:cNvSpPr/>
                      </xdr:nvSpPr>
                      <xdr:spPr>
                        <a:xfrm>
                          <a:off x="14409435" y="2649682"/>
                          <a:ext cx="2926065" cy="1660471"/>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HIGH</a:t>
                          </a:r>
                          <a:r>
                            <a:rPr lang="en-US" sz="1600" b="1" baseline="0"/>
                            <a:t> RISK CUSTOMERS</a:t>
                          </a:r>
                          <a:endParaRPr lang="en-US" sz="1600" b="1"/>
                        </a:p>
                      </xdr:txBody>
                    </xdr:sp>
                    <xdr:sp macro="" textlink="">
                      <xdr:nvSpPr>
                        <xdr:cNvPr id="16" name="Rectangle 15">
                          <a:extLst>
                            <a:ext uri="{FF2B5EF4-FFF2-40B4-BE49-F238E27FC236}">
                              <a16:creationId xmlns:a16="http://schemas.microsoft.com/office/drawing/2014/main" id="{FE33F132-42D0-D6A3-D765-F114ADBBFFA9}"/>
                            </a:ext>
                          </a:extLst>
                        </xdr:cNvPr>
                        <xdr:cNvSpPr/>
                      </xdr:nvSpPr>
                      <xdr:spPr>
                        <a:xfrm>
                          <a:off x="606137" y="2667000"/>
                          <a:ext cx="2823029" cy="148427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 CUSTOMERS</a:t>
                          </a:r>
                        </a:p>
                      </xdr:txBody>
                    </xdr:sp>
                  </xdr:grpSp>
                </xdr:grpSp>
                <xdr:sp macro="" textlink="Analysis!K5">
                  <xdr:nvSpPr>
                    <xdr:cNvPr id="6" name="TextBox 5">
                      <a:extLst>
                        <a:ext uri="{FF2B5EF4-FFF2-40B4-BE49-F238E27FC236}">
                          <a16:creationId xmlns:a16="http://schemas.microsoft.com/office/drawing/2014/main" id="{05E0510B-43FE-EA36-E432-4F45108C2B79}"/>
                        </a:ext>
                      </a:extLst>
                    </xdr:cNvPr>
                    <xdr:cNvSpPr txBox="1"/>
                  </xdr:nvSpPr>
                  <xdr:spPr>
                    <a:xfrm>
                      <a:off x="2684318" y="3047999"/>
                      <a:ext cx="1437409" cy="710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108022-0061-4EB4-8B1E-17B60B2B4446}" type="TxLink">
                        <a:rPr lang="en-US" sz="4000" b="1" i="0" u="none" strike="noStrike">
                          <a:solidFill>
                            <a:schemeClr val="tx2">
                              <a:lumMod val="50000"/>
                            </a:schemeClr>
                          </a:solidFill>
                          <a:latin typeface="Aptos Narrow"/>
                        </a:rPr>
                        <a:pPr algn="ctr"/>
                        <a:t>667</a:t>
                      </a:fld>
                      <a:endParaRPr lang="en-US" sz="4000" b="1">
                        <a:solidFill>
                          <a:schemeClr val="tx2">
                            <a:lumMod val="50000"/>
                          </a:schemeClr>
                        </a:solidFill>
                      </a:endParaRPr>
                    </a:p>
                  </xdr:txBody>
                </xdr:sp>
              </xdr:grpSp>
              <xdr:sp macro="" textlink="Analysis!K4">
                <xdr:nvSpPr>
                  <xdr:cNvPr id="19" name="TextBox 18">
                    <a:extLst>
                      <a:ext uri="{FF2B5EF4-FFF2-40B4-BE49-F238E27FC236}">
                        <a16:creationId xmlns:a16="http://schemas.microsoft.com/office/drawing/2014/main" id="{D5D6CBBC-56DE-1183-B0BD-FE19E44AB200}"/>
                      </a:ext>
                    </a:extLst>
                  </xdr:cNvPr>
                  <xdr:cNvSpPr txBox="1"/>
                </xdr:nvSpPr>
                <xdr:spPr>
                  <a:xfrm>
                    <a:off x="6371383" y="3153616"/>
                    <a:ext cx="848591" cy="692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CEE793E2-45AE-4CB3-B9C3-4273A592AB93}" type="TxLink">
                      <a:rPr lang="en-US" sz="4000" b="1" i="0" u="none" strike="noStrike">
                        <a:solidFill>
                          <a:schemeClr val="tx2">
                            <a:lumMod val="50000"/>
                          </a:schemeClr>
                        </a:solidFill>
                        <a:latin typeface="Aptos Narrow"/>
                      </a:rPr>
                      <a:pPr algn="ctr"/>
                      <a:t>95</a:t>
                    </a:fld>
                    <a:endParaRPr lang="en-US" sz="4000" b="1">
                      <a:solidFill>
                        <a:schemeClr val="tx2">
                          <a:lumMod val="50000"/>
                        </a:schemeClr>
                      </a:solidFill>
                    </a:endParaRPr>
                  </a:p>
                </xdr:txBody>
              </xdr:sp>
            </xdr:grpSp>
            <xdr:sp macro="" textlink="Analysis!G31">
              <xdr:nvSpPr>
                <xdr:cNvPr id="5" name="TextBox 4">
                  <a:extLst>
                    <a:ext uri="{FF2B5EF4-FFF2-40B4-BE49-F238E27FC236}">
                      <a16:creationId xmlns:a16="http://schemas.microsoft.com/office/drawing/2014/main" id="{0F5AD60C-A89F-FED3-F1F8-FDD8D951A5B9}"/>
                    </a:ext>
                  </a:extLst>
                </xdr:cNvPr>
                <xdr:cNvSpPr txBox="1"/>
              </xdr:nvSpPr>
              <xdr:spPr>
                <a:xfrm>
                  <a:off x="9734201" y="3328505"/>
                  <a:ext cx="1991590" cy="404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00011F7-17C6-4D97-8E61-055E4202F73E}" type="TxLink">
                    <a:rPr lang="en-US" sz="4000" b="1" i="0" u="none" strike="noStrike">
                      <a:solidFill>
                        <a:schemeClr val="tx2">
                          <a:lumMod val="50000"/>
                        </a:schemeClr>
                      </a:solidFill>
                      <a:latin typeface="Aptos Narrow"/>
                    </a:rPr>
                    <a:t>14.24%</a:t>
                  </a:fld>
                  <a:endParaRPr lang="en-US" sz="4000" b="1">
                    <a:solidFill>
                      <a:schemeClr val="tx2">
                        <a:lumMod val="50000"/>
                      </a:schemeClr>
                    </a:solidFill>
                  </a:endParaRPr>
                </a:p>
              </xdr:txBody>
            </xdr:sp>
          </xdr:grpSp>
          <xdr:sp macro="" textlink="Analysis!H3">
            <xdr:nvSpPr>
              <xdr:cNvPr id="41" name="TextBox 40">
                <a:extLst>
                  <a:ext uri="{FF2B5EF4-FFF2-40B4-BE49-F238E27FC236}">
                    <a16:creationId xmlns:a16="http://schemas.microsoft.com/office/drawing/2014/main" id="{AA9ED919-1F3D-D2A1-0E4F-B08FC39CD619}"/>
                  </a:ext>
                </a:extLst>
              </xdr:cNvPr>
              <xdr:cNvSpPr txBox="1"/>
            </xdr:nvSpPr>
            <xdr:spPr>
              <a:xfrm>
                <a:off x="14064315" y="3213418"/>
                <a:ext cx="1180564"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9CBC61C-77D4-44B8-9088-947365137901}" type="TxLink">
                  <a:rPr lang="en-US" sz="3600" b="1" i="0" u="none" strike="noStrike">
                    <a:solidFill>
                      <a:srgbClr val="000000"/>
                    </a:solidFill>
                    <a:latin typeface="Aptos Narrow"/>
                  </a:rPr>
                  <a:pPr algn="ctr"/>
                  <a:t>1.56</a:t>
                </a:fld>
                <a:endParaRPr lang="en-US" sz="3600" b="1"/>
              </a:p>
            </xdr:txBody>
          </xdr:sp>
        </xdr:grpSp>
        <xdr:sp macro="" textlink="Analysis!M34">
          <xdr:nvSpPr>
            <xdr:cNvPr id="36" name="TextBox 35">
              <a:extLst>
                <a:ext uri="{FF2B5EF4-FFF2-40B4-BE49-F238E27FC236}">
                  <a16:creationId xmlns:a16="http://schemas.microsoft.com/office/drawing/2014/main" id="{CAD13C73-F5E0-0E09-9AA4-4A7BAD3DDCF1}"/>
                </a:ext>
              </a:extLst>
            </xdr:cNvPr>
            <xdr:cNvSpPr txBox="1"/>
          </xdr:nvSpPr>
          <xdr:spPr>
            <a:xfrm>
              <a:off x="17575271" y="3222264"/>
              <a:ext cx="1164573" cy="672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2F42B55-C258-40A8-8D56-F35EC79BCE51}" type="TxLink">
                <a:rPr lang="en-US" sz="3600" b="1" i="0" u="none" strike="noStrike">
                  <a:solidFill>
                    <a:schemeClr val="tx2">
                      <a:lumMod val="50000"/>
                    </a:schemeClr>
                  </a:solidFill>
                  <a:latin typeface="Aptos Narrow"/>
                </a:rPr>
                <a:pPr algn="ctr"/>
                <a:t>51</a:t>
              </a:fld>
              <a:endParaRPr lang="en-US" sz="3600" b="1">
                <a:solidFill>
                  <a:schemeClr val="tx2">
                    <a:lumMod val="50000"/>
                  </a:schemeClr>
                </a:solidFill>
              </a:endParaRPr>
            </a:p>
          </xdr:txBody>
        </xdr:sp>
      </xdr:grpSp>
      <xdr:sp macro="" textlink="Analysis!H6">
        <xdr:nvSpPr>
          <xdr:cNvPr id="42" name="TextBox 41">
            <a:extLst>
              <a:ext uri="{FF2B5EF4-FFF2-40B4-BE49-F238E27FC236}">
                <a16:creationId xmlns:a16="http://schemas.microsoft.com/office/drawing/2014/main" id="{EDAFB0D0-7944-BFF2-9DF6-45E0006C3CFE}"/>
              </a:ext>
            </a:extLst>
          </xdr:cNvPr>
          <xdr:cNvSpPr txBox="1"/>
        </xdr:nvSpPr>
        <xdr:spPr>
          <a:xfrm>
            <a:off x="21530158" y="3226304"/>
            <a:ext cx="1180563"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F14A783-9752-40B5-8590-AF285C3435FF}" type="TxLink">
              <a:rPr lang="en-US" sz="3600" b="1" i="0" u="none" strike="noStrike">
                <a:solidFill>
                  <a:schemeClr val="tx2">
                    <a:lumMod val="50000"/>
                  </a:schemeClr>
                </a:solidFill>
                <a:latin typeface="Aptos Narrow"/>
              </a:rPr>
              <a:pPr/>
              <a:t>59.8</a:t>
            </a:fld>
            <a:endParaRPr lang="en-US" sz="3600" b="1">
              <a:solidFill>
                <a:schemeClr val="tx2">
                  <a:lumMod val="50000"/>
                </a:schemeClr>
              </a:solidFill>
            </a:endParaRPr>
          </a:p>
        </xdr:txBody>
      </xdr:sp>
    </xdr:grpSp>
    <xdr:clientData/>
  </xdr:twoCellAnchor>
  <xdr:twoCellAnchor>
    <xdr:from>
      <xdr:col>23</xdr:col>
      <xdr:colOff>138545</xdr:colOff>
      <xdr:row>81</xdr:row>
      <xdr:rowOff>17317</xdr:rowOff>
    </xdr:from>
    <xdr:to>
      <xdr:col>32</xdr:col>
      <xdr:colOff>420221</xdr:colOff>
      <xdr:row>108</xdr:row>
      <xdr:rowOff>11206</xdr:rowOff>
    </xdr:to>
    <xdr:graphicFrame macro="">
      <xdr:nvGraphicFramePr>
        <xdr:cNvPr id="58" name="Chart 57">
          <a:extLst>
            <a:ext uri="{FF2B5EF4-FFF2-40B4-BE49-F238E27FC236}">
              <a16:creationId xmlns:a16="http://schemas.microsoft.com/office/drawing/2014/main" id="{6CF83643-37FB-41C3-86D5-C161F6629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425822</xdr:colOff>
      <xdr:row>81</xdr:row>
      <xdr:rowOff>34634</xdr:rowOff>
    </xdr:from>
    <xdr:to>
      <xdr:col>44</xdr:col>
      <xdr:colOff>285749</xdr:colOff>
      <xdr:row>108</xdr:row>
      <xdr:rowOff>22411</xdr:rowOff>
    </xdr:to>
    <xdr:graphicFrame macro="">
      <xdr:nvGraphicFramePr>
        <xdr:cNvPr id="59" name="Chart 58">
          <a:extLst>
            <a:ext uri="{FF2B5EF4-FFF2-40B4-BE49-F238E27FC236}">
              <a16:creationId xmlns:a16="http://schemas.microsoft.com/office/drawing/2014/main" id="{F0659A77-13BC-4FB0-A052-E03CE8451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0.39865</cdr:x>
      <cdr:y>0.45198</cdr:y>
    </cdr:from>
    <cdr:to>
      <cdr:x>0.59349</cdr:x>
      <cdr:y>0.66667</cdr:y>
    </cdr:to>
    <cdr:sp macro="" textlink="Analysis!$K$5">
      <cdr:nvSpPr>
        <cdr:cNvPr id="2" name="TextBox 1">
          <a:extLst xmlns:a="http://schemas.openxmlformats.org/drawingml/2006/main">
            <a:ext uri="{FF2B5EF4-FFF2-40B4-BE49-F238E27FC236}">
              <a16:creationId xmlns:a16="http://schemas.microsoft.com/office/drawing/2014/main" id="{3895D70B-0607-A4AC-8FE9-92DF302FB77E}"/>
            </a:ext>
          </a:extLst>
        </cdr:cNvPr>
        <cdr:cNvSpPr txBox="1"/>
      </cdr:nvSpPr>
      <cdr:spPr>
        <a:xfrm xmlns:a="http://schemas.openxmlformats.org/drawingml/2006/main">
          <a:off x="1874183" y="1853943"/>
          <a:ext cx="916002" cy="8806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5A7C5D4B-64C1-4FC9-A03D-EF2B78058B81}" type="TxLink">
            <a:rPr lang="en-US" sz="1400" b="1" i="0" u="none" strike="noStrike" kern="1200">
              <a:solidFill>
                <a:schemeClr val="tx2">
                  <a:lumMod val="50000"/>
                </a:schemeClr>
              </a:solidFill>
              <a:latin typeface="Aptos Narrow"/>
            </a:rPr>
            <a:pPr algn="ctr"/>
            <a:t>667</a:t>
          </a:fld>
          <a:endParaRPr lang="en-US" sz="1400" b="1" i="0" u="none" strike="noStrike" kern="1200">
            <a:solidFill>
              <a:schemeClr val="tx2">
                <a:lumMod val="50000"/>
              </a:schemeClr>
            </a:solidFill>
            <a:latin typeface="Aptos Narrow"/>
          </a:endParaRPr>
        </a:p>
        <a:p xmlns:a="http://schemas.openxmlformats.org/drawingml/2006/main">
          <a:pPr algn="ctr"/>
          <a:r>
            <a:rPr lang="en-US" sz="1400" b="1" i="0" u="none" strike="noStrike" kern="1200">
              <a:solidFill>
                <a:schemeClr val="tx2">
                  <a:lumMod val="50000"/>
                </a:schemeClr>
              </a:solidFill>
              <a:latin typeface="Aptos Narrow"/>
            </a:rPr>
            <a:t>CUSTOMERS</a:t>
          </a:r>
          <a:endParaRPr lang="en-US" sz="1400" b="1" kern="1200">
            <a:solidFill>
              <a:schemeClr val="tx2">
                <a:lumMod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0.40291</cdr:x>
      <cdr:y>0.53009</cdr:y>
    </cdr:from>
    <cdr:to>
      <cdr:x>0.58362</cdr:x>
      <cdr:y>0.70552</cdr:y>
    </cdr:to>
    <cdr:sp macro="" textlink="">
      <cdr:nvSpPr>
        <cdr:cNvPr id="2" name="TextBox 1">
          <a:extLst xmlns:a="http://schemas.openxmlformats.org/drawingml/2006/main">
            <a:ext uri="{FF2B5EF4-FFF2-40B4-BE49-F238E27FC236}">
              <a16:creationId xmlns:a16="http://schemas.microsoft.com/office/drawing/2014/main" id="{127B559F-B27D-AB7B-AC81-33DEE95F9683}"/>
            </a:ext>
          </a:extLst>
        </cdr:cNvPr>
        <cdr:cNvSpPr txBox="1"/>
      </cdr:nvSpPr>
      <cdr:spPr>
        <a:xfrm xmlns:a="http://schemas.openxmlformats.org/drawingml/2006/main">
          <a:off x="2042390" y="2660897"/>
          <a:ext cx="916002" cy="88062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5A7C5D4B-64C1-4FC9-A03D-EF2B78058B81}" type="TxLink">
            <a:rPr lang="en-US" sz="1400" b="1" i="0" u="none" strike="noStrike" kern="1200">
              <a:solidFill>
                <a:schemeClr val="tx2">
                  <a:lumMod val="50000"/>
                </a:schemeClr>
              </a:solidFill>
              <a:latin typeface="Aptos Narrow"/>
            </a:rPr>
            <a:pPr algn="ctr"/>
            <a:t>667</a:t>
          </a:fld>
          <a:endParaRPr lang="en-US" sz="1400" b="1" i="0" u="none" strike="noStrike" kern="1200">
            <a:solidFill>
              <a:schemeClr val="tx2">
                <a:lumMod val="50000"/>
              </a:schemeClr>
            </a:solidFill>
            <a:latin typeface="Aptos Narrow"/>
          </a:endParaRPr>
        </a:p>
        <a:p xmlns:a="http://schemas.openxmlformats.org/drawingml/2006/main">
          <a:pPr algn="ctr"/>
          <a:r>
            <a:rPr lang="en-US" sz="1400" b="1" i="0" u="none" strike="noStrike" kern="1200">
              <a:solidFill>
                <a:schemeClr val="tx2">
                  <a:lumMod val="50000"/>
                </a:schemeClr>
              </a:solidFill>
              <a:latin typeface="Aptos Narrow"/>
            </a:rPr>
            <a:t>CUSTOMERS</a:t>
          </a:r>
          <a:endParaRPr lang="en-US" sz="1400" b="1" kern="1200">
            <a:solidFill>
              <a:schemeClr val="tx2">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E RAMOND" refreshedDate="46160.856690972221" createdVersion="8" refreshedVersion="8" minRefreshableVersion="3" recordCount="667" xr:uid="{6D3EB967-61E6-4D6D-BA9D-DEF5CE1921B7}">
  <cacheSource type="worksheet">
    <worksheetSource name="Table1"/>
  </cacheSource>
  <cacheFields count="29">
    <cacheField name="State" numFmtId="0">
      <sharedItems count="51">
        <s v="LA"/>
        <s v="IN"/>
        <s v="NY"/>
        <s v="SC"/>
        <s v="HI"/>
        <s v="AK"/>
        <s v="MI"/>
        <s v="ID"/>
        <s v="VA"/>
        <s v="WI"/>
        <s v="MN"/>
        <s v="VT"/>
        <s v="MT"/>
        <s v="MA"/>
        <s v="KY"/>
        <s v="CO"/>
        <s v="AZ"/>
        <s v="CA"/>
        <s v="WA"/>
        <s v="NE"/>
        <s v="OH"/>
        <s v="MO"/>
        <s v="AL"/>
        <s v="NH"/>
        <s v="NM"/>
        <s v="OR"/>
        <s v="TX"/>
        <s v="MS"/>
        <s v="WY"/>
        <s v="FL"/>
        <s v="KS"/>
        <s v="NC"/>
        <s v="SD"/>
        <s v="OK"/>
        <s v="CT"/>
        <s v="RI"/>
        <s v="DE"/>
        <s v="UT"/>
        <s v="NV"/>
        <s v="DC"/>
        <s v="ME"/>
        <s v="IL"/>
        <s v="NJ"/>
        <s v="MD"/>
        <s v="WV"/>
        <s v="PA"/>
        <s v="ND"/>
        <s v="AR"/>
        <s v="TN"/>
        <s v="IA"/>
        <s v="GA"/>
      </sharedItems>
    </cacheField>
    <cacheField name="Account length" numFmtId="0">
      <sharedItems containsSemiMixedTypes="0" containsString="0" containsNumber="1" containsInteger="1" minValue="1" maxValue="232"/>
    </cacheField>
    <cacheField name="Area code" numFmtId="0">
      <sharedItems containsSemiMixedTypes="0" containsString="0" containsNumber="1" containsInteger="1" minValue="408" maxValue="510" count="3">
        <n v="408"/>
        <n v="415"/>
        <n v="510"/>
      </sharedItems>
    </cacheField>
    <cacheField name="International plan" numFmtId="0">
      <sharedItems count="2">
        <s v="No"/>
        <s v="Yes"/>
      </sharedItems>
    </cacheField>
    <cacheField name="Voice mail plan" numFmtId="0">
      <sharedItems count="2">
        <s v="No"/>
        <s v="Yes"/>
      </sharedItems>
    </cacheField>
    <cacheField name="Number vmail messages" numFmtId="0">
      <sharedItems containsSemiMixedTypes="0" containsString="0" containsNumber="1" containsInteger="1" minValue="0" maxValue="51"/>
    </cacheField>
    <cacheField name="Total day minutes" numFmtId="0">
      <sharedItems containsSemiMixedTypes="0" containsString="0" containsNumber="1" minValue="25.9" maxValue="334.3"/>
    </cacheField>
    <cacheField name="Total day calls" numFmtId="0">
      <sharedItems containsSemiMixedTypes="0" containsString="0" containsNumber="1" containsInteger="1" minValue="30" maxValue="165"/>
    </cacheField>
    <cacheField name="Total day charge" numFmtId="0">
      <sharedItems containsSemiMixedTypes="0" containsString="0" containsNumber="1" minValue="4.4000000000000004" maxValue="56.83"/>
    </cacheField>
    <cacheField name="Total eve minutes" numFmtId="0">
      <sharedItems containsSemiMixedTypes="0" containsString="0" containsNumber="1" minValue="48.1" maxValue="361.8"/>
    </cacheField>
    <cacheField name="Total eve calls" numFmtId="0">
      <sharedItems containsSemiMixedTypes="0" containsString="0" containsNumber="1" containsInteger="1" minValue="37" maxValue="168"/>
    </cacheField>
    <cacheField name="Total eve charge" numFmtId="0">
      <sharedItems containsSemiMixedTypes="0" containsString="0" containsNumber="1" minValue="4.09" maxValue="30.75"/>
    </cacheField>
    <cacheField name="Total night minutes" numFmtId="0">
      <sharedItems containsSemiMixedTypes="0" containsString="0" containsNumber="1" minValue="23.2" maxValue="367.7"/>
    </cacheField>
    <cacheField name="Total night calls" numFmtId="0">
      <sharedItems containsSemiMixedTypes="0" containsString="0" containsNumber="1" containsInteger="1" minValue="42" maxValue="175"/>
    </cacheField>
    <cacheField name="Total night charge" numFmtId="0">
      <sharedItems containsSemiMixedTypes="0" containsString="0" containsNumber="1" minValue="1.04" maxValue="16.55"/>
    </cacheField>
    <cacheField name="Total intl minutes" numFmtId="0">
      <sharedItems containsSemiMixedTypes="0" containsString="0" containsNumber="1" minValue="0" maxValue="18.3"/>
    </cacheField>
    <cacheField name="Total intl calls" numFmtId="0">
      <sharedItems containsSemiMixedTypes="0" containsString="0" containsNumber="1" containsInteger="1" minValue="0" maxValue="18"/>
    </cacheField>
    <cacheField name="Total intl charge" numFmtId="0">
      <sharedItems containsSemiMixedTypes="0" containsString="0" containsNumber="1" minValue="0" maxValue="4.9400000000000004"/>
    </cacheField>
    <cacheField name="Customer service calls" numFmtId="0">
      <sharedItems containsSemiMixedTypes="0" containsString="0" containsNumber="1" containsInteger="1" minValue="0" maxValue="8" count="9">
        <n v="1"/>
        <n v="4"/>
        <n v="2"/>
        <n v="0"/>
        <n v="3"/>
        <n v="5"/>
        <n v="6"/>
        <n v="8"/>
        <n v="7"/>
      </sharedItems>
    </cacheField>
    <cacheField name="Churn" numFmtId="0">
      <sharedItems count="2">
        <b v="0"/>
        <b v="1"/>
      </sharedItems>
    </cacheField>
    <cacheField name="Total usage(Min)" numFmtId="0">
      <sharedItems containsSemiMixedTypes="0" containsString="0" containsNumber="1" minValue="301.49999999999994" maxValue="882.19999999999993"/>
    </cacheField>
    <cacheField name="Total charges" numFmtId="0">
      <sharedItems containsSemiMixedTypes="0" containsString="0" containsNumber="1" minValue="27.08" maxValue="92.29"/>
    </cacheField>
    <cacheField name="Total calls" numFmtId="0">
      <sharedItems containsSemiMixedTypes="0" containsString="0" containsNumber="1" containsInteger="1" minValue="210" maxValue="408"/>
    </cacheField>
    <cacheField name="Customer service risk level" numFmtId="0">
      <sharedItems count="3">
        <s v="Low risk"/>
        <s v="High risk"/>
        <s v="Medium risk"/>
      </sharedItems>
    </cacheField>
    <cacheField name="Customer usage risk level" numFmtId="0">
      <sharedItems count="3">
        <s v="High risk"/>
        <s v="Medium risk"/>
        <s v="Low risk"/>
      </sharedItems>
    </cacheField>
    <cacheField name="Charges risk level" numFmtId="0">
      <sharedItems count="3">
        <s v="High risk"/>
        <s v="Medium risk"/>
        <s v="Low risk"/>
      </sharedItems>
    </cacheField>
    <cacheField name="Intl usage behaviour" numFmtId="0">
      <sharedItems count="3">
        <s v="Unplanned usage"/>
        <s v="Paying &amp; Using"/>
        <s v="Inactive"/>
      </sharedItems>
    </cacheField>
    <cacheField name="Voicemail usage behaviour" numFmtId="0">
      <sharedItems count="2">
        <s v="Inactive"/>
        <s v="Active user"/>
      </sharedItems>
    </cacheField>
    <cacheField name="Risk segmentation" numFmtId="0">
      <sharedItems count="3">
        <s v="Low Risk"/>
        <s v="High Risk"/>
        <s v="Medium Risk"/>
      </sharedItems>
    </cacheField>
  </cacheFields>
  <extLst>
    <ext xmlns:x14="http://schemas.microsoft.com/office/spreadsheetml/2009/9/main" uri="{725AE2AE-9491-48be-B2B4-4EB974FC3084}">
      <x14:pivotCacheDefinition pivotCacheId="1512338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7">
  <r>
    <x v="0"/>
    <n v="117"/>
    <x v="0"/>
    <x v="0"/>
    <x v="0"/>
    <n v="0"/>
    <n v="184.5"/>
    <n v="97"/>
    <n v="31.37"/>
    <n v="351.6"/>
    <n v="80"/>
    <n v="29.89"/>
    <n v="215.8"/>
    <n v="90"/>
    <n v="9.7100000000000009"/>
    <n v="8.6999999999999993"/>
    <n v="4"/>
    <n v="2.35"/>
    <x v="0"/>
    <x v="0"/>
    <n v="760.60000000000014"/>
    <n v="73.320000000000007"/>
    <n v="271"/>
    <x v="0"/>
    <x v="0"/>
    <x v="0"/>
    <x v="0"/>
    <x v="0"/>
    <x v="0"/>
  </r>
  <r>
    <x v="1"/>
    <n v="65"/>
    <x v="1"/>
    <x v="0"/>
    <x v="0"/>
    <n v="0"/>
    <n v="129.1"/>
    <n v="137"/>
    <n v="21.95"/>
    <n v="228.5"/>
    <n v="83"/>
    <n v="19.420000000000002"/>
    <n v="208.8"/>
    <n v="111"/>
    <n v="9.4"/>
    <n v="12.7"/>
    <n v="6"/>
    <n v="3.43"/>
    <x v="1"/>
    <x v="1"/>
    <n v="579.10000000000014"/>
    <n v="54.2"/>
    <n v="337"/>
    <x v="1"/>
    <x v="1"/>
    <x v="1"/>
    <x v="0"/>
    <x v="0"/>
    <x v="1"/>
  </r>
  <r>
    <x v="2"/>
    <n v="161"/>
    <x v="1"/>
    <x v="0"/>
    <x v="0"/>
    <n v="0"/>
    <n v="332.9"/>
    <n v="67"/>
    <n v="56.59"/>
    <n v="317.8"/>
    <n v="97"/>
    <n v="27.01"/>
    <n v="160.6"/>
    <n v="128"/>
    <n v="7.23"/>
    <n v="5.4"/>
    <n v="9"/>
    <n v="1.46"/>
    <x v="1"/>
    <x v="1"/>
    <n v="816.7"/>
    <n v="92.29"/>
    <n v="301"/>
    <x v="1"/>
    <x v="0"/>
    <x v="0"/>
    <x v="0"/>
    <x v="0"/>
    <x v="1"/>
  </r>
  <r>
    <x v="3"/>
    <n v="111"/>
    <x v="1"/>
    <x v="0"/>
    <x v="0"/>
    <n v="0"/>
    <n v="110.4"/>
    <n v="103"/>
    <n v="18.77"/>
    <n v="137.30000000000001"/>
    <n v="102"/>
    <n v="11.67"/>
    <n v="189.6"/>
    <n v="105"/>
    <n v="8.5299999999999994"/>
    <n v="7.7"/>
    <n v="6"/>
    <n v="2.08"/>
    <x v="2"/>
    <x v="0"/>
    <n v="445"/>
    <n v="41.05"/>
    <n v="316"/>
    <x v="2"/>
    <x v="2"/>
    <x v="2"/>
    <x v="0"/>
    <x v="0"/>
    <x v="2"/>
  </r>
  <r>
    <x v="4"/>
    <n v="49"/>
    <x v="2"/>
    <x v="0"/>
    <x v="0"/>
    <n v="0"/>
    <n v="119.3"/>
    <n v="117"/>
    <n v="20.28"/>
    <n v="215.1"/>
    <n v="109"/>
    <n v="18.28"/>
    <n v="178.7"/>
    <n v="90"/>
    <n v="8.0399999999999991"/>
    <n v="11.1"/>
    <n v="1"/>
    <n v="3"/>
    <x v="0"/>
    <x v="0"/>
    <n v="524.19999999999993"/>
    <n v="49.6"/>
    <n v="317"/>
    <x v="0"/>
    <x v="2"/>
    <x v="2"/>
    <x v="0"/>
    <x v="0"/>
    <x v="0"/>
  </r>
  <r>
    <x v="5"/>
    <n v="36"/>
    <x v="0"/>
    <x v="0"/>
    <x v="1"/>
    <n v="30"/>
    <n v="146.30000000000001"/>
    <n v="128"/>
    <n v="24.87"/>
    <n v="162.5"/>
    <n v="80"/>
    <n v="13.81"/>
    <n v="129.30000000000001"/>
    <n v="109"/>
    <n v="5.82"/>
    <n v="14.5"/>
    <n v="6"/>
    <n v="3.92"/>
    <x v="3"/>
    <x v="0"/>
    <n v="452.6"/>
    <n v="48.42"/>
    <n v="323"/>
    <x v="0"/>
    <x v="2"/>
    <x v="2"/>
    <x v="0"/>
    <x v="1"/>
    <x v="0"/>
  </r>
  <r>
    <x v="6"/>
    <n v="65"/>
    <x v="1"/>
    <x v="0"/>
    <x v="0"/>
    <n v="0"/>
    <n v="211.3"/>
    <n v="120"/>
    <n v="35.92"/>
    <n v="162.6"/>
    <n v="122"/>
    <n v="13.82"/>
    <n v="134.69999999999999"/>
    <n v="118"/>
    <n v="6.06"/>
    <n v="13.2"/>
    <n v="5"/>
    <n v="3.56"/>
    <x v="4"/>
    <x v="0"/>
    <n v="521.79999999999995"/>
    <n v="59.36"/>
    <n v="365"/>
    <x v="2"/>
    <x v="2"/>
    <x v="1"/>
    <x v="0"/>
    <x v="0"/>
    <x v="2"/>
  </r>
  <r>
    <x v="7"/>
    <n v="119"/>
    <x v="1"/>
    <x v="0"/>
    <x v="0"/>
    <n v="0"/>
    <n v="159.1"/>
    <n v="114"/>
    <n v="27.05"/>
    <n v="231.3"/>
    <n v="117"/>
    <n v="19.66"/>
    <n v="143.19999999999999"/>
    <n v="91"/>
    <n v="6.44"/>
    <n v="8.8000000000000007"/>
    <n v="3"/>
    <n v="2.38"/>
    <x v="5"/>
    <x v="1"/>
    <n v="542.39999999999986"/>
    <n v="55.53"/>
    <n v="325"/>
    <x v="1"/>
    <x v="1"/>
    <x v="1"/>
    <x v="0"/>
    <x v="0"/>
    <x v="1"/>
  </r>
  <r>
    <x v="8"/>
    <n v="10"/>
    <x v="0"/>
    <x v="0"/>
    <x v="0"/>
    <n v="0"/>
    <n v="186.1"/>
    <n v="112"/>
    <n v="31.64"/>
    <n v="190.2"/>
    <n v="66"/>
    <n v="16.170000000000002"/>
    <n v="282.8"/>
    <n v="57"/>
    <n v="12.73"/>
    <n v="11.4"/>
    <n v="6"/>
    <n v="3.08"/>
    <x v="2"/>
    <x v="0"/>
    <n v="670.49999999999989"/>
    <n v="63.620000000000005"/>
    <n v="241"/>
    <x v="2"/>
    <x v="0"/>
    <x v="1"/>
    <x v="0"/>
    <x v="0"/>
    <x v="2"/>
  </r>
  <r>
    <x v="9"/>
    <n v="68"/>
    <x v="1"/>
    <x v="0"/>
    <x v="0"/>
    <n v="0"/>
    <n v="148.80000000000001"/>
    <n v="70"/>
    <n v="25.3"/>
    <n v="246.5"/>
    <n v="164"/>
    <n v="20.95"/>
    <n v="129.80000000000001"/>
    <n v="103"/>
    <n v="5.84"/>
    <n v="12.1"/>
    <n v="3"/>
    <n v="3.27"/>
    <x v="4"/>
    <x v="0"/>
    <n v="537.20000000000005"/>
    <n v="55.36"/>
    <n v="340"/>
    <x v="2"/>
    <x v="1"/>
    <x v="1"/>
    <x v="0"/>
    <x v="0"/>
    <x v="2"/>
  </r>
  <r>
    <x v="10"/>
    <n v="74"/>
    <x v="2"/>
    <x v="0"/>
    <x v="1"/>
    <n v="33"/>
    <n v="193.7"/>
    <n v="91"/>
    <n v="32.93"/>
    <n v="246.1"/>
    <n v="96"/>
    <n v="20.92"/>
    <n v="138"/>
    <n v="92"/>
    <n v="6.21"/>
    <n v="14.6"/>
    <n v="3"/>
    <n v="3.94"/>
    <x v="2"/>
    <x v="0"/>
    <n v="592.4"/>
    <n v="64"/>
    <n v="282"/>
    <x v="2"/>
    <x v="1"/>
    <x v="1"/>
    <x v="0"/>
    <x v="1"/>
    <x v="2"/>
  </r>
  <r>
    <x v="4"/>
    <n v="85"/>
    <x v="1"/>
    <x v="0"/>
    <x v="0"/>
    <n v="0"/>
    <n v="235.8"/>
    <n v="109"/>
    <n v="40.090000000000003"/>
    <n v="157.19999999999999"/>
    <n v="94"/>
    <n v="13.36"/>
    <n v="188.2"/>
    <n v="99"/>
    <n v="8.4700000000000006"/>
    <n v="12"/>
    <n v="3"/>
    <n v="3.24"/>
    <x v="3"/>
    <x v="0"/>
    <n v="593.20000000000005"/>
    <n v="65.16"/>
    <n v="305"/>
    <x v="0"/>
    <x v="1"/>
    <x v="1"/>
    <x v="0"/>
    <x v="0"/>
    <x v="0"/>
  </r>
  <r>
    <x v="10"/>
    <n v="46"/>
    <x v="1"/>
    <x v="0"/>
    <x v="0"/>
    <n v="0"/>
    <n v="214.1"/>
    <n v="72"/>
    <n v="36.4"/>
    <n v="164.4"/>
    <n v="104"/>
    <n v="13.97"/>
    <n v="177.5"/>
    <n v="113"/>
    <n v="7.99"/>
    <n v="8.1999999999999993"/>
    <n v="3"/>
    <n v="2.21"/>
    <x v="2"/>
    <x v="0"/>
    <n v="564.20000000000005"/>
    <n v="60.57"/>
    <n v="292"/>
    <x v="2"/>
    <x v="1"/>
    <x v="1"/>
    <x v="0"/>
    <x v="0"/>
    <x v="2"/>
  </r>
  <r>
    <x v="11"/>
    <n v="128"/>
    <x v="2"/>
    <x v="0"/>
    <x v="1"/>
    <n v="29"/>
    <n v="179.3"/>
    <n v="104"/>
    <n v="30.48"/>
    <n v="225.9"/>
    <n v="86"/>
    <n v="19.2"/>
    <n v="323"/>
    <n v="78"/>
    <n v="14.54"/>
    <n v="8.6"/>
    <n v="7"/>
    <n v="2.3199999999999998"/>
    <x v="3"/>
    <x v="0"/>
    <n v="736.80000000000007"/>
    <n v="66.540000000000006"/>
    <n v="275"/>
    <x v="0"/>
    <x v="0"/>
    <x v="0"/>
    <x v="0"/>
    <x v="1"/>
    <x v="0"/>
  </r>
  <r>
    <x v="0"/>
    <n v="155"/>
    <x v="1"/>
    <x v="0"/>
    <x v="0"/>
    <n v="0"/>
    <n v="203.4"/>
    <n v="100"/>
    <n v="34.58"/>
    <n v="190.9"/>
    <n v="104"/>
    <n v="16.23"/>
    <n v="196"/>
    <n v="119"/>
    <n v="8.82"/>
    <n v="8.9"/>
    <n v="4"/>
    <n v="2.4"/>
    <x v="3"/>
    <x v="1"/>
    <n v="599.19999999999993"/>
    <n v="62.03"/>
    <n v="327"/>
    <x v="0"/>
    <x v="1"/>
    <x v="1"/>
    <x v="0"/>
    <x v="0"/>
    <x v="0"/>
  </r>
  <r>
    <x v="12"/>
    <n v="73"/>
    <x v="1"/>
    <x v="0"/>
    <x v="0"/>
    <n v="0"/>
    <n v="160.1"/>
    <n v="110"/>
    <n v="27.22"/>
    <n v="213.3"/>
    <n v="72"/>
    <n v="18.13"/>
    <n v="174.1"/>
    <n v="72"/>
    <n v="7.83"/>
    <n v="13"/>
    <n v="4"/>
    <n v="3.51"/>
    <x v="3"/>
    <x v="0"/>
    <n v="560.5"/>
    <n v="56.69"/>
    <n v="258"/>
    <x v="0"/>
    <x v="1"/>
    <x v="1"/>
    <x v="0"/>
    <x v="0"/>
    <x v="0"/>
  </r>
  <r>
    <x v="7"/>
    <n v="77"/>
    <x v="1"/>
    <x v="0"/>
    <x v="0"/>
    <n v="0"/>
    <n v="251.8"/>
    <n v="72"/>
    <n v="42.81"/>
    <n v="205.7"/>
    <n v="126"/>
    <n v="17.48"/>
    <n v="275.2"/>
    <n v="109"/>
    <n v="12.38"/>
    <n v="9.8000000000000007"/>
    <n v="7"/>
    <n v="2.65"/>
    <x v="2"/>
    <x v="1"/>
    <n v="742.5"/>
    <n v="75.320000000000007"/>
    <n v="314"/>
    <x v="2"/>
    <x v="0"/>
    <x v="0"/>
    <x v="0"/>
    <x v="0"/>
    <x v="2"/>
  </r>
  <r>
    <x v="13"/>
    <n v="108"/>
    <x v="1"/>
    <x v="0"/>
    <x v="0"/>
    <n v="0"/>
    <n v="178.3"/>
    <n v="137"/>
    <n v="30.31"/>
    <n v="189"/>
    <n v="76"/>
    <n v="16.07"/>
    <n v="129.1"/>
    <n v="102"/>
    <n v="5.81"/>
    <n v="14.6"/>
    <n v="5"/>
    <n v="3.94"/>
    <x v="3"/>
    <x v="0"/>
    <n v="511"/>
    <n v="56.129999999999995"/>
    <n v="320"/>
    <x v="0"/>
    <x v="2"/>
    <x v="1"/>
    <x v="0"/>
    <x v="0"/>
    <x v="0"/>
  </r>
  <r>
    <x v="14"/>
    <n v="95"/>
    <x v="0"/>
    <x v="0"/>
    <x v="0"/>
    <n v="0"/>
    <n v="135"/>
    <n v="99"/>
    <n v="22.95"/>
    <n v="183.6"/>
    <n v="106"/>
    <n v="15.61"/>
    <n v="245.3"/>
    <n v="102"/>
    <n v="11.04"/>
    <n v="12.5"/>
    <n v="9"/>
    <n v="3.38"/>
    <x v="0"/>
    <x v="0"/>
    <n v="576.40000000000009"/>
    <n v="52.98"/>
    <n v="316"/>
    <x v="0"/>
    <x v="1"/>
    <x v="2"/>
    <x v="0"/>
    <x v="0"/>
    <x v="0"/>
  </r>
  <r>
    <x v="6"/>
    <n v="36"/>
    <x v="2"/>
    <x v="0"/>
    <x v="1"/>
    <n v="29"/>
    <n v="281.39999999999998"/>
    <n v="102"/>
    <n v="47.84"/>
    <n v="202.2"/>
    <n v="76"/>
    <n v="17.190000000000001"/>
    <n v="187.2"/>
    <n v="113"/>
    <n v="8.42"/>
    <n v="9"/>
    <n v="6"/>
    <n v="2.4300000000000002"/>
    <x v="2"/>
    <x v="0"/>
    <n v="679.8"/>
    <n v="75.88"/>
    <n v="297"/>
    <x v="2"/>
    <x v="0"/>
    <x v="0"/>
    <x v="0"/>
    <x v="1"/>
    <x v="2"/>
  </r>
  <r>
    <x v="15"/>
    <n v="141"/>
    <x v="1"/>
    <x v="0"/>
    <x v="1"/>
    <n v="32"/>
    <n v="148.6"/>
    <n v="91"/>
    <n v="25.26"/>
    <n v="131.1"/>
    <n v="97"/>
    <n v="11.14"/>
    <n v="219.4"/>
    <n v="142"/>
    <n v="9.8699999999999992"/>
    <n v="10.1"/>
    <n v="1"/>
    <n v="2.73"/>
    <x v="0"/>
    <x v="0"/>
    <n v="509.20000000000005"/>
    <n v="49"/>
    <n v="331"/>
    <x v="0"/>
    <x v="2"/>
    <x v="2"/>
    <x v="0"/>
    <x v="1"/>
    <x v="0"/>
  </r>
  <r>
    <x v="16"/>
    <n v="63"/>
    <x v="1"/>
    <x v="0"/>
    <x v="0"/>
    <n v="0"/>
    <n v="58.9"/>
    <n v="125"/>
    <n v="10.01"/>
    <n v="169.6"/>
    <n v="59"/>
    <n v="14.42"/>
    <n v="211.4"/>
    <n v="88"/>
    <n v="9.51"/>
    <n v="9.4"/>
    <n v="3"/>
    <n v="2.54"/>
    <x v="0"/>
    <x v="0"/>
    <n v="449.29999999999995"/>
    <n v="36.479999999999997"/>
    <n v="275"/>
    <x v="0"/>
    <x v="2"/>
    <x v="2"/>
    <x v="0"/>
    <x v="0"/>
    <x v="0"/>
  </r>
  <r>
    <x v="7"/>
    <n v="97"/>
    <x v="0"/>
    <x v="0"/>
    <x v="0"/>
    <n v="0"/>
    <n v="239.8"/>
    <n v="125"/>
    <n v="40.770000000000003"/>
    <n v="214.8"/>
    <n v="111"/>
    <n v="18.260000000000002"/>
    <n v="143.30000000000001"/>
    <n v="81"/>
    <n v="6.45"/>
    <n v="8.6999999999999993"/>
    <n v="5"/>
    <n v="2.35"/>
    <x v="2"/>
    <x v="0"/>
    <n v="606.60000000000014"/>
    <n v="67.830000000000013"/>
    <n v="322"/>
    <x v="2"/>
    <x v="1"/>
    <x v="0"/>
    <x v="0"/>
    <x v="0"/>
    <x v="2"/>
  </r>
  <r>
    <x v="17"/>
    <n v="75"/>
    <x v="0"/>
    <x v="0"/>
    <x v="0"/>
    <n v="0"/>
    <n v="166.3"/>
    <n v="125"/>
    <n v="28.27"/>
    <n v="158.19999999999999"/>
    <n v="86"/>
    <n v="13.45"/>
    <n v="256.7"/>
    <n v="80"/>
    <n v="11.55"/>
    <n v="6.1"/>
    <n v="5"/>
    <n v="1.65"/>
    <x v="0"/>
    <x v="0"/>
    <n v="587.30000000000007"/>
    <n v="54.92"/>
    <n v="296"/>
    <x v="0"/>
    <x v="1"/>
    <x v="1"/>
    <x v="0"/>
    <x v="0"/>
    <x v="0"/>
  </r>
  <r>
    <x v="18"/>
    <n v="127"/>
    <x v="0"/>
    <x v="0"/>
    <x v="0"/>
    <n v="0"/>
    <n v="146.69999999999999"/>
    <n v="91"/>
    <n v="24.94"/>
    <n v="203.5"/>
    <n v="78"/>
    <n v="17.3"/>
    <n v="203.4"/>
    <n v="110"/>
    <n v="9.15"/>
    <n v="13.7"/>
    <n v="3"/>
    <n v="3.7"/>
    <x v="0"/>
    <x v="0"/>
    <n v="567.30000000000007"/>
    <n v="55.09"/>
    <n v="282"/>
    <x v="0"/>
    <x v="1"/>
    <x v="1"/>
    <x v="0"/>
    <x v="0"/>
    <x v="0"/>
  </r>
  <r>
    <x v="0"/>
    <n v="121"/>
    <x v="0"/>
    <x v="0"/>
    <x v="0"/>
    <n v="0"/>
    <n v="181.5"/>
    <n v="121"/>
    <n v="30.86"/>
    <n v="218.4"/>
    <n v="98"/>
    <n v="18.559999999999999"/>
    <n v="161.6"/>
    <n v="103"/>
    <n v="7.27"/>
    <n v="8.5"/>
    <n v="5"/>
    <n v="2.2999999999999998"/>
    <x v="0"/>
    <x v="0"/>
    <n v="570"/>
    <n v="58.989999999999995"/>
    <n v="327"/>
    <x v="0"/>
    <x v="1"/>
    <x v="1"/>
    <x v="0"/>
    <x v="0"/>
    <x v="0"/>
  </r>
  <r>
    <x v="19"/>
    <n v="117"/>
    <x v="1"/>
    <x v="0"/>
    <x v="0"/>
    <n v="0"/>
    <n v="102.8"/>
    <n v="119"/>
    <n v="17.48"/>
    <n v="206.7"/>
    <n v="91"/>
    <n v="17.57"/>
    <n v="299"/>
    <n v="105"/>
    <n v="13.46"/>
    <n v="10.1"/>
    <n v="7"/>
    <n v="2.73"/>
    <x v="0"/>
    <x v="0"/>
    <n v="618.6"/>
    <n v="51.240000000000009"/>
    <n v="322"/>
    <x v="0"/>
    <x v="1"/>
    <x v="2"/>
    <x v="0"/>
    <x v="0"/>
    <x v="0"/>
  </r>
  <r>
    <x v="20"/>
    <n v="65"/>
    <x v="0"/>
    <x v="0"/>
    <x v="0"/>
    <n v="0"/>
    <n v="187.9"/>
    <n v="116"/>
    <n v="31.94"/>
    <n v="157.6"/>
    <n v="117"/>
    <n v="13.4"/>
    <n v="227.3"/>
    <n v="86"/>
    <n v="10.23"/>
    <n v="7.5"/>
    <n v="6"/>
    <n v="2.0299999999999998"/>
    <x v="0"/>
    <x v="0"/>
    <n v="580.29999999999995"/>
    <n v="57.6"/>
    <n v="325"/>
    <x v="0"/>
    <x v="1"/>
    <x v="1"/>
    <x v="0"/>
    <x v="0"/>
    <x v="0"/>
  </r>
  <r>
    <x v="21"/>
    <n v="6"/>
    <x v="2"/>
    <x v="0"/>
    <x v="0"/>
    <n v="0"/>
    <n v="183.6"/>
    <n v="117"/>
    <n v="31.21"/>
    <n v="256.7"/>
    <n v="72"/>
    <n v="21.82"/>
    <n v="178.6"/>
    <n v="79"/>
    <n v="8.0399999999999991"/>
    <n v="10.199999999999999"/>
    <n v="2"/>
    <n v="2.75"/>
    <x v="0"/>
    <x v="0"/>
    <n v="629.1"/>
    <n v="63.82"/>
    <n v="270"/>
    <x v="0"/>
    <x v="1"/>
    <x v="1"/>
    <x v="0"/>
    <x v="0"/>
    <x v="0"/>
  </r>
  <r>
    <x v="22"/>
    <n v="32"/>
    <x v="2"/>
    <x v="0"/>
    <x v="0"/>
    <n v="0"/>
    <n v="230.9"/>
    <n v="87"/>
    <n v="39.25"/>
    <n v="187.4"/>
    <n v="90"/>
    <n v="15.93"/>
    <n v="154"/>
    <n v="53"/>
    <n v="6.93"/>
    <n v="6.3"/>
    <n v="2"/>
    <n v="1.7"/>
    <x v="3"/>
    <x v="0"/>
    <n v="578.59999999999991"/>
    <n v="63.81"/>
    <n v="232"/>
    <x v="0"/>
    <x v="1"/>
    <x v="1"/>
    <x v="0"/>
    <x v="0"/>
    <x v="0"/>
  </r>
  <r>
    <x v="23"/>
    <n v="64"/>
    <x v="0"/>
    <x v="0"/>
    <x v="1"/>
    <n v="27"/>
    <n v="182.1"/>
    <n v="91"/>
    <n v="30.96"/>
    <n v="169.7"/>
    <n v="98"/>
    <n v="14.42"/>
    <n v="164.7"/>
    <n v="86"/>
    <n v="7.41"/>
    <n v="10.6"/>
    <n v="5"/>
    <n v="2.86"/>
    <x v="2"/>
    <x v="0"/>
    <n v="527.1"/>
    <n v="55.65"/>
    <n v="280"/>
    <x v="2"/>
    <x v="2"/>
    <x v="1"/>
    <x v="0"/>
    <x v="1"/>
    <x v="2"/>
  </r>
  <r>
    <x v="24"/>
    <n v="25"/>
    <x v="1"/>
    <x v="0"/>
    <x v="0"/>
    <n v="0"/>
    <n v="119.3"/>
    <n v="87"/>
    <n v="20.28"/>
    <n v="211.5"/>
    <n v="101"/>
    <n v="17.98"/>
    <n v="268.89999999999998"/>
    <n v="86"/>
    <n v="12.1"/>
    <n v="10.5"/>
    <n v="4"/>
    <n v="2.84"/>
    <x v="4"/>
    <x v="0"/>
    <n v="610.20000000000005"/>
    <n v="53.2"/>
    <n v="278"/>
    <x v="2"/>
    <x v="1"/>
    <x v="2"/>
    <x v="0"/>
    <x v="0"/>
    <x v="2"/>
  </r>
  <r>
    <x v="25"/>
    <n v="65"/>
    <x v="1"/>
    <x v="0"/>
    <x v="0"/>
    <n v="0"/>
    <n v="116.8"/>
    <n v="87"/>
    <n v="19.86"/>
    <n v="178.9"/>
    <n v="93"/>
    <n v="15.21"/>
    <n v="182.4"/>
    <n v="150"/>
    <n v="8.2100000000000009"/>
    <n v="14.1"/>
    <n v="2"/>
    <n v="3.81"/>
    <x v="0"/>
    <x v="0"/>
    <n v="492.20000000000005"/>
    <n v="47.09"/>
    <n v="332"/>
    <x v="0"/>
    <x v="2"/>
    <x v="2"/>
    <x v="0"/>
    <x v="0"/>
    <x v="0"/>
  </r>
  <r>
    <x v="6"/>
    <n v="127"/>
    <x v="1"/>
    <x v="0"/>
    <x v="0"/>
    <n v="0"/>
    <n v="202.1"/>
    <n v="103"/>
    <n v="34.36"/>
    <n v="229.4"/>
    <n v="86"/>
    <n v="19.5"/>
    <n v="195.2"/>
    <n v="113"/>
    <n v="8.7799999999999994"/>
    <n v="11.5"/>
    <n v="3"/>
    <n v="3.11"/>
    <x v="2"/>
    <x v="0"/>
    <n v="638.20000000000005"/>
    <n v="65.75"/>
    <n v="305"/>
    <x v="2"/>
    <x v="1"/>
    <x v="1"/>
    <x v="0"/>
    <x v="0"/>
    <x v="2"/>
  </r>
  <r>
    <x v="16"/>
    <n v="93"/>
    <x v="1"/>
    <x v="0"/>
    <x v="0"/>
    <n v="0"/>
    <n v="271.60000000000002"/>
    <n v="71"/>
    <n v="46.17"/>
    <n v="229.4"/>
    <n v="108"/>
    <n v="19.5"/>
    <n v="77.3"/>
    <n v="121"/>
    <n v="3.48"/>
    <n v="10.9"/>
    <n v="3"/>
    <n v="2.94"/>
    <x v="2"/>
    <x v="0"/>
    <n v="589.19999999999993"/>
    <n v="72.09"/>
    <n v="303"/>
    <x v="2"/>
    <x v="1"/>
    <x v="0"/>
    <x v="0"/>
    <x v="0"/>
    <x v="2"/>
  </r>
  <r>
    <x v="26"/>
    <n v="208"/>
    <x v="2"/>
    <x v="0"/>
    <x v="0"/>
    <n v="0"/>
    <n v="326.5"/>
    <n v="67"/>
    <n v="55.51"/>
    <n v="176.3"/>
    <n v="113"/>
    <n v="14.99"/>
    <n v="181.7"/>
    <n v="102"/>
    <n v="8.18"/>
    <n v="10.7"/>
    <n v="6"/>
    <n v="2.89"/>
    <x v="2"/>
    <x v="1"/>
    <n v="695.2"/>
    <n v="81.569999999999993"/>
    <n v="288"/>
    <x v="2"/>
    <x v="0"/>
    <x v="0"/>
    <x v="0"/>
    <x v="0"/>
    <x v="2"/>
  </r>
  <r>
    <x v="1"/>
    <n v="122"/>
    <x v="1"/>
    <x v="0"/>
    <x v="0"/>
    <n v="0"/>
    <n v="243.8"/>
    <n v="98"/>
    <n v="41.45"/>
    <n v="83.9"/>
    <n v="72"/>
    <n v="7.13"/>
    <n v="179.8"/>
    <n v="84"/>
    <n v="8.09"/>
    <n v="13.7"/>
    <n v="8"/>
    <n v="3.7"/>
    <x v="2"/>
    <x v="0"/>
    <n v="521.20000000000005"/>
    <n v="60.370000000000005"/>
    <n v="262"/>
    <x v="2"/>
    <x v="2"/>
    <x v="1"/>
    <x v="0"/>
    <x v="0"/>
    <x v="2"/>
  </r>
  <r>
    <x v="0"/>
    <n v="99"/>
    <x v="1"/>
    <x v="0"/>
    <x v="0"/>
    <n v="0"/>
    <n v="241.1"/>
    <n v="72"/>
    <n v="40.99"/>
    <n v="155.6"/>
    <n v="98"/>
    <n v="13.23"/>
    <n v="188.2"/>
    <n v="109"/>
    <n v="8.4700000000000006"/>
    <n v="11.6"/>
    <n v="10"/>
    <n v="3.13"/>
    <x v="0"/>
    <x v="0"/>
    <n v="596.5"/>
    <n v="65.820000000000007"/>
    <n v="289"/>
    <x v="0"/>
    <x v="1"/>
    <x v="0"/>
    <x v="0"/>
    <x v="0"/>
    <x v="0"/>
  </r>
  <r>
    <x v="27"/>
    <n v="65"/>
    <x v="1"/>
    <x v="0"/>
    <x v="0"/>
    <n v="0"/>
    <n v="136.1"/>
    <n v="112"/>
    <n v="23.14"/>
    <n v="272.89999999999998"/>
    <n v="96"/>
    <n v="23.2"/>
    <n v="220.2"/>
    <n v="104"/>
    <n v="9.91"/>
    <n v="4.4000000000000004"/>
    <n v="2"/>
    <n v="1.19"/>
    <x v="0"/>
    <x v="0"/>
    <n v="633.6"/>
    <n v="57.44"/>
    <n v="314"/>
    <x v="0"/>
    <x v="1"/>
    <x v="1"/>
    <x v="0"/>
    <x v="0"/>
    <x v="0"/>
  </r>
  <r>
    <x v="1"/>
    <n v="65"/>
    <x v="1"/>
    <x v="0"/>
    <x v="0"/>
    <n v="0"/>
    <n v="213.4"/>
    <n v="111"/>
    <n v="36.28"/>
    <n v="234.5"/>
    <n v="94"/>
    <n v="19.93"/>
    <n v="250.1"/>
    <n v="123"/>
    <n v="11.25"/>
    <n v="2.7"/>
    <n v="4"/>
    <n v="0.73"/>
    <x v="0"/>
    <x v="0"/>
    <n v="700.7"/>
    <n v="68.19"/>
    <n v="332"/>
    <x v="0"/>
    <x v="0"/>
    <x v="0"/>
    <x v="0"/>
    <x v="0"/>
    <x v="0"/>
  </r>
  <r>
    <x v="14"/>
    <n v="45"/>
    <x v="1"/>
    <x v="0"/>
    <x v="1"/>
    <n v="22"/>
    <n v="196.6"/>
    <n v="84"/>
    <n v="33.42"/>
    <n v="313.2"/>
    <n v="92"/>
    <n v="26.62"/>
    <n v="163.30000000000001"/>
    <n v="108"/>
    <n v="7.35"/>
    <n v="11.9"/>
    <n v="3"/>
    <n v="3.21"/>
    <x v="3"/>
    <x v="0"/>
    <n v="684.99999999999989"/>
    <n v="70.599999999999994"/>
    <n v="287"/>
    <x v="0"/>
    <x v="0"/>
    <x v="0"/>
    <x v="0"/>
    <x v="1"/>
    <x v="0"/>
  </r>
  <r>
    <x v="10"/>
    <n v="139"/>
    <x v="2"/>
    <x v="0"/>
    <x v="0"/>
    <n v="0"/>
    <n v="134.4"/>
    <n v="106"/>
    <n v="22.85"/>
    <n v="211.3"/>
    <n v="98"/>
    <n v="17.96"/>
    <n v="193.6"/>
    <n v="125"/>
    <n v="8.7100000000000009"/>
    <n v="10.199999999999999"/>
    <n v="2"/>
    <n v="2.75"/>
    <x v="5"/>
    <x v="1"/>
    <n v="549.50000000000011"/>
    <n v="52.27"/>
    <n v="331"/>
    <x v="1"/>
    <x v="1"/>
    <x v="2"/>
    <x v="0"/>
    <x v="0"/>
    <x v="1"/>
  </r>
  <r>
    <x v="28"/>
    <n v="215"/>
    <x v="2"/>
    <x v="0"/>
    <x v="0"/>
    <n v="0"/>
    <n v="83.6"/>
    <n v="148"/>
    <n v="14.21"/>
    <n v="120.9"/>
    <n v="91"/>
    <n v="10.28"/>
    <n v="226.6"/>
    <n v="110"/>
    <n v="10.199999999999999"/>
    <n v="10.7"/>
    <n v="9"/>
    <n v="2.89"/>
    <x v="3"/>
    <x v="0"/>
    <n v="441.8"/>
    <n v="37.58"/>
    <n v="358"/>
    <x v="0"/>
    <x v="2"/>
    <x v="2"/>
    <x v="0"/>
    <x v="0"/>
    <x v="0"/>
  </r>
  <r>
    <x v="16"/>
    <n v="94"/>
    <x v="0"/>
    <x v="0"/>
    <x v="0"/>
    <n v="0"/>
    <n v="181.8"/>
    <n v="85"/>
    <n v="30.91"/>
    <n v="202.4"/>
    <n v="98"/>
    <n v="17.2"/>
    <n v="245.9"/>
    <n v="97"/>
    <n v="11.07"/>
    <n v="9.1999999999999993"/>
    <n v="2"/>
    <n v="2.48"/>
    <x v="1"/>
    <x v="0"/>
    <n v="639.30000000000007"/>
    <n v="61.66"/>
    <n v="282"/>
    <x v="1"/>
    <x v="1"/>
    <x v="1"/>
    <x v="0"/>
    <x v="0"/>
    <x v="1"/>
  </r>
  <r>
    <x v="24"/>
    <n v="119"/>
    <x v="2"/>
    <x v="0"/>
    <x v="1"/>
    <n v="23"/>
    <n v="154"/>
    <n v="114"/>
    <n v="26.18"/>
    <n v="278"/>
    <n v="137"/>
    <n v="23.63"/>
    <n v="228.4"/>
    <n v="112"/>
    <n v="10.28"/>
    <n v="11.8"/>
    <n v="4"/>
    <n v="3.19"/>
    <x v="2"/>
    <x v="0"/>
    <n v="672.19999999999993"/>
    <n v="63.279999999999994"/>
    <n v="367"/>
    <x v="2"/>
    <x v="0"/>
    <x v="1"/>
    <x v="0"/>
    <x v="1"/>
    <x v="2"/>
  </r>
  <r>
    <x v="6"/>
    <n v="86"/>
    <x v="2"/>
    <x v="0"/>
    <x v="1"/>
    <n v="41"/>
    <n v="119"/>
    <n v="101"/>
    <n v="20.23"/>
    <n v="230"/>
    <n v="134"/>
    <n v="19.55"/>
    <n v="236.9"/>
    <n v="58"/>
    <n v="10.66"/>
    <n v="9.5"/>
    <n v="3"/>
    <n v="2.57"/>
    <x v="3"/>
    <x v="0"/>
    <n v="595.4"/>
    <n v="53.010000000000005"/>
    <n v="296"/>
    <x v="0"/>
    <x v="1"/>
    <x v="2"/>
    <x v="0"/>
    <x v="1"/>
    <x v="0"/>
  </r>
  <r>
    <x v="29"/>
    <n v="106"/>
    <x v="0"/>
    <x v="0"/>
    <x v="1"/>
    <n v="32"/>
    <n v="165.9"/>
    <n v="126"/>
    <n v="28.2"/>
    <n v="216.5"/>
    <n v="93"/>
    <n v="18.399999999999999"/>
    <n v="173.1"/>
    <n v="86"/>
    <n v="7.79"/>
    <n v="14.1"/>
    <n v="8"/>
    <n v="3.81"/>
    <x v="1"/>
    <x v="0"/>
    <n v="569.6"/>
    <n v="58.2"/>
    <n v="313"/>
    <x v="1"/>
    <x v="1"/>
    <x v="1"/>
    <x v="0"/>
    <x v="1"/>
    <x v="1"/>
  </r>
  <r>
    <x v="30"/>
    <n v="92"/>
    <x v="0"/>
    <x v="1"/>
    <x v="0"/>
    <n v="0"/>
    <n v="62.6"/>
    <n v="111"/>
    <n v="10.64"/>
    <n v="180.6"/>
    <n v="126"/>
    <n v="15.35"/>
    <n v="221.7"/>
    <n v="80"/>
    <n v="9.98"/>
    <n v="10.4"/>
    <n v="2"/>
    <n v="2.81"/>
    <x v="0"/>
    <x v="1"/>
    <n v="475.29999999999995"/>
    <n v="38.78"/>
    <n v="319"/>
    <x v="0"/>
    <x v="2"/>
    <x v="2"/>
    <x v="1"/>
    <x v="0"/>
    <x v="0"/>
  </r>
  <r>
    <x v="3"/>
    <n v="78"/>
    <x v="2"/>
    <x v="0"/>
    <x v="0"/>
    <n v="0"/>
    <n v="168.3"/>
    <n v="110"/>
    <n v="28.61"/>
    <n v="221.2"/>
    <n v="73"/>
    <n v="18.8"/>
    <n v="241"/>
    <n v="136"/>
    <n v="10.85"/>
    <n v="12.5"/>
    <n v="1"/>
    <n v="3.38"/>
    <x v="0"/>
    <x v="0"/>
    <n v="643"/>
    <n v="61.64"/>
    <n v="320"/>
    <x v="0"/>
    <x v="1"/>
    <x v="1"/>
    <x v="0"/>
    <x v="0"/>
    <x v="0"/>
  </r>
  <r>
    <x v="31"/>
    <n v="155"/>
    <x v="0"/>
    <x v="0"/>
    <x v="0"/>
    <n v="0"/>
    <n v="262.39999999999998"/>
    <n v="55"/>
    <n v="44.61"/>
    <n v="194.6"/>
    <n v="113"/>
    <n v="16.54"/>
    <n v="146.5"/>
    <n v="85"/>
    <n v="6.59"/>
    <n v="8.3000000000000007"/>
    <n v="6"/>
    <n v="2.2400000000000002"/>
    <x v="2"/>
    <x v="0"/>
    <n v="611.79999999999995"/>
    <n v="69.97999999999999"/>
    <n v="259"/>
    <x v="2"/>
    <x v="1"/>
    <x v="0"/>
    <x v="0"/>
    <x v="0"/>
    <x v="2"/>
  </r>
  <r>
    <x v="21"/>
    <n v="64"/>
    <x v="2"/>
    <x v="0"/>
    <x v="1"/>
    <n v="48"/>
    <n v="94.4"/>
    <n v="104"/>
    <n v="16.05"/>
    <n v="136.19999999999999"/>
    <n v="101"/>
    <n v="11.58"/>
    <n v="147.4"/>
    <n v="89"/>
    <n v="6.63"/>
    <n v="4.5"/>
    <n v="4"/>
    <n v="1.22"/>
    <x v="3"/>
    <x v="0"/>
    <n v="382.5"/>
    <n v="35.480000000000004"/>
    <n v="298"/>
    <x v="0"/>
    <x v="2"/>
    <x v="2"/>
    <x v="0"/>
    <x v="1"/>
    <x v="0"/>
  </r>
  <r>
    <x v="18"/>
    <n v="83"/>
    <x v="1"/>
    <x v="0"/>
    <x v="0"/>
    <n v="0"/>
    <n v="221.4"/>
    <n v="103"/>
    <n v="37.64"/>
    <n v="231.8"/>
    <n v="103"/>
    <n v="19.7"/>
    <n v="122.5"/>
    <n v="100"/>
    <n v="5.51"/>
    <n v="9.8000000000000007"/>
    <n v="5"/>
    <n v="2.65"/>
    <x v="4"/>
    <x v="0"/>
    <n v="585.5"/>
    <n v="65.5"/>
    <n v="311"/>
    <x v="2"/>
    <x v="1"/>
    <x v="1"/>
    <x v="0"/>
    <x v="0"/>
    <x v="2"/>
  </r>
  <r>
    <x v="32"/>
    <n v="144"/>
    <x v="0"/>
    <x v="0"/>
    <x v="1"/>
    <n v="48"/>
    <n v="189.8"/>
    <n v="96"/>
    <n v="32.270000000000003"/>
    <n v="123.4"/>
    <n v="67"/>
    <n v="10.49"/>
    <n v="214.2"/>
    <n v="106"/>
    <n v="9.64"/>
    <n v="6.5"/>
    <n v="2"/>
    <n v="1.76"/>
    <x v="2"/>
    <x v="1"/>
    <n v="533.90000000000009"/>
    <n v="54.160000000000004"/>
    <n v="271"/>
    <x v="2"/>
    <x v="2"/>
    <x v="1"/>
    <x v="0"/>
    <x v="1"/>
    <x v="2"/>
  </r>
  <r>
    <x v="12"/>
    <n v="143"/>
    <x v="1"/>
    <x v="0"/>
    <x v="0"/>
    <n v="0"/>
    <n v="172.3"/>
    <n v="97"/>
    <n v="29.29"/>
    <n v="174"/>
    <n v="108"/>
    <n v="14.79"/>
    <n v="188.2"/>
    <n v="119"/>
    <n v="8.4700000000000006"/>
    <n v="13"/>
    <n v="4"/>
    <n v="3.51"/>
    <x v="2"/>
    <x v="0"/>
    <n v="547.5"/>
    <n v="56.06"/>
    <n v="328"/>
    <x v="2"/>
    <x v="1"/>
    <x v="1"/>
    <x v="0"/>
    <x v="0"/>
    <x v="2"/>
  </r>
  <r>
    <x v="10"/>
    <n v="81"/>
    <x v="1"/>
    <x v="0"/>
    <x v="0"/>
    <n v="0"/>
    <n v="198.4"/>
    <n v="93"/>
    <n v="33.729999999999997"/>
    <n v="210.9"/>
    <n v="108"/>
    <n v="17.93"/>
    <n v="193.3"/>
    <n v="71"/>
    <n v="8.6999999999999993"/>
    <n v="10.4"/>
    <n v="6"/>
    <n v="2.81"/>
    <x v="2"/>
    <x v="0"/>
    <n v="613"/>
    <n v="63.169999999999995"/>
    <n v="278"/>
    <x v="2"/>
    <x v="1"/>
    <x v="1"/>
    <x v="0"/>
    <x v="0"/>
    <x v="2"/>
  </r>
  <r>
    <x v="32"/>
    <n v="145"/>
    <x v="0"/>
    <x v="0"/>
    <x v="1"/>
    <n v="24"/>
    <n v="147.5"/>
    <n v="90"/>
    <n v="25.08"/>
    <n v="175.7"/>
    <n v="108"/>
    <n v="14.93"/>
    <n v="252.1"/>
    <n v="102"/>
    <n v="11.34"/>
    <n v="15.6"/>
    <n v="3"/>
    <n v="4.21"/>
    <x v="2"/>
    <x v="0"/>
    <n v="590.9"/>
    <n v="55.56"/>
    <n v="303"/>
    <x v="2"/>
    <x v="1"/>
    <x v="1"/>
    <x v="0"/>
    <x v="1"/>
    <x v="2"/>
  </r>
  <r>
    <x v="33"/>
    <n v="89"/>
    <x v="2"/>
    <x v="0"/>
    <x v="0"/>
    <n v="0"/>
    <n v="303.89999999999998"/>
    <n v="95"/>
    <n v="51.66"/>
    <n v="260.89999999999998"/>
    <n v="114"/>
    <n v="22.18"/>
    <n v="312.10000000000002"/>
    <n v="89"/>
    <n v="14.04"/>
    <n v="5.3"/>
    <n v="3"/>
    <n v="1.43"/>
    <x v="0"/>
    <x v="1"/>
    <n v="882.19999999999993"/>
    <n v="89.31"/>
    <n v="301"/>
    <x v="0"/>
    <x v="0"/>
    <x v="0"/>
    <x v="0"/>
    <x v="0"/>
    <x v="0"/>
  </r>
  <r>
    <x v="34"/>
    <n v="199"/>
    <x v="1"/>
    <x v="0"/>
    <x v="1"/>
    <n v="34"/>
    <n v="230.6"/>
    <n v="121"/>
    <n v="39.200000000000003"/>
    <n v="219.4"/>
    <n v="99"/>
    <n v="18.649999999999999"/>
    <n v="299.3"/>
    <n v="94"/>
    <n v="13.47"/>
    <n v="8"/>
    <n v="2"/>
    <n v="2.16"/>
    <x v="3"/>
    <x v="0"/>
    <n v="757.3"/>
    <n v="73.48"/>
    <n v="316"/>
    <x v="0"/>
    <x v="0"/>
    <x v="0"/>
    <x v="0"/>
    <x v="1"/>
    <x v="0"/>
  </r>
  <r>
    <x v="34"/>
    <n v="96"/>
    <x v="1"/>
    <x v="0"/>
    <x v="1"/>
    <n v="37"/>
    <n v="172.7"/>
    <n v="93"/>
    <n v="29.36"/>
    <n v="120.1"/>
    <n v="116"/>
    <n v="10.210000000000001"/>
    <n v="216.1"/>
    <n v="86"/>
    <n v="9.7200000000000006"/>
    <n v="10.3"/>
    <n v="5"/>
    <n v="2.78"/>
    <x v="5"/>
    <x v="1"/>
    <n v="519.19999999999993"/>
    <n v="52.07"/>
    <n v="300"/>
    <x v="1"/>
    <x v="2"/>
    <x v="2"/>
    <x v="0"/>
    <x v="1"/>
    <x v="1"/>
  </r>
  <r>
    <x v="10"/>
    <n v="94"/>
    <x v="1"/>
    <x v="0"/>
    <x v="0"/>
    <n v="0"/>
    <n v="181.5"/>
    <n v="98"/>
    <n v="30.86"/>
    <n v="199.9"/>
    <n v="88"/>
    <n v="16.989999999999998"/>
    <n v="287.7"/>
    <n v="114"/>
    <n v="12.95"/>
    <n v="6.6"/>
    <n v="5"/>
    <n v="1.78"/>
    <x v="0"/>
    <x v="0"/>
    <n v="675.69999999999993"/>
    <n v="62.58"/>
    <n v="305"/>
    <x v="0"/>
    <x v="0"/>
    <x v="1"/>
    <x v="0"/>
    <x v="0"/>
    <x v="0"/>
  </r>
  <r>
    <x v="29"/>
    <n v="127"/>
    <x v="1"/>
    <x v="0"/>
    <x v="0"/>
    <n v="0"/>
    <n v="266.60000000000002"/>
    <n v="106"/>
    <n v="45.32"/>
    <n v="264.8"/>
    <n v="168"/>
    <n v="22.51"/>
    <n v="207.2"/>
    <n v="119"/>
    <n v="9.32"/>
    <n v="5.9"/>
    <n v="2"/>
    <n v="1.59"/>
    <x v="0"/>
    <x v="1"/>
    <n v="744.50000000000011"/>
    <n v="78.740000000000009"/>
    <n v="395"/>
    <x v="0"/>
    <x v="0"/>
    <x v="0"/>
    <x v="0"/>
    <x v="0"/>
    <x v="0"/>
  </r>
  <r>
    <x v="35"/>
    <n v="121"/>
    <x v="0"/>
    <x v="0"/>
    <x v="0"/>
    <n v="0"/>
    <n v="170.4"/>
    <n v="108"/>
    <n v="28.97"/>
    <n v="350.5"/>
    <n v="68"/>
    <n v="29.79"/>
    <n v="297"/>
    <n v="87"/>
    <n v="13.37"/>
    <n v="11.2"/>
    <n v="3"/>
    <n v="3.02"/>
    <x v="3"/>
    <x v="1"/>
    <n v="829.1"/>
    <n v="75.150000000000006"/>
    <n v="266"/>
    <x v="0"/>
    <x v="0"/>
    <x v="0"/>
    <x v="0"/>
    <x v="0"/>
    <x v="0"/>
  </r>
  <r>
    <x v="1"/>
    <n v="122"/>
    <x v="0"/>
    <x v="0"/>
    <x v="0"/>
    <n v="0"/>
    <n v="296.39999999999998"/>
    <n v="99"/>
    <n v="50.39"/>
    <n v="214.8"/>
    <n v="89"/>
    <n v="18.260000000000002"/>
    <n v="133.9"/>
    <n v="107"/>
    <n v="6.03"/>
    <n v="11.4"/>
    <n v="3"/>
    <n v="3.08"/>
    <x v="1"/>
    <x v="1"/>
    <n v="656.5"/>
    <n v="77.760000000000005"/>
    <n v="298"/>
    <x v="1"/>
    <x v="0"/>
    <x v="0"/>
    <x v="0"/>
    <x v="0"/>
    <x v="1"/>
  </r>
  <r>
    <x v="22"/>
    <n v="121"/>
    <x v="0"/>
    <x v="0"/>
    <x v="1"/>
    <n v="35"/>
    <n v="68.7"/>
    <n v="95"/>
    <n v="11.68"/>
    <n v="209.2"/>
    <n v="69"/>
    <n v="17.78"/>
    <n v="197.4"/>
    <n v="42"/>
    <n v="8.8800000000000008"/>
    <n v="11.4"/>
    <n v="4"/>
    <n v="3.08"/>
    <x v="0"/>
    <x v="0"/>
    <n v="486.69999999999993"/>
    <n v="41.42"/>
    <n v="210"/>
    <x v="0"/>
    <x v="2"/>
    <x v="2"/>
    <x v="0"/>
    <x v="1"/>
    <x v="0"/>
  </r>
  <r>
    <x v="25"/>
    <n v="77"/>
    <x v="2"/>
    <x v="0"/>
    <x v="0"/>
    <n v="0"/>
    <n v="233.8"/>
    <n v="104"/>
    <n v="39.75"/>
    <n v="266.5"/>
    <n v="94"/>
    <n v="22.65"/>
    <n v="212.7"/>
    <n v="104"/>
    <n v="9.57"/>
    <n v="7.6"/>
    <n v="3"/>
    <n v="2.0499999999999998"/>
    <x v="2"/>
    <x v="0"/>
    <n v="720.6"/>
    <n v="74.02"/>
    <n v="305"/>
    <x v="2"/>
    <x v="0"/>
    <x v="0"/>
    <x v="0"/>
    <x v="0"/>
    <x v="2"/>
  </r>
  <r>
    <x v="27"/>
    <n v="64"/>
    <x v="0"/>
    <x v="1"/>
    <x v="0"/>
    <n v="0"/>
    <n v="236.2"/>
    <n v="77"/>
    <n v="40.15"/>
    <n v="218.6"/>
    <n v="85"/>
    <n v="18.579999999999998"/>
    <n v="194.1"/>
    <n v="97"/>
    <n v="8.73"/>
    <n v="13.2"/>
    <n v="2"/>
    <n v="3.56"/>
    <x v="2"/>
    <x v="1"/>
    <n v="662.1"/>
    <n v="71.02"/>
    <n v="261"/>
    <x v="2"/>
    <x v="0"/>
    <x v="0"/>
    <x v="1"/>
    <x v="0"/>
    <x v="2"/>
  </r>
  <r>
    <x v="17"/>
    <n v="124"/>
    <x v="0"/>
    <x v="1"/>
    <x v="0"/>
    <n v="0"/>
    <n v="244.6"/>
    <n v="89"/>
    <n v="41.58"/>
    <n v="188.8"/>
    <n v="80"/>
    <n v="16.05"/>
    <n v="206"/>
    <n v="114"/>
    <n v="9.27"/>
    <n v="11.3"/>
    <n v="4"/>
    <n v="3.05"/>
    <x v="0"/>
    <x v="0"/>
    <n v="650.69999999999993"/>
    <n v="69.95"/>
    <n v="287"/>
    <x v="0"/>
    <x v="1"/>
    <x v="0"/>
    <x v="1"/>
    <x v="0"/>
    <x v="0"/>
  </r>
  <r>
    <x v="36"/>
    <n v="148"/>
    <x v="1"/>
    <x v="0"/>
    <x v="0"/>
    <n v="0"/>
    <n v="124.4"/>
    <n v="83"/>
    <n v="21.15"/>
    <n v="179.7"/>
    <n v="81"/>
    <n v="15.27"/>
    <n v="253"/>
    <n v="99"/>
    <n v="11.39"/>
    <n v="11.3"/>
    <n v="6"/>
    <n v="3.05"/>
    <x v="3"/>
    <x v="0"/>
    <n v="568.4"/>
    <n v="50.86"/>
    <n v="269"/>
    <x v="0"/>
    <x v="1"/>
    <x v="2"/>
    <x v="0"/>
    <x v="0"/>
    <x v="0"/>
  </r>
  <r>
    <x v="27"/>
    <n v="77"/>
    <x v="0"/>
    <x v="0"/>
    <x v="0"/>
    <n v="0"/>
    <n v="230"/>
    <n v="87"/>
    <n v="39.1"/>
    <n v="103.2"/>
    <n v="138"/>
    <n v="8.77"/>
    <n v="309.60000000000002"/>
    <n v="136"/>
    <n v="13.93"/>
    <n v="11.3"/>
    <n v="3"/>
    <n v="3.05"/>
    <x v="2"/>
    <x v="0"/>
    <n v="654.09999999999991"/>
    <n v="64.849999999999994"/>
    <n v="364"/>
    <x v="2"/>
    <x v="0"/>
    <x v="1"/>
    <x v="0"/>
    <x v="0"/>
    <x v="2"/>
  </r>
  <r>
    <x v="31"/>
    <n v="135"/>
    <x v="1"/>
    <x v="0"/>
    <x v="0"/>
    <n v="0"/>
    <n v="201.8"/>
    <n v="81"/>
    <n v="34.31"/>
    <n v="225"/>
    <n v="114"/>
    <n v="19.13"/>
    <n v="204.4"/>
    <n v="82"/>
    <n v="9.1999999999999993"/>
    <n v="10.3"/>
    <n v="6"/>
    <n v="2.78"/>
    <x v="0"/>
    <x v="0"/>
    <n v="641.5"/>
    <n v="65.42"/>
    <n v="283"/>
    <x v="0"/>
    <x v="1"/>
    <x v="1"/>
    <x v="0"/>
    <x v="0"/>
    <x v="0"/>
  </r>
  <r>
    <x v="32"/>
    <n v="87"/>
    <x v="1"/>
    <x v="0"/>
    <x v="1"/>
    <n v="21"/>
    <n v="214"/>
    <n v="113"/>
    <n v="36.380000000000003"/>
    <n v="180"/>
    <n v="114"/>
    <n v="15.3"/>
    <n v="134.5"/>
    <n v="82"/>
    <n v="6.05"/>
    <n v="10.6"/>
    <n v="5"/>
    <n v="2.86"/>
    <x v="3"/>
    <x v="0"/>
    <n v="539.1"/>
    <n v="60.59"/>
    <n v="314"/>
    <x v="0"/>
    <x v="1"/>
    <x v="1"/>
    <x v="0"/>
    <x v="1"/>
    <x v="0"/>
  </r>
  <r>
    <x v="23"/>
    <n v="54"/>
    <x v="2"/>
    <x v="0"/>
    <x v="0"/>
    <n v="0"/>
    <n v="210.5"/>
    <n v="102"/>
    <n v="35.79"/>
    <n v="204.5"/>
    <n v="83"/>
    <n v="17.38"/>
    <n v="127.8"/>
    <n v="53"/>
    <n v="5.75"/>
    <n v="8.5"/>
    <n v="5"/>
    <n v="2.2999999999999998"/>
    <x v="0"/>
    <x v="0"/>
    <n v="551.29999999999995"/>
    <n v="61.22"/>
    <n v="243"/>
    <x v="0"/>
    <x v="1"/>
    <x v="1"/>
    <x v="0"/>
    <x v="0"/>
    <x v="0"/>
  </r>
  <r>
    <x v="13"/>
    <n v="35"/>
    <x v="1"/>
    <x v="0"/>
    <x v="0"/>
    <n v="0"/>
    <n v="105.6"/>
    <n v="129"/>
    <n v="17.95"/>
    <n v="258.2"/>
    <n v="129"/>
    <n v="21.95"/>
    <n v="213.1"/>
    <n v="77"/>
    <n v="9.59"/>
    <n v="8.6999999999999993"/>
    <n v="3"/>
    <n v="2.35"/>
    <x v="3"/>
    <x v="0"/>
    <n v="585.6"/>
    <n v="51.84"/>
    <n v="338"/>
    <x v="0"/>
    <x v="1"/>
    <x v="2"/>
    <x v="0"/>
    <x v="0"/>
    <x v="0"/>
  </r>
  <r>
    <x v="26"/>
    <n v="84"/>
    <x v="0"/>
    <x v="0"/>
    <x v="0"/>
    <n v="0"/>
    <n v="138.6"/>
    <n v="102"/>
    <n v="23.56"/>
    <n v="199"/>
    <n v="93"/>
    <n v="16.920000000000002"/>
    <n v="204.1"/>
    <n v="137"/>
    <n v="9.18"/>
    <n v="7.8"/>
    <n v="4"/>
    <n v="2.11"/>
    <x v="3"/>
    <x v="0"/>
    <n v="549.5"/>
    <n v="51.769999999999996"/>
    <n v="336"/>
    <x v="0"/>
    <x v="1"/>
    <x v="2"/>
    <x v="0"/>
    <x v="0"/>
    <x v="0"/>
  </r>
  <r>
    <x v="25"/>
    <n v="94"/>
    <x v="1"/>
    <x v="0"/>
    <x v="0"/>
    <n v="0"/>
    <n v="234.4"/>
    <n v="103"/>
    <n v="39.85"/>
    <n v="279.3"/>
    <n v="109"/>
    <n v="23.74"/>
    <n v="234.2"/>
    <n v="121"/>
    <n v="10.54"/>
    <n v="2"/>
    <n v="2"/>
    <n v="0.54"/>
    <x v="0"/>
    <x v="1"/>
    <n v="749.90000000000009"/>
    <n v="74.669999999999987"/>
    <n v="335"/>
    <x v="0"/>
    <x v="0"/>
    <x v="0"/>
    <x v="0"/>
    <x v="0"/>
    <x v="0"/>
  </r>
  <r>
    <x v="37"/>
    <n v="96"/>
    <x v="0"/>
    <x v="0"/>
    <x v="1"/>
    <n v="26"/>
    <n v="145.80000000000001"/>
    <n v="108"/>
    <n v="24.79"/>
    <n v="192.2"/>
    <n v="89"/>
    <n v="16.34"/>
    <n v="165.1"/>
    <n v="96"/>
    <n v="7.43"/>
    <n v="9.9"/>
    <n v="2"/>
    <n v="2.67"/>
    <x v="0"/>
    <x v="0"/>
    <n v="513"/>
    <n v="51.23"/>
    <n v="295"/>
    <x v="0"/>
    <x v="2"/>
    <x v="2"/>
    <x v="0"/>
    <x v="1"/>
    <x v="0"/>
  </r>
  <r>
    <x v="38"/>
    <n v="64"/>
    <x v="1"/>
    <x v="0"/>
    <x v="0"/>
    <n v="0"/>
    <n v="97.2"/>
    <n v="80"/>
    <n v="16.52"/>
    <n v="186.2"/>
    <n v="90"/>
    <n v="15.83"/>
    <n v="189"/>
    <n v="92"/>
    <n v="8.5"/>
    <n v="10.4"/>
    <n v="6"/>
    <n v="2.81"/>
    <x v="2"/>
    <x v="0"/>
    <n v="482.79999999999995"/>
    <n v="43.66"/>
    <n v="268"/>
    <x v="2"/>
    <x v="2"/>
    <x v="2"/>
    <x v="0"/>
    <x v="0"/>
    <x v="2"/>
  </r>
  <r>
    <x v="19"/>
    <n v="85"/>
    <x v="1"/>
    <x v="0"/>
    <x v="0"/>
    <n v="0"/>
    <n v="259.8"/>
    <n v="85"/>
    <n v="44.17"/>
    <n v="242.3"/>
    <n v="117"/>
    <n v="20.6"/>
    <n v="168.8"/>
    <n v="72"/>
    <n v="7.6"/>
    <n v="5.4"/>
    <n v="1"/>
    <n v="1.46"/>
    <x v="3"/>
    <x v="0"/>
    <n v="676.30000000000007"/>
    <n v="73.83"/>
    <n v="275"/>
    <x v="0"/>
    <x v="0"/>
    <x v="0"/>
    <x v="0"/>
    <x v="0"/>
    <x v="0"/>
  </r>
  <r>
    <x v="16"/>
    <n v="117"/>
    <x v="0"/>
    <x v="0"/>
    <x v="0"/>
    <n v="0"/>
    <n v="239.9"/>
    <n v="84"/>
    <n v="40.78"/>
    <n v="174.8"/>
    <n v="106"/>
    <n v="14.86"/>
    <n v="209.5"/>
    <n v="93"/>
    <n v="9.43"/>
    <n v="9.8000000000000007"/>
    <n v="2"/>
    <n v="2.65"/>
    <x v="3"/>
    <x v="0"/>
    <n v="634"/>
    <n v="67.72"/>
    <n v="285"/>
    <x v="0"/>
    <x v="1"/>
    <x v="0"/>
    <x v="0"/>
    <x v="0"/>
    <x v="0"/>
  </r>
  <r>
    <x v="39"/>
    <n v="112"/>
    <x v="1"/>
    <x v="0"/>
    <x v="1"/>
    <n v="16"/>
    <n v="221.6"/>
    <n v="110"/>
    <n v="37.67"/>
    <n v="130.19999999999999"/>
    <n v="123"/>
    <n v="11.07"/>
    <n v="200"/>
    <n v="108"/>
    <n v="9"/>
    <n v="11.3"/>
    <n v="3"/>
    <n v="3.05"/>
    <x v="0"/>
    <x v="0"/>
    <n v="563.09999999999991"/>
    <n v="60.790000000000006"/>
    <n v="344"/>
    <x v="0"/>
    <x v="1"/>
    <x v="1"/>
    <x v="0"/>
    <x v="1"/>
    <x v="0"/>
  </r>
  <r>
    <x v="13"/>
    <n v="129"/>
    <x v="2"/>
    <x v="1"/>
    <x v="0"/>
    <n v="0"/>
    <n v="192.9"/>
    <n v="131"/>
    <n v="32.79"/>
    <n v="185.5"/>
    <n v="101"/>
    <n v="15.77"/>
    <n v="205.2"/>
    <n v="130"/>
    <n v="9.23"/>
    <n v="10.9"/>
    <n v="4"/>
    <n v="2.94"/>
    <x v="0"/>
    <x v="0"/>
    <n v="594.49999999999989"/>
    <n v="60.73"/>
    <n v="366"/>
    <x v="0"/>
    <x v="1"/>
    <x v="1"/>
    <x v="1"/>
    <x v="0"/>
    <x v="0"/>
  </r>
  <r>
    <x v="16"/>
    <n v="140"/>
    <x v="0"/>
    <x v="0"/>
    <x v="0"/>
    <n v="0"/>
    <n v="173.2"/>
    <n v="91"/>
    <n v="29.44"/>
    <n v="196.8"/>
    <n v="106"/>
    <n v="16.73"/>
    <n v="209.3"/>
    <n v="128"/>
    <n v="9.42"/>
    <n v="11.2"/>
    <n v="5"/>
    <n v="3.02"/>
    <x v="4"/>
    <x v="0"/>
    <n v="590.5"/>
    <n v="58.61"/>
    <n v="330"/>
    <x v="2"/>
    <x v="1"/>
    <x v="1"/>
    <x v="0"/>
    <x v="0"/>
    <x v="2"/>
  </r>
  <r>
    <x v="6"/>
    <n v="81"/>
    <x v="1"/>
    <x v="0"/>
    <x v="0"/>
    <n v="0"/>
    <n v="153.5"/>
    <n v="99"/>
    <n v="26.1"/>
    <n v="197.6"/>
    <n v="102"/>
    <n v="16.8"/>
    <n v="198.5"/>
    <n v="86"/>
    <n v="8.93"/>
    <n v="6.3"/>
    <n v="2"/>
    <n v="1.7"/>
    <x v="2"/>
    <x v="0"/>
    <n v="555.9"/>
    <n v="53.53"/>
    <n v="289"/>
    <x v="2"/>
    <x v="1"/>
    <x v="2"/>
    <x v="0"/>
    <x v="0"/>
    <x v="2"/>
  </r>
  <r>
    <x v="26"/>
    <n v="70"/>
    <x v="2"/>
    <x v="0"/>
    <x v="0"/>
    <n v="0"/>
    <n v="59.5"/>
    <n v="103"/>
    <n v="10.119999999999999"/>
    <n v="257.2"/>
    <n v="106"/>
    <n v="21.86"/>
    <n v="208.3"/>
    <n v="86"/>
    <n v="9.3699999999999992"/>
    <n v="11.1"/>
    <n v="6"/>
    <n v="3"/>
    <x v="3"/>
    <x v="0"/>
    <n v="536.1"/>
    <n v="44.349999999999994"/>
    <n v="301"/>
    <x v="0"/>
    <x v="1"/>
    <x v="2"/>
    <x v="0"/>
    <x v="0"/>
    <x v="0"/>
  </r>
  <r>
    <x v="7"/>
    <n v="79"/>
    <x v="2"/>
    <x v="0"/>
    <x v="1"/>
    <n v="21"/>
    <n v="264.3"/>
    <n v="79"/>
    <n v="44.93"/>
    <n v="202.8"/>
    <n v="118"/>
    <n v="17.239999999999998"/>
    <n v="173.4"/>
    <n v="92"/>
    <n v="7.8"/>
    <n v="6.3"/>
    <n v="3"/>
    <n v="1.7"/>
    <x v="1"/>
    <x v="0"/>
    <n v="646.79999999999995"/>
    <n v="71.67"/>
    <n v="292"/>
    <x v="1"/>
    <x v="1"/>
    <x v="0"/>
    <x v="0"/>
    <x v="1"/>
    <x v="1"/>
  </r>
  <r>
    <x v="22"/>
    <n v="85"/>
    <x v="0"/>
    <x v="0"/>
    <x v="0"/>
    <n v="0"/>
    <n v="127.9"/>
    <n v="107"/>
    <n v="21.74"/>
    <n v="271.2"/>
    <n v="124"/>
    <n v="23.05"/>
    <n v="202.2"/>
    <n v="76"/>
    <n v="9.1"/>
    <n v="12.5"/>
    <n v="5"/>
    <n v="3.38"/>
    <x v="3"/>
    <x v="0"/>
    <n v="613.79999999999995"/>
    <n v="57.269999999999996"/>
    <n v="312"/>
    <x v="0"/>
    <x v="1"/>
    <x v="1"/>
    <x v="0"/>
    <x v="0"/>
    <x v="0"/>
  </r>
  <r>
    <x v="32"/>
    <n v="91"/>
    <x v="2"/>
    <x v="0"/>
    <x v="0"/>
    <n v="0"/>
    <n v="149"/>
    <n v="115"/>
    <n v="25.33"/>
    <n v="245.3"/>
    <n v="105"/>
    <n v="20.85"/>
    <n v="260"/>
    <n v="94"/>
    <n v="11.7"/>
    <n v="8.3000000000000007"/>
    <n v="3"/>
    <n v="2.2400000000000002"/>
    <x v="3"/>
    <x v="0"/>
    <n v="662.59999999999991"/>
    <n v="60.12"/>
    <n v="317"/>
    <x v="0"/>
    <x v="0"/>
    <x v="1"/>
    <x v="0"/>
    <x v="0"/>
    <x v="0"/>
  </r>
  <r>
    <x v="0"/>
    <n v="149"/>
    <x v="1"/>
    <x v="0"/>
    <x v="1"/>
    <n v="20"/>
    <n v="198.9"/>
    <n v="77"/>
    <n v="33.81"/>
    <n v="274"/>
    <n v="88"/>
    <n v="23.29"/>
    <n v="190.7"/>
    <n v="76"/>
    <n v="8.58"/>
    <n v="14.3"/>
    <n v="9"/>
    <n v="3.86"/>
    <x v="0"/>
    <x v="0"/>
    <n v="677.89999999999986"/>
    <n v="69.539999999999992"/>
    <n v="250"/>
    <x v="0"/>
    <x v="0"/>
    <x v="0"/>
    <x v="0"/>
    <x v="1"/>
    <x v="0"/>
  </r>
  <r>
    <x v="16"/>
    <n v="60"/>
    <x v="1"/>
    <x v="0"/>
    <x v="0"/>
    <n v="0"/>
    <n v="98.2"/>
    <n v="88"/>
    <n v="16.690000000000001"/>
    <n v="180.5"/>
    <n v="69"/>
    <n v="15.34"/>
    <n v="223.6"/>
    <n v="69"/>
    <n v="10.06"/>
    <n v="9.3000000000000007"/>
    <n v="2"/>
    <n v="2.5099999999999998"/>
    <x v="2"/>
    <x v="0"/>
    <n v="511.59999999999997"/>
    <n v="44.6"/>
    <n v="228"/>
    <x v="2"/>
    <x v="2"/>
    <x v="2"/>
    <x v="0"/>
    <x v="0"/>
    <x v="2"/>
  </r>
  <r>
    <x v="35"/>
    <n v="115"/>
    <x v="0"/>
    <x v="0"/>
    <x v="0"/>
    <n v="0"/>
    <n v="147.9"/>
    <n v="109"/>
    <n v="25.14"/>
    <n v="228.4"/>
    <n v="117"/>
    <n v="19.41"/>
    <n v="299.7"/>
    <n v="90"/>
    <n v="13.49"/>
    <n v="9.6"/>
    <n v="9"/>
    <n v="2.59"/>
    <x v="4"/>
    <x v="0"/>
    <n v="685.6"/>
    <n v="60.629999999999995"/>
    <n v="325"/>
    <x v="2"/>
    <x v="0"/>
    <x v="1"/>
    <x v="0"/>
    <x v="0"/>
    <x v="2"/>
  </r>
  <r>
    <x v="20"/>
    <n v="144"/>
    <x v="1"/>
    <x v="0"/>
    <x v="1"/>
    <n v="18"/>
    <n v="106.4"/>
    <n v="109"/>
    <n v="18.09"/>
    <n v="108.1"/>
    <n v="113"/>
    <n v="9.19"/>
    <n v="208.4"/>
    <n v="111"/>
    <n v="9.3800000000000008"/>
    <n v="10.1"/>
    <n v="5"/>
    <n v="2.73"/>
    <x v="0"/>
    <x v="0"/>
    <n v="433"/>
    <n v="39.39"/>
    <n v="338"/>
    <x v="0"/>
    <x v="2"/>
    <x v="2"/>
    <x v="0"/>
    <x v="1"/>
    <x v="0"/>
  </r>
  <r>
    <x v="16"/>
    <n v="86"/>
    <x v="1"/>
    <x v="0"/>
    <x v="1"/>
    <n v="32"/>
    <n v="70.900000000000006"/>
    <n v="163"/>
    <n v="12.05"/>
    <n v="166.7"/>
    <n v="121"/>
    <n v="14.17"/>
    <n v="244.9"/>
    <n v="105"/>
    <n v="11.02"/>
    <n v="11.1"/>
    <n v="5"/>
    <n v="3"/>
    <x v="4"/>
    <x v="0"/>
    <n v="493.6"/>
    <n v="40.239999999999995"/>
    <n v="394"/>
    <x v="2"/>
    <x v="2"/>
    <x v="2"/>
    <x v="0"/>
    <x v="1"/>
    <x v="2"/>
  </r>
  <r>
    <x v="6"/>
    <n v="139"/>
    <x v="1"/>
    <x v="0"/>
    <x v="1"/>
    <n v="20"/>
    <n v="214.6"/>
    <n v="101"/>
    <n v="36.479999999999997"/>
    <n v="235.1"/>
    <n v="132"/>
    <n v="19.98"/>
    <n v="162.80000000000001"/>
    <n v="132"/>
    <n v="7.33"/>
    <n v="14.8"/>
    <n v="12"/>
    <n v="4"/>
    <x v="3"/>
    <x v="0"/>
    <n v="627.29999999999995"/>
    <n v="67.789999999999992"/>
    <n v="377"/>
    <x v="0"/>
    <x v="1"/>
    <x v="0"/>
    <x v="0"/>
    <x v="1"/>
    <x v="0"/>
  </r>
  <r>
    <x v="38"/>
    <n v="124"/>
    <x v="0"/>
    <x v="0"/>
    <x v="0"/>
    <n v="0"/>
    <n v="151.1"/>
    <n v="123"/>
    <n v="25.69"/>
    <n v="187.4"/>
    <n v="104"/>
    <n v="15.93"/>
    <n v="255.4"/>
    <n v="93"/>
    <n v="11.49"/>
    <n v="5.3"/>
    <n v="3"/>
    <n v="1.43"/>
    <x v="0"/>
    <x v="0"/>
    <n v="599.19999999999993"/>
    <n v="54.540000000000006"/>
    <n v="323"/>
    <x v="0"/>
    <x v="1"/>
    <x v="1"/>
    <x v="0"/>
    <x v="0"/>
    <x v="0"/>
  </r>
  <r>
    <x v="13"/>
    <n v="102"/>
    <x v="2"/>
    <x v="1"/>
    <x v="0"/>
    <n v="0"/>
    <n v="233.8"/>
    <n v="103"/>
    <n v="39.75"/>
    <n v="221.6"/>
    <n v="131"/>
    <n v="18.84"/>
    <n v="146.9"/>
    <n v="106"/>
    <n v="6.61"/>
    <n v="12.8"/>
    <n v="3"/>
    <n v="3.46"/>
    <x v="3"/>
    <x v="0"/>
    <n v="615.09999999999991"/>
    <n v="68.66"/>
    <n v="343"/>
    <x v="0"/>
    <x v="1"/>
    <x v="0"/>
    <x v="1"/>
    <x v="0"/>
    <x v="0"/>
  </r>
  <r>
    <x v="1"/>
    <n v="78"/>
    <x v="1"/>
    <x v="0"/>
    <x v="0"/>
    <n v="0"/>
    <n v="208.9"/>
    <n v="119"/>
    <n v="35.51"/>
    <n v="252.4"/>
    <n v="132"/>
    <n v="21.45"/>
    <n v="280.2"/>
    <n v="120"/>
    <n v="12.61"/>
    <n v="12.8"/>
    <n v="7"/>
    <n v="3.46"/>
    <x v="3"/>
    <x v="0"/>
    <n v="754.3"/>
    <n v="73.03"/>
    <n v="378"/>
    <x v="0"/>
    <x v="0"/>
    <x v="0"/>
    <x v="0"/>
    <x v="0"/>
    <x v="0"/>
  </r>
  <r>
    <x v="22"/>
    <n v="55"/>
    <x v="1"/>
    <x v="1"/>
    <x v="0"/>
    <n v="0"/>
    <n v="191.9"/>
    <n v="91"/>
    <n v="32.619999999999997"/>
    <n v="256.10000000000002"/>
    <n v="110"/>
    <n v="21.77"/>
    <n v="203.7"/>
    <n v="101"/>
    <n v="9.17"/>
    <n v="14.3"/>
    <n v="6"/>
    <n v="3.86"/>
    <x v="0"/>
    <x v="1"/>
    <n v="666"/>
    <n v="67.419999999999987"/>
    <n v="308"/>
    <x v="0"/>
    <x v="0"/>
    <x v="0"/>
    <x v="1"/>
    <x v="0"/>
    <x v="0"/>
  </r>
  <r>
    <x v="35"/>
    <n v="129"/>
    <x v="1"/>
    <x v="0"/>
    <x v="1"/>
    <n v="33"/>
    <n v="119.6"/>
    <n v="104"/>
    <n v="20.329999999999998"/>
    <n v="278.7"/>
    <n v="88"/>
    <n v="23.69"/>
    <n v="263.39999999999998"/>
    <n v="175"/>
    <n v="11.85"/>
    <n v="5.9"/>
    <n v="2"/>
    <n v="1.59"/>
    <x v="2"/>
    <x v="0"/>
    <n v="667.59999999999991"/>
    <n v="57.46"/>
    <n v="369"/>
    <x v="2"/>
    <x v="0"/>
    <x v="1"/>
    <x v="0"/>
    <x v="1"/>
    <x v="2"/>
  </r>
  <r>
    <x v="40"/>
    <n v="75"/>
    <x v="0"/>
    <x v="1"/>
    <x v="0"/>
    <n v="0"/>
    <n v="211.3"/>
    <n v="61"/>
    <n v="35.92"/>
    <n v="105.6"/>
    <n v="119"/>
    <n v="8.98"/>
    <n v="175.9"/>
    <n v="63"/>
    <n v="7.92"/>
    <n v="9.6999999999999993"/>
    <n v="4"/>
    <n v="2.62"/>
    <x v="1"/>
    <x v="1"/>
    <n v="502.49999999999994"/>
    <n v="55.44"/>
    <n v="247"/>
    <x v="1"/>
    <x v="2"/>
    <x v="1"/>
    <x v="1"/>
    <x v="0"/>
    <x v="0"/>
  </r>
  <r>
    <x v="32"/>
    <n v="126"/>
    <x v="1"/>
    <x v="0"/>
    <x v="1"/>
    <n v="23"/>
    <n v="114.3"/>
    <n v="102"/>
    <n v="19.43"/>
    <n v="190.3"/>
    <n v="103"/>
    <n v="16.18"/>
    <n v="240.4"/>
    <n v="111"/>
    <n v="10.82"/>
    <n v="12.6"/>
    <n v="7"/>
    <n v="3.4"/>
    <x v="4"/>
    <x v="0"/>
    <n v="557.6"/>
    <n v="49.83"/>
    <n v="323"/>
    <x v="2"/>
    <x v="1"/>
    <x v="2"/>
    <x v="0"/>
    <x v="1"/>
    <x v="2"/>
  </r>
  <r>
    <x v="21"/>
    <n v="92"/>
    <x v="1"/>
    <x v="0"/>
    <x v="0"/>
    <n v="0"/>
    <n v="154"/>
    <n v="122"/>
    <n v="26.18"/>
    <n v="329.8"/>
    <n v="88"/>
    <n v="28.03"/>
    <n v="288"/>
    <n v="117"/>
    <n v="12.96"/>
    <n v="5.6"/>
    <n v="2"/>
    <n v="1.51"/>
    <x v="4"/>
    <x v="1"/>
    <n v="777.4"/>
    <n v="68.680000000000007"/>
    <n v="329"/>
    <x v="2"/>
    <x v="0"/>
    <x v="0"/>
    <x v="0"/>
    <x v="0"/>
    <x v="2"/>
  </r>
  <r>
    <x v="33"/>
    <n v="52"/>
    <x v="0"/>
    <x v="0"/>
    <x v="0"/>
    <n v="0"/>
    <n v="214.7"/>
    <n v="68"/>
    <n v="36.5"/>
    <n v="158.6"/>
    <n v="138"/>
    <n v="13.48"/>
    <n v="123.4"/>
    <n v="114"/>
    <n v="5.55"/>
    <n v="9.4"/>
    <n v="4"/>
    <n v="2.54"/>
    <x v="2"/>
    <x v="0"/>
    <n v="506.09999999999991"/>
    <n v="58.07"/>
    <n v="324"/>
    <x v="2"/>
    <x v="2"/>
    <x v="1"/>
    <x v="0"/>
    <x v="0"/>
    <x v="2"/>
  </r>
  <r>
    <x v="41"/>
    <n v="87"/>
    <x v="2"/>
    <x v="0"/>
    <x v="0"/>
    <n v="0"/>
    <n v="231.3"/>
    <n v="105"/>
    <n v="39.32"/>
    <n v="171.7"/>
    <n v="108"/>
    <n v="14.59"/>
    <n v="67.7"/>
    <n v="136"/>
    <n v="3.05"/>
    <n v="13"/>
    <n v="6"/>
    <n v="3.51"/>
    <x v="0"/>
    <x v="0"/>
    <n v="483.7"/>
    <n v="60.47"/>
    <n v="355"/>
    <x v="0"/>
    <x v="2"/>
    <x v="1"/>
    <x v="0"/>
    <x v="0"/>
    <x v="0"/>
  </r>
  <r>
    <x v="42"/>
    <n v="95"/>
    <x v="1"/>
    <x v="0"/>
    <x v="1"/>
    <n v="22"/>
    <n v="40.9"/>
    <n v="126"/>
    <n v="6.95"/>
    <n v="133.4"/>
    <n v="90"/>
    <n v="11.34"/>
    <n v="264.2"/>
    <n v="91"/>
    <n v="11.89"/>
    <n v="11.9"/>
    <n v="7"/>
    <n v="3.21"/>
    <x v="3"/>
    <x v="0"/>
    <n v="450.4"/>
    <n v="33.39"/>
    <n v="314"/>
    <x v="0"/>
    <x v="2"/>
    <x v="2"/>
    <x v="0"/>
    <x v="1"/>
    <x v="0"/>
  </r>
  <r>
    <x v="0"/>
    <n v="67"/>
    <x v="2"/>
    <x v="0"/>
    <x v="0"/>
    <n v="0"/>
    <n v="310.39999999999998"/>
    <n v="97"/>
    <n v="52.77"/>
    <n v="66.5"/>
    <n v="123"/>
    <n v="5.65"/>
    <n v="246.5"/>
    <n v="99"/>
    <n v="11.09"/>
    <n v="9.1999999999999993"/>
    <n v="10"/>
    <n v="2.48"/>
    <x v="1"/>
    <x v="0"/>
    <n v="632.6"/>
    <n v="71.990000000000009"/>
    <n v="329"/>
    <x v="1"/>
    <x v="1"/>
    <x v="0"/>
    <x v="0"/>
    <x v="0"/>
    <x v="1"/>
  </r>
  <r>
    <x v="25"/>
    <n v="165"/>
    <x v="1"/>
    <x v="0"/>
    <x v="0"/>
    <n v="0"/>
    <n v="216.6"/>
    <n v="126"/>
    <n v="36.82"/>
    <n v="190.8"/>
    <n v="104"/>
    <n v="16.22"/>
    <n v="224.7"/>
    <n v="123"/>
    <n v="10.11"/>
    <n v="12.4"/>
    <n v="8"/>
    <n v="3.35"/>
    <x v="3"/>
    <x v="0"/>
    <n v="644.49999999999989"/>
    <n v="66.5"/>
    <n v="361"/>
    <x v="0"/>
    <x v="1"/>
    <x v="0"/>
    <x v="0"/>
    <x v="0"/>
    <x v="0"/>
  </r>
  <r>
    <x v="35"/>
    <n v="150"/>
    <x v="1"/>
    <x v="0"/>
    <x v="1"/>
    <n v="29"/>
    <n v="209.9"/>
    <n v="77"/>
    <n v="35.68"/>
    <n v="158"/>
    <n v="52"/>
    <n v="13.43"/>
    <n v="141.9"/>
    <n v="113"/>
    <n v="6.39"/>
    <n v="6.6"/>
    <n v="1"/>
    <n v="1.78"/>
    <x v="3"/>
    <x v="0"/>
    <n v="516.4"/>
    <n v="57.28"/>
    <n v="243"/>
    <x v="0"/>
    <x v="2"/>
    <x v="1"/>
    <x v="0"/>
    <x v="1"/>
    <x v="0"/>
  </r>
  <r>
    <x v="31"/>
    <n v="26"/>
    <x v="1"/>
    <x v="0"/>
    <x v="0"/>
    <n v="0"/>
    <n v="234.5"/>
    <n v="109"/>
    <n v="39.869999999999997"/>
    <n v="216.5"/>
    <n v="129"/>
    <n v="18.399999999999999"/>
    <n v="191.6"/>
    <n v="94"/>
    <n v="8.6199999999999992"/>
    <n v="3.5"/>
    <n v="6"/>
    <n v="0.95"/>
    <x v="4"/>
    <x v="0"/>
    <n v="646.1"/>
    <n v="67.84"/>
    <n v="338"/>
    <x v="2"/>
    <x v="1"/>
    <x v="0"/>
    <x v="0"/>
    <x v="0"/>
    <x v="2"/>
  </r>
  <r>
    <x v="43"/>
    <n v="79"/>
    <x v="2"/>
    <x v="0"/>
    <x v="1"/>
    <n v="31"/>
    <n v="103.1"/>
    <n v="90"/>
    <n v="17.53"/>
    <n v="243"/>
    <n v="135"/>
    <n v="20.66"/>
    <n v="76.400000000000006"/>
    <n v="92"/>
    <n v="3.44"/>
    <n v="12.2"/>
    <n v="8"/>
    <n v="3.29"/>
    <x v="4"/>
    <x v="0"/>
    <n v="434.7"/>
    <n v="44.92"/>
    <n v="325"/>
    <x v="2"/>
    <x v="2"/>
    <x v="2"/>
    <x v="0"/>
    <x v="1"/>
    <x v="2"/>
  </r>
  <r>
    <x v="9"/>
    <n v="69"/>
    <x v="2"/>
    <x v="1"/>
    <x v="0"/>
    <n v="0"/>
    <n v="279.8"/>
    <n v="90"/>
    <n v="47.57"/>
    <n v="248.7"/>
    <n v="91"/>
    <n v="21.14"/>
    <n v="171"/>
    <n v="118"/>
    <n v="7.69"/>
    <n v="8.4"/>
    <n v="10"/>
    <n v="2.27"/>
    <x v="2"/>
    <x v="1"/>
    <n v="707.9"/>
    <n v="78.67"/>
    <n v="309"/>
    <x v="2"/>
    <x v="0"/>
    <x v="0"/>
    <x v="1"/>
    <x v="0"/>
    <x v="2"/>
  </r>
  <r>
    <x v="11"/>
    <n v="95"/>
    <x v="2"/>
    <x v="1"/>
    <x v="1"/>
    <n v="41"/>
    <n v="136.80000000000001"/>
    <n v="91"/>
    <n v="23.26"/>
    <n v="200.8"/>
    <n v="61"/>
    <n v="17.07"/>
    <n v="133.69999999999999"/>
    <n v="67"/>
    <n v="6.02"/>
    <n v="10.3"/>
    <n v="9"/>
    <n v="2.78"/>
    <x v="5"/>
    <x v="1"/>
    <n v="481.6"/>
    <n v="49.129999999999995"/>
    <n v="228"/>
    <x v="1"/>
    <x v="2"/>
    <x v="2"/>
    <x v="1"/>
    <x v="1"/>
    <x v="0"/>
  </r>
  <r>
    <x v="2"/>
    <n v="157"/>
    <x v="1"/>
    <x v="0"/>
    <x v="0"/>
    <n v="0"/>
    <n v="224.5"/>
    <n v="111"/>
    <n v="38.17"/>
    <n v="200.7"/>
    <n v="99"/>
    <n v="17.059999999999999"/>
    <n v="116.6"/>
    <n v="118"/>
    <n v="5.25"/>
    <n v="11.5"/>
    <n v="2"/>
    <n v="3.11"/>
    <x v="2"/>
    <x v="0"/>
    <n v="553.29999999999995"/>
    <n v="63.59"/>
    <n v="330"/>
    <x v="2"/>
    <x v="1"/>
    <x v="1"/>
    <x v="0"/>
    <x v="0"/>
    <x v="2"/>
  </r>
  <r>
    <x v="11"/>
    <n v="80"/>
    <x v="1"/>
    <x v="0"/>
    <x v="0"/>
    <n v="0"/>
    <n v="160.6"/>
    <n v="103"/>
    <n v="27.3"/>
    <n v="237"/>
    <n v="109"/>
    <n v="20.149999999999999"/>
    <n v="245.1"/>
    <n v="88"/>
    <n v="11.03"/>
    <n v="10.7"/>
    <n v="1"/>
    <n v="2.89"/>
    <x v="0"/>
    <x v="0"/>
    <n v="653.40000000000009"/>
    <n v="61.370000000000005"/>
    <n v="301"/>
    <x v="0"/>
    <x v="1"/>
    <x v="1"/>
    <x v="0"/>
    <x v="0"/>
    <x v="0"/>
  </r>
  <r>
    <x v="16"/>
    <n v="75"/>
    <x v="2"/>
    <x v="0"/>
    <x v="1"/>
    <n v="37"/>
    <n v="121.5"/>
    <n v="97"/>
    <n v="20.66"/>
    <n v="271.39999999999998"/>
    <n v="110"/>
    <n v="23.07"/>
    <n v="248.7"/>
    <n v="97"/>
    <n v="11.19"/>
    <n v="11.3"/>
    <n v="5"/>
    <n v="3.05"/>
    <x v="2"/>
    <x v="0"/>
    <n v="652.89999999999986"/>
    <n v="57.97"/>
    <n v="309"/>
    <x v="2"/>
    <x v="1"/>
    <x v="1"/>
    <x v="0"/>
    <x v="1"/>
    <x v="2"/>
  </r>
  <r>
    <x v="44"/>
    <n v="44"/>
    <x v="2"/>
    <x v="0"/>
    <x v="0"/>
    <n v="0"/>
    <n v="228.1"/>
    <n v="121"/>
    <n v="38.78"/>
    <n v="276.5"/>
    <n v="79"/>
    <n v="23.5"/>
    <n v="279.8"/>
    <n v="77"/>
    <n v="12.59"/>
    <n v="9.9"/>
    <n v="5"/>
    <n v="2.67"/>
    <x v="2"/>
    <x v="1"/>
    <n v="794.30000000000007"/>
    <n v="77.539999999999992"/>
    <n v="282"/>
    <x v="2"/>
    <x v="0"/>
    <x v="0"/>
    <x v="0"/>
    <x v="0"/>
    <x v="2"/>
  </r>
  <r>
    <x v="33"/>
    <n v="101"/>
    <x v="0"/>
    <x v="0"/>
    <x v="0"/>
    <n v="0"/>
    <n v="89.7"/>
    <n v="118"/>
    <n v="15.25"/>
    <n v="260.10000000000002"/>
    <n v="79"/>
    <n v="22.11"/>
    <n v="170.1"/>
    <n v="93"/>
    <n v="7.65"/>
    <n v="13.5"/>
    <n v="11"/>
    <n v="3.65"/>
    <x v="5"/>
    <x v="1"/>
    <n v="533.4"/>
    <n v="48.66"/>
    <n v="301"/>
    <x v="1"/>
    <x v="2"/>
    <x v="2"/>
    <x v="0"/>
    <x v="0"/>
    <x v="1"/>
  </r>
  <r>
    <x v="9"/>
    <n v="117"/>
    <x v="0"/>
    <x v="0"/>
    <x v="1"/>
    <n v="14"/>
    <n v="80.2"/>
    <n v="81"/>
    <n v="13.63"/>
    <n v="219"/>
    <n v="103"/>
    <n v="18.62"/>
    <n v="122.6"/>
    <n v="102"/>
    <n v="5.52"/>
    <n v="8.6"/>
    <n v="2"/>
    <n v="2.3199999999999998"/>
    <x v="0"/>
    <x v="0"/>
    <n v="430.4"/>
    <n v="40.090000000000003"/>
    <n v="288"/>
    <x v="0"/>
    <x v="2"/>
    <x v="2"/>
    <x v="0"/>
    <x v="1"/>
    <x v="0"/>
  </r>
  <r>
    <x v="45"/>
    <n v="82"/>
    <x v="0"/>
    <x v="0"/>
    <x v="0"/>
    <n v="0"/>
    <n v="125.7"/>
    <n v="96"/>
    <n v="21.37"/>
    <n v="207.6"/>
    <n v="137"/>
    <n v="17.649999999999999"/>
    <n v="183.1"/>
    <n v="103"/>
    <n v="8.24"/>
    <n v="12.9"/>
    <n v="2"/>
    <n v="3.48"/>
    <x v="0"/>
    <x v="0"/>
    <n v="529.29999999999995"/>
    <n v="50.739999999999995"/>
    <n v="338"/>
    <x v="0"/>
    <x v="2"/>
    <x v="2"/>
    <x v="0"/>
    <x v="0"/>
    <x v="0"/>
  </r>
  <r>
    <x v="2"/>
    <n v="39"/>
    <x v="0"/>
    <x v="0"/>
    <x v="0"/>
    <n v="0"/>
    <n v="160.4"/>
    <n v="68"/>
    <n v="27.27"/>
    <n v="102.6"/>
    <n v="103"/>
    <n v="8.7200000000000006"/>
    <n v="235.3"/>
    <n v="106"/>
    <n v="10.59"/>
    <n v="9.1"/>
    <n v="5"/>
    <n v="2.46"/>
    <x v="2"/>
    <x v="0"/>
    <n v="507.40000000000003"/>
    <n v="49.040000000000006"/>
    <n v="282"/>
    <x v="2"/>
    <x v="2"/>
    <x v="2"/>
    <x v="0"/>
    <x v="0"/>
    <x v="2"/>
  </r>
  <r>
    <x v="24"/>
    <n v="30"/>
    <x v="1"/>
    <x v="0"/>
    <x v="0"/>
    <n v="0"/>
    <n v="169.9"/>
    <n v="144"/>
    <n v="28.88"/>
    <n v="225.2"/>
    <n v="118"/>
    <n v="19.14"/>
    <n v="169.7"/>
    <n v="93"/>
    <n v="7.64"/>
    <n v="11.4"/>
    <n v="7"/>
    <n v="3.08"/>
    <x v="0"/>
    <x v="0"/>
    <n v="576.19999999999993"/>
    <n v="58.739999999999995"/>
    <n v="362"/>
    <x v="0"/>
    <x v="1"/>
    <x v="1"/>
    <x v="0"/>
    <x v="0"/>
    <x v="0"/>
  </r>
  <r>
    <x v="31"/>
    <n v="63"/>
    <x v="1"/>
    <x v="0"/>
    <x v="1"/>
    <n v="29"/>
    <n v="142.30000000000001"/>
    <n v="107"/>
    <n v="24.19"/>
    <n v="118.7"/>
    <n v="56"/>
    <n v="10.09"/>
    <n v="240.1"/>
    <n v="91"/>
    <n v="10.8"/>
    <n v="6.6"/>
    <n v="8"/>
    <n v="1.78"/>
    <x v="0"/>
    <x v="0"/>
    <n v="507.70000000000005"/>
    <n v="46.86"/>
    <n v="262"/>
    <x v="0"/>
    <x v="2"/>
    <x v="2"/>
    <x v="0"/>
    <x v="1"/>
    <x v="0"/>
  </r>
  <r>
    <x v="28"/>
    <n v="111"/>
    <x v="1"/>
    <x v="0"/>
    <x v="0"/>
    <n v="0"/>
    <n v="146.19999999999999"/>
    <n v="55"/>
    <n v="24.85"/>
    <n v="261.5"/>
    <n v="83"/>
    <n v="22.23"/>
    <n v="163.19999999999999"/>
    <n v="116"/>
    <n v="7.34"/>
    <n v="8.6999999999999993"/>
    <n v="3"/>
    <n v="2.35"/>
    <x v="4"/>
    <x v="0"/>
    <n v="579.6"/>
    <n v="56.77"/>
    <n v="257"/>
    <x v="2"/>
    <x v="1"/>
    <x v="1"/>
    <x v="0"/>
    <x v="0"/>
    <x v="2"/>
  </r>
  <r>
    <x v="45"/>
    <n v="91"/>
    <x v="2"/>
    <x v="0"/>
    <x v="0"/>
    <n v="0"/>
    <n v="231.8"/>
    <n v="120"/>
    <n v="39.409999999999997"/>
    <n v="150.6"/>
    <n v="106"/>
    <n v="12.8"/>
    <n v="269.2"/>
    <n v="129"/>
    <n v="12.11"/>
    <n v="11.6"/>
    <n v="7"/>
    <n v="3.13"/>
    <x v="4"/>
    <x v="0"/>
    <n v="663.19999999999993"/>
    <n v="67.449999999999989"/>
    <n v="362"/>
    <x v="2"/>
    <x v="0"/>
    <x v="0"/>
    <x v="0"/>
    <x v="0"/>
    <x v="2"/>
  </r>
  <r>
    <x v="38"/>
    <n v="105"/>
    <x v="1"/>
    <x v="1"/>
    <x v="1"/>
    <n v="29"/>
    <n v="220.7"/>
    <n v="82"/>
    <n v="37.520000000000003"/>
    <n v="217.7"/>
    <n v="110"/>
    <n v="18.5"/>
    <n v="190.5"/>
    <n v="100"/>
    <n v="8.57"/>
    <n v="13.2"/>
    <n v="6"/>
    <n v="3.56"/>
    <x v="0"/>
    <x v="1"/>
    <n v="642.1"/>
    <n v="68.150000000000006"/>
    <n v="298"/>
    <x v="0"/>
    <x v="1"/>
    <x v="0"/>
    <x v="1"/>
    <x v="1"/>
    <x v="0"/>
  </r>
  <r>
    <x v="18"/>
    <n v="166"/>
    <x v="0"/>
    <x v="1"/>
    <x v="1"/>
    <n v="35"/>
    <n v="128.19999999999999"/>
    <n v="138"/>
    <n v="21.79"/>
    <n v="274.5"/>
    <n v="113"/>
    <n v="23.33"/>
    <n v="298.89999999999998"/>
    <n v="130"/>
    <n v="13.45"/>
    <n v="8.8000000000000007"/>
    <n v="7"/>
    <n v="2.38"/>
    <x v="2"/>
    <x v="0"/>
    <n v="710.39999999999986"/>
    <n v="60.949999999999996"/>
    <n v="388"/>
    <x v="2"/>
    <x v="0"/>
    <x v="1"/>
    <x v="1"/>
    <x v="1"/>
    <x v="2"/>
  </r>
  <r>
    <x v="29"/>
    <n v="79"/>
    <x v="2"/>
    <x v="0"/>
    <x v="0"/>
    <n v="0"/>
    <n v="130.19999999999999"/>
    <n v="119"/>
    <n v="22.13"/>
    <n v="290.89999999999998"/>
    <n v="121"/>
    <n v="24.73"/>
    <n v="194.8"/>
    <n v="140"/>
    <n v="8.77"/>
    <n v="14"/>
    <n v="6"/>
    <n v="3.78"/>
    <x v="4"/>
    <x v="0"/>
    <n v="629.9"/>
    <n v="59.41"/>
    <n v="386"/>
    <x v="2"/>
    <x v="1"/>
    <x v="1"/>
    <x v="0"/>
    <x v="0"/>
    <x v="2"/>
  </r>
  <r>
    <x v="40"/>
    <n v="105"/>
    <x v="0"/>
    <x v="0"/>
    <x v="1"/>
    <n v="33"/>
    <n v="209.6"/>
    <n v="68"/>
    <n v="35.630000000000003"/>
    <n v="146.9"/>
    <n v="140"/>
    <n v="12.49"/>
    <n v="121"/>
    <n v="131"/>
    <n v="5.44"/>
    <n v="10.6"/>
    <n v="3"/>
    <n v="2.86"/>
    <x v="2"/>
    <x v="0"/>
    <n v="488.1"/>
    <n v="56.42"/>
    <n v="342"/>
    <x v="2"/>
    <x v="2"/>
    <x v="1"/>
    <x v="0"/>
    <x v="1"/>
    <x v="2"/>
  </r>
  <r>
    <x v="0"/>
    <n v="172"/>
    <x v="1"/>
    <x v="0"/>
    <x v="0"/>
    <n v="0"/>
    <n v="215.7"/>
    <n v="140"/>
    <n v="36.67"/>
    <n v="146.30000000000001"/>
    <n v="84"/>
    <n v="12.44"/>
    <n v="264.60000000000002"/>
    <n v="83"/>
    <n v="11.91"/>
    <n v="7.1"/>
    <n v="1"/>
    <n v="1.92"/>
    <x v="4"/>
    <x v="0"/>
    <n v="633.70000000000005"/>
    <n v="62.94"/>
    <n v="308"/>
    <x v="2"/>
    <x v="1"/>
    <x v="1"/>
    <x v="0"/>
    <x v="0"/>
    <x v="2"/>
  </r>
  <r>
    <x v="30"/>
    <n v="121"/>
    <x v="0"/>
    <x v="0"/>
    <x v="0"/>
    <n v="0"/>
    <n v="150.69999999999999"/>
    <n v="105"/>
    <n v="25.62"/>
    <n v="197.3"/>
    <n v="133"/>
    <n v="16.77"/>
    <n v="169"/>
    <n v="116"/>
    <n v="7.61"/>
    <n v="9.1999999999999993"/>
    <n v="15"/>
    <n v="2.48"/>
    <x v="0"/>
    <x v="0"/>
    <n v="526.20000000000005"/>
    <n v="52.480000000000004"/>
    <n v="369"/>
    <x v="0"/>
    <x v="2"/>
    <x v="2"/>
    <x v="0"/>
    <x v="0"/>
    <x v="0"/>
  </r>
  <r>
    <x v="46"/>
    <n v="88"/>
    <x v="1"/>
    <x v="0"/>
    <x v="0"/>
    <n v="0"/>
    <n v="161.5"/>
    <n v="92"/>
    <n v="27.46"/>
    <n v="173.5"/>
    <n v="108"/>
    <n v="14.75"/>
    <n v="206.2"/>
    <n v="95"/>
    <n v="9.2799999999999994"/>
    <n v="7.9"/>
    <n v="4"/>
    <n v="2.13"/>
    <x v="2"/>
    <x v="0"/>
    <n v="549.1"/>
    <n v="53.620000000000005"/>
    <n v="299"/>
    <x v="2"/>
    <x v="1"/>
    <x v="2"/>
    <x v="0"/>
    <x v="0"/>
    <x v="2"/>
  </r>
  <r>
    <x v="44"/>
    <n v="153"/>
    <x v="0"/>
    <x v="0"/>
    <x v="1"/>
    <n v="28"/>
    <n v="235.6"/>
    <n v="74"/>
    <n v="40.049999999999997"/>
    <n v="227.9"/>
    <n v="37"/>
    <n v="19.37"/>
    <n v="170.3"/>
    <n v="103"/>
    <n v="7.66"/>
    <n v="15.4"/>
    <n v="9"/>
    <n v="4.16"/>
    <x v="3"/>
    <x v="0"/>
    <n v="649.19999999999993"/>
    <n v="71.239999999999995"/>
    <n v="223"/>
    <x v="0"/>
    <x v="1"/>
    <x v="0"/>
    <x v="0"/>
    <x v="1"/>
    <x v="0"/>
  </r>
  <r>
    <x v="47"/>
    <n v="54"/>
    <x v="1"/>
    <x v="0"/>
    <x v="1"/>
    <n v="39"/>
    <n v="206.9"/>
    <n v="143"/>
    <n v="35.17"/>
    <n v="127.8"/>
    <n v="72"/>
    <n v="10.86"/>
    <n v="199.2"/>
    <n v="120"/>
    <n v="8.9600000000000009"/>
    <n v="9.1999999999999993"/>
    <n v="1"/>
    <n v="2.48"/>
    <x v="4"/>
    <x v="0"/>
    <n v="543.1"/>
    <n v="57.47"/>
    <n v="336"/>
    <x v="2"/>
    <x v="1"/>
    <x v="1"/>
    <x v="0"/>
    <x v="1"/>
    <x v="2"/>
  </r>
  <r>
    <x v="17"/>
    <n v="79"/>
    <x v="2"/>
    <x v="0"/>
    <x v="0"/>
    <n v="0"/>
    <n v="157.6"/>
    <n v="85"/>
    <n v="26.79"/>
    <n v="194.1"/>
    <n v="92"/>
    <n v="16.5"/>
    <n v="231.5"/>
    <n v="86"/>
    <n v="10.42"/>
    <n v="9.4"/>
    <n v="10"/>
    <n v="2.54"/>
    <x v="5"/>
    <x v="1"/>
    <n v="592.6"/>
    <n v="56.25"/>
    <n v="273"/>
    <x v="1"/>
    <x v="1"/>
    <x v="1"/>
    <x v="0"/>
    <x v="0"/>
    <x v="1"/>
  </r>
  <r>
    <x v="10"/>
    <n v="55"/>
    <x v="1"/>
    <x v="0"/>
    <x v="0"/>
    <n v="0"/>
    <n v="175.6"/>
    <n v="147"/>
    <n v="29.85"/>
    <n v="161.80000000000001"/>
    <n v="118"/>
    <n v="13.75"/>
    <n v="289.5"/>
    <n v="55"/>
    <n v="13.03"/>
    <n v="9.3000000000000007"/>
    <n v="4"/>
    <n v="2.5099999999999998"/>
    <x v="3"/>
    <x v="0"/>
    <n v="636.19999999999993"/>
    <n v="59.14"/>
    <n v="324"/>
    <x v="0"/>
    <x v="1"/>
    <x v="1"/>
    <x v="0"/>
    <x v="0"/>
    <x v="0"/>
  </r>
  <r>
    <x v="12"/>
    <n v="109"/>
    <x v="0"/>
    <x v="0"/>
    <x v="0"/>
    <n v="0"/>
    <n v="264.7"/>
    <n v="69"/>
    <n v="45"/>
    <n v="305"/>
    <n v="120"/>
    <n v="25.93"/>
    <n v="197.4"/>
    <n v="86"/>
    <n v="8.8800000000000008"/>
    <n v="9.5"/>
    <n v="9"/>
    <n v="2.57"/>
    <x v="0"/>
    <x v="1"/>
    <n v="776.6"/>
    <n v="82.38"/>
    <n v="284"/>
    <x v="0"/>
    <x v="0"/>
    <x v="0"/>
    <x v="0"/>
    <x v="0"/>
    <x v="0"/>
  </r>
  <r>
    <x v="32"/>
    <n v="65"/>
    <x v="0"/>
    <x v="0"/>
    <x v="1"/>
    <n v="31"/>
    <n v="282.3"/>
    <n v="70"/>
    <n v="47.99"/>
    <n v="152"/>
    <n v="89"/>
    <n v="12.92"/>
    <n v="225.5"/>
    <n v="93"/>
    <n v="10.15"/>
    <n v="12"/>
    <n v="4"/>
    <n v="3.24"/>
    <x v="0"/>
    <x v="0"/>
    <n v="671.8"/>
    <n v="74.300000000000011"/>
    <n v="256"/>
    <x v="0"/>
    <x v="0"/>
    <x v="0"/>
    <x v="0"/>
    <x v="1"/>
    <x v="0"/>
  </r>
  <r>
    <x v="12"/>
    <n v="27"/>
    <x v="2"/>
    <x v="0"/>
    <x v="0"/>
    <n v="0"/>
    <n v="193.8"/>
    <n v="102"/>
    <n v="32.950000000000003"/>
    <n v="118.9"/>
    <n v="104"/>
    <n v="10.11"/>
    <n v="135.9"/>
    <n v="124"/>
    <n v="6.12"/>
    <n v="9.1999999999999993"/>
    <n v="3"/>
    <n v="2.48"/>
    <x v="3"/>
    <x v="0"/>
    <n v="457.8"/>
    <n v="51.660000000000004"/>
    <n v="333"/>
    <x v="0"/>
    <x v="2"/>
    <x v="2"/>
    <x v="0"/>
    <x v="0"/>
    <x v="0"/>
  </r>
  <r>
    <x v="44"/>
    <n v="32"/>
    <x v="0"/>
    <x v="0"/>
    <x v="1"/>
    <n v="26"/>
    <n v="266.7"/>
    <n v="109"/>
    <n v="45.34"/>
    <n v="232.3"/>
    <n v="107"/>
    <n v="19.75"/>
    <n v="212.8"/>
    <n v="98"/>
    <n v="9.58"/>
    <n v="16.3"/>
    <n v="4"/>
    <n v="4.4000000000000004"/>
    <x v="0"/>
    <x v="0"/>
    <n v="728.09999999999991"/>
    <n v="79.070000000000007"/>
    <n v="318"/>
    <x v="0"/>
    <x v="0"/>
    <x v="0"/>
    <x v="0"/>
    <x v="1"/>
    <x v="0"/>
  </r>
  <r>
    <x v="34"/>
    <n v="3"/>
    <x v="1"/>
    <x v="0"/>
    <x v="1"/>
    <n v="36"/>
    <n v="118.1"/>
    <n v="117"/>
    <n v="20.079999999999998"/>
    <n v="221.5"/>
    <n v="125"/>
    <n v="18.829999999999998"/>
    <n v="103.9"/>
    <n v="89"/>
    <n v="4.68"/>
    <n v="11.9"/>
    <n v="6"/>
    <n v="3.21"/>
    <x v="2"/>
    <x v="0"/>
    <n v="455.4"/>
    <n v="46.8"/>
    <n v="337"/>
    <x v="2"/>
    <x v="2"/>
    <x v="2"/>
    <x v="0"/>
    <x v="1"/>
    <x v="2"/>
  </r>
  <r>
    <x v="36"/>
    <n v="119"/>
    <x v="1"/>
    <x v="0"/>
    <x v="0"/>
    <n v="0"/>
    <n v="176.8"/>
    <n v="90"/>
    <n v="30.06"/>
    <n v="224.7"/>
    <n v="81"/>
    <n v="19.100000000000001"/>
    <n v="204.6"/>
    <n v="77"/>
    <n v="9.2100000000000009"/>
    <n v="7.5"/>
    <n v="15"/>
    <n v="2.0299999999999998"/>
    <x v="0"/>
    <x v="0"/>
    <n v="613.6"/>
    <n v="60.400000000000006"/>
    <n v="263"/>
    <x v="0"/>
    <x v="1"/>
    <x v="1"/>
    <x v="0"/>
    <x v="0"/>
    <x v="0"/>
  </r>
  <r>
    <x v="0"/>
    <n v="43"/>
    <x v="1"/>
    <x v="0"/>
    <x v="0"/>
    <n v="0"/>
    <n v="241.9"/>
    <n v="101"/>
    <n v="41.12"/>
    <n v="129.4"/>
    <n v="121"/>
    <n v="11"/>
    <n v="264.8"/>
    <n v="104"/>
    <n v="11.92"/>
    <n v="5.9"/>
    <n v="3"/>
    <n v="1.59"/>
    <x v="0"/>
    <x v="0"/>
    <n v="642"/>
    <n v="65.63"/>
    <n v="329"/>
    <x v="0"/>
    <x v="1"/>
    <x v="1"/>
    <x v="0"/>
    <x v="0"/>
    <x v="0"/>
  </r>
  <r>
    <x v="30"/>
    <n v="116"/>
    <x v="2"/>
    <x v="0"/>
    <x v="0"/>
    <n v="0"/>
    <n v="189.5"/>
    <n v="90"/>
    <n v="32.22"/>
    <n v="189.8"/>
    <n v="118"/>
    <n v="16.13"/>
    <n v="205.8"/>
    <n v="83"/>
    <n v="9.26"/>
    <n v="13.1"/>
    <n v="2"/>
    <n v="3.54"/>
    <x v="0"/>
    <x v="0"/>
    <n v="598.20000000000005"/>
    <n v="61.15"/>
    <n v="293"/>
    <x v="0"/>
    <x v="1"/>
    <x v="1"/>
    <x v="0"/>
    <x v="0"/>
    <x v="0"/>
  </r>
  <r>
    <x v="44"/>
    <n v="107"/>
    <x v="1"/>
    <x v="0"/>
    <x v="0"/>
    <n v="0"/>
    <n v="123.1"/>
    <n v="100"/>
    <n v="20.93"/>
    <n v="158.4"/>
    <n v="82"/>
    <n v="13.46"/>
    <n v="256.10000000000002"/>
    <n v="82"/>
    <n v="11.52"/>
    <n v="9.3000000000000007"/>
    <n v="5"/>
    <n v="2.5099999999999998"/>
    <x v="3"/>
    <x v="0"/>
    <n v="546.9"/>
    <n v="48.42"/>
    <n v="269"/>
    <x v="0"/>
    <x v="1"/>
    <x v="2"/>
    <x v="0"/>
    <x v="0"/>
    <x v="0"/>
  </r>
  <r>
    <x v="46"/>
    <n v="123"/>
    <x v="0"/>
    <x v="0"/>
    <x v="0"/>
    <n v="0"/>
    <n v="159.1"/>
    <n v="94"/>
    <n v="27.05"/>
    <n v="241.6"/>
    <n v="119"/>
    <n v="20.54"/>
    <n v="202.4"/>
    <n v="120"/>
    <n v="9.11"/>
    <n v="6.5"/>
    <n v="1"/>
    <n v="1.76"/>
    <x v="0"/>
    <x v="0"/>
    <n v="609.6"/>
    <n v="58.459999999999994"/>
    <n v="334"/>
    <x v="0"/>
    <x v="1"/>
    <x v="1"/>
    <x v="0"/>
    <x v="0"/>
    <x v="0"/>
  </r>
  <r>
    <x v="5"/>
    <n v="110"/>
    <x v="0"/>
    <x v="0"/>
    <x v="0"/>
    <n v="0"/>
    <n v="100.1"/>
    <n v="90"/>
    <n v="17.02"/>
    <n v="233.3"/>
    <n v="93"/>
    <n v="19.829999999999998"/>
    <n v="204.4"/>
    <n v="57"/>
    <n v="9.1999999999999993"/>
    <n v="11.1"/>
    <n v="8"/>
    <n v="3"/>
    <x v="4"/>
    <x v="0"/>
    <n v="548.9"/>
    <n v="49.05"/>
    <n v="248"/>
    <x v="2"/>
    <x v="1"/>
    <x v="2"/>
    <x v="0"/>
    <x v="0"/>
    <x v="2"/>
  </r>
  <r>
    <x v="40"/>
    <n v="176"/>
    <x v="1"/>
    <x v="0"/>
    <x v="0"/>
    <n v="0"/>
    <n v="223.2"/>
    <n v="76"/>
    <n v="37.94"/>
    <n v="214.4"/>
    <n v="131"/>
    <n v="18.22"/>
    <n v="154.4"/>
    <n v="80"/>
    <n v="6.95"/>
    <n v="10.1"/>
    <n v="2"/>
    <n v="2.73"/>
    <x v="4"/>
    <x v="0"/>
    <n v="602.1"/>
    <n v="65.84"/>
    <n v="289"/>
    <x v="2"/>
    <x v="1"/>
    <x v="0"/>
    <x v="0"/>
    <x v="0"/>
    <x v="2"/>
  </r>
  <r>
    <x v="10"/>
    <n v="13"/>
    <x v="2"/>
    <x v="0"/>
    <x v="1"/>
    <n v="21"/>
    <n v="315.60000000000002"/>
    <n v="105"/>
    <n v="53.65"/>
    <n v="208.9"/>
    <n v="71"/>
    <n v="17.760000000000002"/>
    <n v="260.10000000000002"/>
    <n v="123"/>
    <n v="11.7"/>
    <n v="12.1"/>
    <n v="3"/>
    <n v="3.27"/>
    <x v="4"/>
    <x v="0"/>
    <n v="796.7"/>
    <n v="86.38"/>
    <n v="302"/>
    <x v="2"/>
    <x v="0"/>
    <x v="0"/>
    <x v="0"/>
    <x v="1"/>
    <x v="2"/>
  </r>
  <r>
    <x v="30"/>
    <n v="88"/>
    <x v="1"/>
    <x v="0"/>
    <x v="0"/>
    <n v="0"/>
    <n v="189.8"/>
    <n v="111"/>
    <n v="32.270000000000003"/>
    <n v="197.3"/>
    <n v="101"/>
    <n v="16.77"/>
    <n v="234.5"/>
    <n v="111"/>
    <n v="10.55"/>
    <n v="14.9"/>
    <n v="3"/>
    <n v="4.0199999999999996"/>
    <x v="2"/>
    <x v="0"/>
    <n v="636.5"/>
    <n v="63.61"/>
    <n v="326"/>
    <x v="2"/>
    <x v="1"/>
    <x v="1"/>
    <x v="0"/>
    <x v="0"/>
    <x v="2"/>
  </r>
  <r>
    <x v="42"/>
    <n v="92"/>
    <x v="2"/>
    <x v="0"/>
    <x v="1"/>
    <n v="29"/>
    <n v="155.4"/>
    <n v="110"/>
    <n v="26.42"/>
    <n v="188.5"/>
    <n v="104"/>
    <n v="16.02"/>
    <n v="254.9"/>
    <n v="118"/>
    <n v="11.47"/>
    <n v="8"/>
    <n v="4"/>
    <n v="2.16"/>
    <x v="4"/>
    <x v="0"/>
    <n v="606.79999999999995"/>
    <n v="56.07"/>
    <n v="336"/>
    <x v="2"/>
    <x v="1"/>
    <x v="1"/>
    <x v="0"/>
    <x v="1"/>
    <x v="2"/>
  </r>
  <r>
    <x v="9"/>
    <n v="165"/>
    <x v="2"/>
    <x v="0"/>
    <x v="0"/>
    <n v="0"/>
    <n v="154.19999999999999"/>
    <n v="91"/>
    <n v="26.21"/>
    <n v="268.60000000000002"/>
    <n v="108"/>
    <n v="22.83"/>
    <n v="188.8"/>
    <n v="99"/>
    <n v="8.5"/>
    <n v="10.9"/>
    <n v="4"/>
    <n v="2.94"/>
    <x v="6"/>
    <x v="0"/>
    <n v="622.5"/>
    <n v="60.48"/>
    <n v="302"/>
    <x v="1"/>
    <x v="1"/>
    <x v="1"/>
    <x v="0"/>
    <x v="0"/>
    <x v="1"/>
  </r>
  <r>
    <x v="47"/>
    <n v="156"/>
    <x v="1"/>
    <x v="0"/>
    <x v="0"/>
    <n v="0"/>
    <n v="178.8"/>
    <n v="94"/>
    <n v="30.4"/>
    <n v="178.4"/>
    <n v="97"/>
    <n v="15.16"/>
    <n v="169.2"/>
    <n v="77"/>
    <n v="7.61"/>
    <n v="7.5"/>
    <n v="3"/>
    <n v="2.0299999999999998"/>
    <x v="0"/>
    <x v="0"/>
    <n v="533.90000000000009"/>
    <n v="55.2"/>
    <n v="271"/>
    <x v="0"/>
    <x v="2"/>
    <x v="1"/>
    <x v="0"/>
    <x v="0"/>
    <x v="0"/>
  </r>
  <r>
    <x v="18"/>
    <n v="63"/>
    <x v="0"/>
    <x v="0"/>
    <x v="0"/>
    <n v="0"/>
    <n v="149.30000000000001"/>
    <n v="104"/>
    <n v="25.38"/>
    <n v="273.60000000000002"/>
    <n v="75"/>
    <n v="23.26"/>
    <n v="206.6"/>
    <n v="72"/>
    <n v="9.3000000000000007"/>
    <n v="9.1"/>
    <n v="4"/>
    <n v="2.46"/>
    <x v="3"/>
    <x v="0"/>
    <n v="638.6"/>
    <n v="60.400000000000006"/>
    <n v="255"/>
    <x v="0"/>
    <x v="1"/>
    <x v="1"/>
    <x v="0"/>
    <x v="0"/>
    <x v="0"/>
  </r>
  <r>
    <x v="7"/>
    <n v="83"/>
    <x v="1"/>
    <x v="1"/>
    <x v="1"/>
    <n v="32"/>
    <n v="94.7"/>
    <n v="111"/>
    <n v="16.100000000000001"/>
    <n v="154.4"/>
    <n v="98"/>
    <n v="13.12"/>
    <n v="200.4"/>
    <n v="109"/>
    <n v="9.02"/>
    <n v="10.6"/>
    <n v="6"/>
    <n v="2.86"/>
    <x v="2"/>
    <x v="0"/>
    <n v="460.1"/>
    <n v="41.1"/>
    <n v="324"/>
    <x v="2"/>
    <x v="2"/>
    <x v="2"/>
    <x v="1"/>
    <x v="1"/>
    <x v="2"/>
  </r>
  <r>
    <x v="8"/>
    <n v="158"/>
    <x v="1"/>
    <x v="0"/>
    <x v="0"/>
    <n v="0"/>
    <n v="222.8"/>
    <n v="101"/>
    <n v="37.880000000000003"/>
    <n v="203"/>
    <n v="128"/>
    <n v="17.260000000000002"/>
    <n v="210.6"/>
    <n v="106"/>
    <n v="9.48"/>
    <n v="6.9"/>
    <n v="2"/>
    <n v="1.86"/>
    <x v="2"/>
    <x v="0"/>
    <n v="643.29999999999995"/>
    <n v="66.48"/>
    <n v="337"/>
    <x v="2"/>
    <x v="1"/>
    <x v="0"/>
    <x v="0"/>
    <x v="0"/>
    <x v="2"/>
  </r>
  <r>
    <x v="44"/>
    <n v="115"/>
    <x v="2"/>
    <x v="1"/>
    <x v="0"/>
    <n v="0"/>
    <n v="249.9"/>
    <n v="95"/>
    <n v="42.48"/>
    <n v="242.5"/>
    <n v="104"/>
    <n v="20.61"/>
    <n v="151.69999999999999"/>
    <n v="121"/>
    <n v="6.83"/>
    <n v="15.3"/>
    <n v="6"/>
    <n v="4.13"/>
    <x v="0"/>
    <x v="1"/>
    <n v="659.39999999999986"/>
    <n v="74.05"/>
    <n v="326"/>
    <x v="0"/>
    <x v="0"/>
    <x v="0"/>
    <x v="1"/>
    <x v="0"/>
    <x v="0"/>
  </r>
  <r>
    <x v="37"/>
    <n v="103"/>
    <x v="2"/>
    <x v="0"/>
    <x v="1"/>
    <n v="36"/>
    <n v="87.2"/>
    <n v="92"/>
    <n v="14.82"/>
    <n v="169.3"/>
    <n v="110"/>
    <n v="14.39"/>
    <n v="166.7"/>
    <n v="80"/>
    <n v="7.5"/>
    <n v="10.9"/>
    <n v="5"/>
    <n v="2.94"/>
    <x v="6"/>
    <x v="1"/>
    <n v="434.09999999999997"/>
    <n v="39.65"/>
    <n v="287"/>
    <x v="1"/>
    <x v="2"/>
    <x v="2"/>
    <x v="0"/>
    <x v="1"/>
    <x v="1"/>
  </r>
  <r>
    <x v="42"/>
    <n v="64"/>
    <x v="1"/>
    <x v="0"/>
    <x v="0"/>
    <n v="0"/>
    <n v="224.8"/>
    <n v="111"/>
    <n v="38.22"/>
    <n v="190"/>
    <n v="101"/>
    <n v="16.149999999999999"/>
    <n v="221.4"/>
    <n v="110"/>
    <n v="9.9600000000000009"/>
    <n v="9.1999999999999993"/>
    <n v="2"/>
    <n v="2.48"/>
    <x v="0"/>
    <x v="0"/>
    <n v="645.40000000000009"/>
    <n v="66.81"/>
    <n v="324"/>
    <x v="0"/>
    <x v="1"/>
    <x v="0"/>
    <x v="0"/>
    <x v="0"/>
    <x v="0"/>
  </r>
  <r>
    <x v="27"/>
    <n v="86"/>
    <x v="2"/>
    <x v="0"/>
    <x v="1"/>
    <n v="39"/>
    <n v="261.2"/>
    <n v="122"/>
    <n v="44.4"/>
    <n v="214.2"/>
    <n v="101"/>
    <n v="18.21"/>
    <n v="154.9"/>
    <n v="101"/>
    <n v="6.97"/>
    <n v="12.7"/>
    <n v="5"/>
    <n v="3.43"/>
    <x v="2"/>
    <x v="0"/>
    <n v="643"/>
    <n v="73.009999999999991"/>
    <n v="329"/>
    <x v="2"/>
    <x v="1"/>
    <x v="0"/>
    <x v="0"/>
    <x v="1"/>
    <x v="2"/>
  </r>
  <r>
    <x v="40"/>
    <n v="151"/>
    <x v="1"/>
    <x v="0"/>
    <x v="1"/>
    <n v="26"/>
    <n v="196.5"/>
    <n v="98"/>
    <n v="33.409999999999997"/>
    <n v="175.8"/>
    <n v="111"/>
    <n v="14.94"/>
    <n v="221.8"/>
    <n v="124"/>
    <n v="9.98"/>
    <n v="13.4"/>
    <n v="5"/>
    <n v="3.62"/>
    <x v="3"/>
    <x v="0"/>
    <n v="607.5"/>
    <n v="61.949999999999996"/>
    <n v="338"/>
    <x v="0"/>
    <x v="1"/>
    <x v="1"/>
    <x v="0"/>
    <x v="1"/>
    <x v="0"/>
  </r>
  <r>
    <x v="24"/>
    <n v="87"/>
    <x v="2"/>
    <x v="1"/>
    <x v="0"/>
    <n v="0"/>
    <n v="167.3"/>
    <n v="119"/>
    <n v="28.44"/>
    <n v="198.5"/>
    <n v="119"/>
    <n v="16.87"/>
    <n v="133.1"/>
    <n v="88"/>
    <n v="5.99"/>
    <n v="11"/>
    <n v="6"/>
    <n v="2.97"/>
    <x v="0"/>
    <x v="0"/>
    <n v="509.9"/>
    <n v="54.27"/>
    <n v="332"/>
    <x v="0"/>
    <x v="2"/>
    <x v="1"/>
    <x v="1"/>
    <x v="0"/>
    <x v="0"/>
  </r>
  <r>
    <x v="26"/>
    <n v="90"/>
    <x v="1"/>
    <x v="0"/>
    <x v="0"/>
    <n v="0"/>
    <n v="109.6"/>
    <n v="88"/>
    <n v="18.63"/>
    <n v="137.6"/>
    <n v="108"/>
    <n v="11.7"/>
    <n v="159.69999999999999"/>
    <n v="121"/>
    <n v="7.19"/>
    <n v="11"/>
    <n v="5"/>
    <n v="2.97"/>
    <x v="2"/>
    <x v="0"/>
    <n v="417.9"/>
    <n v="40.489999999999995"/>
    <n v="322"/>
    <x v="2"/>
    <x v="2"/>
    <x v="2"/>
    <x v="0"/>
    <x v="0"/>
    <x v="2"/>
  </r>
  <r>
    <x v="0"/>
    <n v="108"/>
    <x v="2"/>
    <x v="0"/>
    <x v="1"/>
    <n v="30"/>
    <n v="276.60000000000002"/>
    <n v="99"/>
    <n v="47.02"/>
    <n v="220.1"/>
    <n v="113"/>
    <n v="18.71"/>
    <n v="177.9"/>
    <n v="95"/>
    <n v="8.01"/>
    <n v="9.8000000000000007"/>
    <n v="6"/>
    <n v="2.65"/>
    <x v="2"/>
    <x v="0"/>
    <n v="684.4"/>
    <n v="76.39"/>
    <n v="313"/>
    <x v="2"/>
    <x v="0"/>
    <x v="0"/>
    <x v="0"/>
    <x v="1"/>
    <x v="2"/>
  </r>
  <r>
    <x v="48"/>
    <n v="33"/>
    <x v="1"/>
    <x v="0"/>
    <x v="1"/>
    <n v="35"/>
    <n v="186.8"/>
    <n v="124"/>
    <n v="31.76"/>
    <n v="261"/>
    <n v="69"/>
    <n v="22.19"/>
    <n v="317.8"/>
    <n v="103"/>
    <n v="14.3"/>
    <n v="15"/>
    <n v="5"/>
    <n v="4.05"/>
    <x v="3"/>
    <x v="0"/>
    <n v="780.6"/>
    <n v="72.300000000000011"/>
    <n v="301"/>
    <x v="0"/>
    <x v="0"/>
    <x v="0"/>
    <x v="0"/>
    <x v="1"/>
    <x v="0"/>
  </r>
  <r>
    <x v="9"/>
    <n v="149"/>
    <x v="1"/>
    <x v="1"/>
    <x v="1"/>
    <n v="28"/>
    <n v="126.9"/>
    <n v="97"/>
    <n v="21.57"/>
    <n v="166.9"/>
    <n v="102"/>
    <n v="14.19"/>
    <n v="145.19999999999999"/>
    <n v="77"/>
    <n v="6.53"/>
    <n v="8.8000000000000007"/>
    <n v="3"/>
    <n v="2.38"/>
    <x v="5"/>
    <x v="1"/>
    <n v="447.8"/>
    <n v="44.67"/>
    <n v="279"/>
    <x v="1"/>
    <x v="2"/>
    <x v="2"/>
    <x v="1"/>
    <x v="1"/>
    <x v="0"/>
  </r>
  <r>
    <x v="12"/>
    <n v="106"/>
    <x v="2"/>
    <x v="0"/>
    <x v="0"/>
    <n v="0"/>
    <n v="169.4"/>
    <n v="107"/>
    <n v="28.8"/>
    <n v="197.2"/>
    <n v="71"/>
    <n v="16.760000000000002"/>
    <n v="202.2"/>
    <n v="79"/>
    <n v="9.1"/>
    <n v="10.7"/>
    <n v="4"/>
    <n v="2.89"/>
    <x v="0"/>
    <x v="0"/>
    <n v="579.5"/>
    <n v="57.55"/>
    <n v="261"/>
    <x v="0"/>
    <x v="1"/>
    <x v="1"/>
    <x v="0"/>
    <x v="0"/>
    <x v="0"/>
  </r>
  <r>
    <x v="46"/>
    <n v="167"/>
    <x v="0"/>
    <x v="1"/>
    <x v="0"/>
    <n v="0"/>
    <n v="219.1"/>
    <n v="100"/>
    <n v="37.25"/>
    <n v="242.9"/>
    <n v="90"/>
    <n v="20.65"/>
    <n v="168.9"/>
    <n v="101"/>
    <n v="7.6"/>
    <n v="10.1"/>
    <n v="4"/>
    <n v="2.73"/>
    <x v="2"/>
    <x v="0"/>
    <n v="641"/>
    <n v="68.22999999999999"/>
    <n v="295"/>
    <x v="2"/>
    <x v="1"/>
    <x v="0"/>
    <x v="1"/>
    <x v="0"/>
    <x v="2"/>
  </r>
  <r>
    <x v="9"/>
    <n v="35"/>
    <x v="2"/>
    <x v="0"/>
    <x v="1"/>
    <n v="27"/>
    <n v="241.7"/>
    <n v="87"/>
    <n v="41.09"/>
    <n v="142"/>
    <n v="101"/>
    <n v="12.07"/>
    <n v="288.89999999999998"/>
    <n v="68"/>
    <n v="13"/>
    <n v="9.4"/>
    <n v="4"/>
    <n v="2.54"/>
    <x v="0"/>
    <x v="0"/>
    <n v="681.99999999999989"/>
    <n v="68.7"/>
    <n v="260"/>
    <x v="0"/>
    <x v="0"/>
    <x v="0"/>
    <x v="0"/>
    <x v="1"/>
    <x v="0"/>
  </r>
  <r>
    <x v="21"/>
    <n v="107"/>
    <x v="1"/>
    <x v="0"/>
    <x v="1"/>
    <n v="22"/>
    <n v="281.10000000000002"/>
    <n v="83"/>
    <n v="47.79"/>
    <n v="143.69999999999999"/>
    <n v="130"/>
    <n v="12.21"/>
    <n v="239.4"/>
    <n v="128"/>
    <n v="10.77"/>
    <n v="11.2"/>
    <n v="9"/>
    <n v="3.02"/>
    <x v="0"/>
    <x v="0"/>
    <n v="675.40000000000009"/>
    <n v="73.789999999999992"/>
    <n v="350"/>
    <x v="0"/>
    <x v="0"/>
    <x v="0"/>
    <x v="0"/>
    <x v="1"/>
    <x v="0"/>
  </r>
  <r>
    <x v="16"/>
    <n v="92"/>
    <x v="1"/>
    <x v="1"/>
    <x v="1"/>
    <n v="45"/>
    <n v="281.10000000000002"/>
    <n v="88"/>
    <n v="47.79"/>
    <n v="198"/>
    <n v="103"/>
    <n v="16.829999999999998"/>
    <n v="94.3"/>
    <n v="76"/>
    <n v="4.24"/>
    <n v="7.5"/>
    <n v="3"/>
    <n v="2.0299999999999998"/>
    <x v="3"/>
    <x v="0"/>
    <n v="580.9"/>
    <n v="70.89"/>
    <n v="270"/>
    <x v="0"/>
    <x v="1"/>
    <x v="0"/>
    <x v="1"/>
    <x v="1"/>
    <x v="0"/>
  </r>
  <r>
    <x v="11"/>
    <n v="38"/>
    <x v="1"/>
    <x v="0"/>
    <x v="0"/>
    <n v="0"/>
    <n v="137.80000000000001"/>
    <n v="86"/>
    <n v="23.43"/>
    <n v="286.3"/>
    <n v="76"/>
    <n v="24.34"/>
    <n v="167"/>
    <n v="77"/>
    <n v="7.52"/>
    <n v="14.1"/>
    <n v="3"/>
    <n v="3.81"/>
    <x v="2"/>
    <x v="0"/>
    <n v="605.20000000000005"/>
    <n v="59.1"/>
    <n v="242"/>
    <x v="2"/>
    <x v="1"/>
    <x v="1"/>
    <x v="0"/>
    <x v="0"/>
    <x v="2"/>
  </r>
  <r>
    <x v="8"/>
    <n v="68"/>
    <x v="0"/>
    <x v="1"/>
    <x v="0"/>
    <n v="0"/>
    <n v="148.5"/>
    <n v="126"/>
    <n v="25.25"/>
    <n v="219.4"/>
    <n v="125"/>
    <n v="18.649999999999999"/>
    <n v="198.5"/>
    <n v="121"/>
    <n v="8.93"/>
    <n v="14.5"/>
    <n v="7"/>
    <n v="3.92"/>
    <x v="0"/>
    <x v="1"/>
    <n v="580.9"/>
    <n v="56.75"/>
    <n v="379"/>
    <x v="0"/>
    <x v="1"/>
    <x v="1"/>
    <x v="1"/>
    <x v="0"/>
    <x v="0"/>
  </r>
  <r>
    <x v="19"/>
    <n v="123"/>
    <x v="2"/>
    <x v="0"/>
    <x v="0"/>
    <n v="0"/>
    <n v="194"/>
    <n v="118"/>
    <n v="32.979999999999997"/>
    <n v="242"/>
    <n v="114"/>
    <n v="20.57"/>
    <n v="146.30000000000001"/>
    <n v="108"/>
    <n v="6.58"/>
    <n v="12.1"/>
    <n v="4"/>
    <n v="3.27"/>
    <x v="0"/>
    <x v="0"/>
    <n v="594.4"/>
    <n v="63.4"/>
    <n v="344"/>
    <x v="0"/>
    <x v="1"/>
    <x v="1"/>
    <x v="0"/>
    <x v="0"/>
    <x v="0"/>
  </r>
  <r>
    <x v="18"/>
    <n v="75"/>
    <x v="2"/>
    <x v="0"/>
    <x v="1"/>
    <n v="41"/>
    <n v="130.9"/>
    <n v="115"/>
    <n v="22.25"/>
    <n v="203.4"/>
    <n v="110"/>
    <n v="17.29"/>
    <n v="171.7"/>
    <n v="68"/>
    <n v="7.73"/>
    <n v="12.4"/>
    <n v="4"/>
    <n v="3.35"/>
    <x v="0"/>
    <x v="0"/>
    <n v="518.4"/>
    <n v="50.62"/>
    <n v="297"/>
    <x v="0"/>
    <x v="2"/>
    <x v="2"/>
    <x v="0"/>
    <x v="1"/>
    <x v="0"/>
  </r>
  <r>
    <x v="24"/>
    <n v="153"/>
    <x v="0"/>
    <x v="0"/>
    <x v="0"/>
    <n v="0"/>
    <n v="185.3"/>
    <n v="127"/>
    <n v="31.5"/>
    <n v="208"/>
    <n v="73"/>
    <n v="17.68"/>
    <n v="206.1"/>
    <n v="124"/>
    <n v="9.27"/>
    <n v="15.1"/>
    <n v="3"/>
    <n v="4.08"/>
    <x v="0"/>
    <x v="0"/>
    <n v="614.5"/>
    <n v="62.53"/>
    <n v="327"/>
    <x v="0"/>
    <x v="1"/>
    <x v="1"/>
    <x v="0"/>
    <x v="0"/>
    <x v="0"/>
  </r>
  <r>
    <x v="29"/>
    <n v="143"/>
    <x v="1"/>
    <x v="0"/>
    <x v="0"/>
    <n v="0"/>
    <n v="119.1"/>
    <n v="117"/>
    <n v="20.25"/>
    <n v="287.7"/>
    <n v="136"/>
    <n v="24.45"/>
    <n v="223"/>
    <n v="100"/>
    <n v="10.039999999999999"/>
    <n v="12.2"/>
    <n v="4"/>
    <n v="3.29"/>
    <x v="3"/>
    <x v="0"/>
    <n v="642"/>
    <n v="58.03"/>
    <n v="357"/>
    <x v="0"/>
    <x v="1"/>
    <x v="1"/>
    <x v="0"/>
    <x v="0"/>
    <x v="0"/>
  </r>
  <r>
    <x v="3"/>
    <n v="87"/>
    <x v="0"/>
    <x v="0"/>
    <x v="0"/>
    <n v="0"/>
    <n v="322.5"/>
    <n v="106"/>
    <n v="54.83"/>
    <n v="204.6"/>
    <n v="93"/>
    <n v="17.39"/>
    <n v="186.2"/>
    <n v="128"/>
    <n v="8.3800000000000008"/>
    <n v="9.4"/>
    <n v="4"/>
    <n v="2.54"/>
    <x v="2"/>
    <x v="1"/>
    <n v="722.69999999999993"/>
    <n v="83.14"/>
    <n v="331"/>
    <x v="2"/>
    <x v="0"/>
    <x v="0"/>
    <x v="0"/>
    <x v="0"/>
    <x v="2"/>
  </r>
  <r>
    <x v="1"/>
    <n v="100"/>
    <x v="2"/>
    <x v="0"/>
    <x v="0"/>
    <n v="0"/>
    <n v="216.2"/>
    <n v="107"/>
    <n v="36.75"/>
    <n v="215.6"/>
    <n v="84"/>
    <n v="18.329999999999998"/>
    <n v="138.4"/>
    <n v="127"/>
    <n v="6.23"/>
    <n v="10.199999999999999"/>
    <n v="3"/>
    <n v="2.75"/>
    <x v="3"/>
    <x v="0"/>
    <n v="580.4"/>
    <n v="64.06"/>
    <n v="321"/>
    <x v="0"/>
    <x v="1"/>
    <x v="1"/>
    <x v="0"/>
    <x v="0"/>
    <x v="0"/>
  </r>
  <r>
    <x v="29"/>
    <n v="144"/>
    <x v="1"/>
    <x v="0"/>
    <x v="1"/>
    <n v="51"/>
    <n v="283.89999999999998"/>
    <n v="98"/>
    <n v="48.26"/>
    <n v="192"/>
    <n v="109"/>
    <n v="16.32"/>
    <n v="196.3"/>
    <n v="85"/>
    <n v="8.83"/>
    <n v="10"/>
    <n v="4"/>
    <n v="2.7"/>
    <x v="0"/>
    <x v="0"/>
    <n v="682.2"/>
    <n v="76.11"/>
    <n v="296"/>
    <x v="0"/>
    <x v="0"/>
    <x v="0"/>
    <x v="0"/>
    <x v="1"/>
    <x v="0"/>
  </r>
  <r>
    <x v="46"/>
    <n v="70"/>
    <x v="1"/>
    <x v="0"/>
    <x v="1"/>
    <n v="31"/>
    <n v="125.9"/>
    <n v="101"/>
    <n v="21.4"/>
    <n v="196.4"/>
    <n v="102"/>
    <n v="16.690000000000001"/>
    <n v="252.7"/>
    <n v="75"/>
    <n v="11.37"/>
    <n v="10.3"/>
    <n v="4"/>
    <n v="2.78"/>
    <x v="0"/>
    <x v="0"/>
    <n v="585.29999999999995"/>
    <n v="52.239999999999995"/>
    <n v="282"/>
    <x v="0"/>
    <x v="1"/>
    <x v="2"/>
    <x v="0"/>
    <x v="1"/>
    <x v="0"/>
  </r>
  <r>
    <x v="13"/>
    <n v="136"/>
    <x v="0"/>
    <x v="1"/>
    <x v="0"/>
    <n v="0"/>
    <n v="199.6"/>
    <n v="89"/>
    <n v="33.93"/>
    <n v="211.4"/>
    <n v="96"/>
    <n v="17.97"/>
    <n v="72.400000000000006"/>
    <n v="84"/>
    <n v="3.26"/>
    <n v="11"/>
    <n v="4"/>
    <n v="2.97"/>
    <x v="4"/>
    <x v="1"/>
    <n v="494.4"/>
    <n v="58.129999999999995"/>
    <n v="273"/>
    <x v="2"/>
    <x v="2"/>
    <x v="1"/>
    <x v="1"/>
    <x v="0"/>
    <x v="2"/>
  </r>
  <r>
    <x v="21"/>
    <n v="120"/>
    <x v="1"/>
    <x v="0"/>
    <x v="1"/>
    <n v="24"/>
    <n v="212.7"/>
    <n v="73"/>
    <n v="36.159999999999997"/>
    <n v="257.5"/>
    <n v="103"/>
    <n v="21.89"/>
    <n v="227.8"/>
    <n v="119"/>
    <n v="10.25"/>
    <n v="9.6999999999999993"/>
    <n v="13"/>
    <n v="2.62"/>
    <x v="2"/>
    <x v="0"/>
    <n v="707.7"/>
    <n v="70.92"/>
    <n v="308"/>
    <x v="2"/>
    <x v="0"/>
    <x v="0"/>
    <x v="0"/>
    <x v="1"/>
    <x v="2"/>
  </r>
  <r>
    <x v="28"/>
    <n v="104"/>
    <x v="0"/>
    <x v="0"/>
    <x v="0"/>
    <n v="0"/>
    <n v="183.6"/>
    <n v="133"/>
    <n v="31.21"/>
    <n v="120.7"/>
    <n v="98"/>
    <n v="10.26"/>
    <n v="215.1"/>
    <n v="112"/>
    <n v="9.68"/>
    <n v="12.7"/>
    <n v="2"/>
    <n v="3.43"/>
    <x v="0"/>
    <x v="0"/>
    <n v="532.1"/>
    <n v="54.58"/>
    <n v="345"/>
    <x v="0"/>
    <x v="2"/>
    <x v="1"/>
    <x v="0"/>
    <x v="0"/>
    <x v="0"/>
  </r>
  <r>
    <x v="17"/>
    <n v="75"/>
    <x v="2"/>
    <x v="0"/>
    <x v="1"/>
    <n v="38"/>
    <n v="163.6"/>
    <n v="132"/>
    <n v="27.81"/>
    <n v="146.69999999999999"/>
    <n v="113"/>
    <n v="12.47"/>
    <n v="345.8"/>
    <n v="115"/>
    <n v="15.56"/>
    <n v="13.1"/>
    <n v="3"/>
    <n v="3.54"/>
    <x v="4"/>
    <x v="0"/>
    <n v="669.19999999999993"/>
    <n v="59.379999999999995"/>
    <n v="363"/>
    <x v="2"/>
    <x v="0"/>
    <x v="1"/>
    <x v="0"/>
    <x v="1"/>
    <x v="2"/>
  </r>
  <r>
    <x v="19"/>
    <n v="127"/>
    <x v="2"/>
    <x v="1"/>
    <x v="0"/>
    <n v="0"/>
    <n v="180.9"/>
    <n v="114"/>
    <n v="30.75"/>
    <n v="209.5"/>
    <n v="118"/>
    <n v="17.809999999999999"/>
    <n v="249.9"/>
    <n v="105"/>
    <n v="11.25"/>
    <n v="7.4"/>
    <n v="4"/>
    <n v="2"/>
    <x v="2"/>
    <x v="0"/>
    <n v="647.69999999999993"/>
    <n v="61.81"/>
    <n v="341"/>
    <x v="2"/>
    <x v="1"/>
    <x v="1"/>
    <x v="1"/>
    <x v="0"/>
    <x v="2"/>
  </r>
  <r>
    <x v="7"/>
    <n v="122"/>
    <x v="2"/>
    <x v="0"/>
    <x v="1"/>
    <n v="33"/>
    <n v="270.8"/>
    <n v="96"/>
    <n v="46.04"/>
    <n v="220.4"/>
    <n v="110"/>
    <n v="18.73"/>
    <n v="169.9"/>
    <n v="104"/>
    <n v="7.65"/>
    <n v="11.8"/>
    <n v="8"/>
    <n v="3.19"/>
    <x v="1"/>
    <x v="0"/>
    <n v="672.9"/>
    <n v="75.61"/>
    <n v="318"/>
    <x v="1"/>
    <x v="0"/>
    <x v="0"/>
    <x v="0"/>
    <x v="1"/>
    <x v="1"/>
  </r>
  <r>
    <x v="11"/>
    <n v="124"/>
    <x v="1"/>
    <x v="0"/>
    <x v="0"/>
    <n v="0"/>
    <n v="178.4"/>
    <n v="72"/>
    <n v="30.33"/>
    <n v="233.6"/>
    <n v="134"/>
    <n v="19.86"/>
    <n v="179.4"/>
    <n v="91"/>
    <n v="8.07"/>
    <n v="12"/>
    <n v="2"/>
    <n v="3.24"/>
    <x v="3"/>
    <x v="0"/>
    <n v="603.4"/>
    <n v="61.5"/>
    <n v="299"/>
    <x v="0"/>
    <x v="1"/>
    <x v="1"/>
    <x v="0"/>
    <x v="0"/>
    <x v="0"/>
  </r>
  <r>
    <x v="21"/>
    <n v="167"/>
    <x v="1"/>
    <x v="1"/>
    <x v="0"/>
    <n v="0"/>
    <n v="244.8"/>
    <n v="91"/>
    <n v="41.62"/>
    <n v="60.8"/>
    <n v="105"/>
    <n v="5.17"/>
    <n v="176.7"/>
    <n v="110"/>
    <n v="7.95"/>
    <n v="10.7"/>
    <n v="3"/>
    <n v="2.89"/>
    <x v="2"/>
    <x v="0"/>
    <n v="493"/>
    <n v="57.629999999999995"/>
    <n v="309"/>
    <x v="2"/>
    <x v="2"/>
    <x v="1"/>
    <x v="1"/>
    <x v="0"/>
    <x v="2"/>
  </r>
  <r>
    <x v="8"/>
    <n v="89"/>
    <x v="1"/>
    <x v="0"/>
    <x v="1"/>
    <n v="32"/>
    <n v="209.9"/>
    <n v="113"/>
    <n v="35.68"/>
    <n v="249.8"/>
    <n v="104"/>
    <n v="21.23"/>
    <n v="224.2"/>
    <n v="92"/>
    <n v="10.09"/>
    <n v="8.6999999999999993"/>
    <n v="7"/>
    <n v="2.35"/>
    <x v="0"/>
    <x v="0"/>
    <n v="692.60000000000014"/>
    <n v="69.349999999999994"/>
    <n v="316"/>
    <x v="0"/>
    <x v="0"/>
    <x v="0"/>
    <x v="0"/>
    <x v="1"/>
    <x v="0"/>
  </r>
  <r>
    <x v="11"/>
    <n v="73"/>
    <x v="0"/>
    <x v="0"/>
    <x v="0"/>
    <n v="0"/>
    <n v="213"/>
    <n v="95"/>
    <n v="36.21"/>
    <n v="188.8"/>
    <n v="104"/>
    <n v="16.05"/>
    <n v="136.19999999999999"/>
    <n v="89"/>
    <n v="6.13"/>
    <n v="13.5"/>
    <n v="3"/>
    <n v="3.65"/>
    <x v="3"/>
    <x v="0"/>
    <n v="551.5"/>
    <n v="62.04"/>
    <n v="291"/>
    <x v="0"/>
    <x v="1"/>
    <x v="1"/>
    <x v="0"/>
    <x v="0"/>
    <x v="0"/>
  </r>
  <r>
    <x v="27"/>
    <n v="1"/>
    <x v="1"/>
    <x v="0"/>
    <x v="0"/>
    <n v="0"/>
    <n v="144.80000000000001"/>
    <n v="107"/>
    <n v="24.62"/>
    <n v="112.5"/>
    <n v="66"/>
    <n v="9.56"/>
    <n v="218.7"/>
    <n v="79"/>
    <n v="9.84"/>
    <n v="13.8"/>
    <n v="3"/>
    <n v="3.73"/>
    <x v="0"/>
    <x v="0"/>
    <n v="489.8"/>
    <n v="47.75"/>
    <n v="255"/>
    <x v="0"/>
    <x v="2"/>
    <x v="2"/>
    <x v="0"/>
    <x v="0"/>
    <x v="0"/>
  </r>
  <r>
    <x v="14"/>
    <n v="60"/>
    <x v="0"/>
    <x v="0"/>
    <x v="0"/>
    <n v="0"/>
    <n v="135.4"/>
    <n v="134"/>
    <n v="23.02"/>
    <n v="205.9"/>
    <n v="85"/>
    <n v="17.5"/>
    <n v="204"/>
    <n v="103"/>
    <n v="9.18"/>
    <n v="7.9"/>
    <n v="4"/>
    <n v="2.13"/>
    <x v="0"/>
    <x v="0"/>
    <n v="553.19999999999993"/>
    <n v="51.83"/>
    <n v="326"/>
    <x v="0"/>
    <x v="1"/>
    <x v="2"/>
    <x v="0"/>
    <x v="0"/>
    <x v="0"/>
  </r>
  <r>
    <x v="44"/>
    <n v="77"/>
    <x v="2"/>
    <x v="0"/>
    <x v="0"/>
    <n v="0"/>
    <n v="67.7"/>
    <n v="68"/>
    <n v="11.51"/>
    <n v="195.7"/>
    <n v="86"/>
    <n v="16.63"/>
    <n v="236.5"/>
    <n v="137"/>
    <n v="10.64"/>
    <n v="12"/>
    <n v="2"/>
    <n v="3.24"/>
    <x v="0"/>
    <x v="0"/>
    <n v="511.9"/>
    <n v="42.019999999999996"/>
    <n v="293"/>
    <x v="0"/>
    <x v="2"/>
    <x v="2"/>
    <x v="0"/>
    <x v="0"/>
    <x v="0"/>
  </r>
  <r>
    <x v="39"/>
    <n v="76"/>
    <x v="1"/>
    <x v="0"/>
    <x v="0"/>
    <n v="0"/>
    <n v="224.4"/>
    <n v="121"/>
    <n v="38.15"/>
    <n v="147.9"/>
    <n v="97"/>
    <n v="12.57"/>
    <n v="183.8"/>
    <n v="74"/>
    <n v="8.27"/>
    <n v="6.7"/>
    <n v="2"/>
    <n v="1.81"/>
    <x v="2"/>
    <x v="0"/>
    <n v="562.80000000000007"/>
    <n v="60.8"/>
    <n v="294"/>
    <x v="2"/>
    <x v="1"/>
    <x v="1"/>
    <x v="0"/>
    <x v="0"/>
    <x v="2"/>
  </r>
  <r>
    <x v="49"/>
    <n v="63"/>
    <x v="2"/>
    <x v="0"/>
    <x v="0"/>
    <n v="0"/>
    <n v="153.5"/>
    <n v="81"/>
    <n v="26.1"/>
    <n v="287.3"/>
    <n v="115"/>
    <n v="24.42"/>
    <n v="230.2"/>
    <n v="85"/>
    <n v="10.36"/>
    <n v="6.5"/>
    <n v="5"/>
    <n v="1.76"/>
    <x v="2"/>
    <x v="0"/>
    <n v="677.5"/>
    <n v="62.64"/>
    <n v="286"/>
    <x v="2"/>
    <x v="0"/>
    <x v="1"/>
    <x v="0"/>
    <x v="0"/>
    <x v="2"/>
  </r>
  <r>
    <x v="10"/>
    <n v="150"/>
    <x v="1"/>
    <x v="0"/>
    <x v="1"/>
    <n v="28"/>
    <n v="174.4"/>
    <n v="75"/>
    <n v="29.65"/>
    <n v="169.9"/>
    <n v="80"/>
    <n v="14.44"/>
    <n v="201.6"/>
    <n v="130"/>
    <n v="9.07"/>
    <n v="11"/>
    <n v="4"/>
    <n v="2.97"/>
    <x v="0"/>
    <x v="0"/>
    <n v="556.9"/>
    <n v="56.129999999999995"/>
    <n v="289"/>
    <x v="0"/>
    <x v="1"/>
    <x v="1"/>
    <x v="0"/>
    <x v="1"/>
    <x v="0"/>
  </r>
  <r>
    <x v="11"/>
    <n v="101"/>
    <x v="1"/>
    <x v="0"/>
    <x v="0"/>
    <n v="0"/>
    <n v="153.80000000000001"/>
    <n v="89"/>
    <n v="26.15"/>
    <n v="234"/>
    <n v="89"/>
    <n v="19.89"/>
    <n v="196.3"/>
    <n v="77"/>
    <n v="8.83"/>
    <n v="11.6"/>
    <n v="2"/>
    <n v="3.13"/>
    <x v="1"/>
    <x v="0"/>
    <n v="595.70000000000005"/>
    <n v="58"/>
    <n v="257"/>
    <x v="1"/>
    <x v="1"/>
    <x v="1"/>
    <x v="0"/>
    <x v="0"/>
    <x v="1"/>
  </r>
  <r>
    <x v="5"/>
    <n v="132"/>
    <x v="1"/>
    <x v="0"/>
    <x v="1"/>
    <n v="39"/>
    <n v="175.7"/>
    <n v="93"/>
    <n v="29.87"/>
    <n v="187.2"/>
    <n v="94"/>
    <n v="15.91"/>
    <n v="225.5"/>
    <n v="118"/>
    <n v="10.15"/>
    <n v="8.6"/>
    <n v="3"/>
    <n v="2.3199999999999998"/>
    <x v="2"/>
    <x v="0"/>
    <n v="597"/>
    <n v="58.25"/>
    <n v="308"/>
    <x v="2"/>
    <x v="1"/>
    <x v="1"/>
    <x v="0"/>
    <x v="1"/>
    <x v="2"/>
  </r>
  <r>
    <x v="17"/>
    <n v="158"/>
    <x v="2"/>
    <x v="0"/>
    <x v="0"/>
    <n v="0"/>
    <n v="155.9"/>
    <n v="123"/>
    <n v="26.5"/>
    <n v="224.2"/>
    <n v="112"/>
    <n v="19.059999999999999"/>
    <n v="221"/>
    <n v="116"/>
    <n v="9.9499999999999993"/>
    <n v="8.6"/>
    <n v="8"/>
    <n v="2.3199999999999998"/>
    <x v="2"/>
    <x v="0"/>
    <n v="609.70000000000005"/>
    <n v="57.83"/>
    <n v="359"/>
    <x v="2"/>
    <x v="1"/>
    <x v="1"/>
    <x v="0"/>
    <x v="0"/>
    <x v="2"/>
  </r>
  <r>
    <x v="27"/>
    <n v="114"/>
    <x v="1"/>
    <x v="0"/>
    <x v="1"/>
    <n v="34"/>
    <n v="154.4"/>
    <n v="109"/>
    <n v="26.25"/>
    <n v="221.4"/>
    <n v="142"/>
    <n v="18.82"/>
    <n v="208.5"/>
    <n v="103"/>
    <n v="9.3800000000000008"/>
    <n v="10.3"/>
    <n v="5"/>
    <n v="2.78"/>
    <x v="3"/>
    <x v="0"/>
    <n v="594.59999999999991"/>
    <n v="57.230000000000004"/>
    <n v="359"/>
    <x v="0"/>
    <x v="1"/>
    <x v="1"/>
    <x v="0"/>
    <x v="1"/>
    <x v="0"/>
  </r>
  <r>
    <x v="47"/>
    <n v="77"/>
    <x v="1"/>
    <x v="0"/>
    <x v="1"/>
    <n v="23"/>
    <n v="209.7"/>
    <n v="73"/>
    <n v="35.65"/>
    <n v="183.6"/>
    <n v="63"/>
    <n v="15.61"/>
    <n v="205.5"/>
    <n v="111"/>
    <n v="9.25"/>
    <n v="7.1"/>
    <n v="3"/>
    <n v="1.92"/>
    <x v="2"/>
    <x v="0"/>
    <n v="605.9"/>
    <n v="62.43"/>
    <n v="250"/>
    <x v="2"/>
    <x v="1"/>
    <x v="1"/>
    <x v="0"/>
    <x v="1"/>
    <x v="2"/>
  </r>
  <r>
    <x v="42"/>
    <n v="107"/>
    <x v="1"/>
    <x v="0"/>
    <x v="0"/>
    <n v="0"/>
    <n v="212.1"/>
    <n v="95"/>
    <n v="36.06"/>
    <n v="150.1"/>
    <n v="88"/>
    <n v="12.76"/>
    <n v="219.8"/>
    <n v="111"/>
    <n v="9.89"/>
    <n v="7.7"/>
    <n v="2"/>
    <n v="2.08"/>
    <x v="4"/>
    <x v="0"/>
    <n v="589.70000000000005"/>
    <n v="60.790000000000006"/>
    <n v="296"/>
    <x v="2"/>
    <x v="1"/>
    <x v="1"/>
    <x v="0"/>
    <x v="0"/>
    <x v="2"/>
  </r>
  <r>
    <x v="42"/>
    <n v="48"/>
    <x v="2"/>
    <x v="0"/>
    <x v="1"/>
    <n v="22"/>
    <n v="152"/>
    <n v="63"/>
    <n v="25.84"/>
    <n v="258.8"/>
    <n v="131"/>
    <n v="22"/>
    <n v="263.2"/>
    <n v="109"/>
    <n v="11.84"/>
    <n v="15.7"/>
    <n v="5"/>
    <n v="4.24"/>
    <x v="2"/>
    <x v="1"/>
    <n v="689.7"/>
    <n v="63.92"/>
    <n v="308"/>
    <x v="2"/>
    <x v="0"/>
    <x v="1"/>
    <x v="0"/>
    <x v="1"/>
    <x v="2"/>
  </r>
  <r>
    <x v="48"/>
    <n v="59"/>
    <x v="1"/>
    <x v="0"/>
    <x v="0"/>
    <n v="0"/>
    <n v="160.9"/>
    <n v="95"/>
    <n v="27.35"/>
    <n v="251.2"/>
    <n v="65"/>
    <n v="21.35"/>
    <n v="273.39999999999998"/>
    <n v="97"/>
    <n v="12.3"/>
    <n v="5"/>
    <n v="5"/>
    <n v="1.35"/>
    <x v="4"/>
    <x v="0"/>
    <n v="690.5"/>
    <n v="62.35"/>
    <n v="262"/>
    <x v="2"/>
    <x v="0"/>
    <x v="1"/>
    <x v="0"/>
    <x v="0"/>
    <x v="2"/>
  </r>
  <r>
    <x v="36"/>
    <n v="129"/>
    <x v="2"/>
    <x v="0"/>
    <x v="0"/>
    <n v="0"/>
    <n v="334.3"/>
    <n v="118"/>
    <n v="56.83"/>
    <n v="192.1"/>
    <n v="104"/>
    <n v="16.329999999999998"/>
    <n v="191"/>
    <n v="83"/>
    <n v="8.59"/>
    <n v="10.4"/>
    <n v="6"/>
    <n v="2.81"/>
    <x v="3"/>
    <x v="1"/>
    <n v="727.8"/>
    <n v="84.56"/>
    <n v="311"/>
    <x v="0"/>
    <x v="0"/>
    <x v="0"/>
    <x v="0"/>
    <x v="0"/>
    <x v="0"/>
  </r>
  <r>
    <x v="26"/>
    <n v="50"/>
    <x v="2"/>
    <x v="0"/>
    <x v="0"/>
    <n v="0"/>
    <n v="188.9"/>
    <n v="94"/>
    <n v="32.11"/>
    <n v="203.9"/>
    <n v="104"/>
    <n v="17.329999999999998"/>
    <n v="151.80000000000001"/>
    <n v="124"/>
    <n v="6.83"/>
    <n v="11.6"/>
    <n v="8"/>
    <n v="3.13"/>
    <x v="4"/>
    <x v="0"/>
    <n v="556.20000000000005"/>
    <n v="59.4"/>
    <n v="330"/>
    <x v="2"/>
    <x v="1"/>
    <x v="1"/>
    <x v="0"/>
    <x v="0"/>
    <x v="2"/>
  </r>
  <r>
    <x v="6"/>
    <n v="50"/>
    <x v="1"/>
    <x v="0"/>
    <x v="1"/>
    <n v="35"/>
    <n v="192.6"/>
    <n v="97"/>
    <n v="32.74"/>
    <n v="135.19999999999999"/>
    <n v="101"/>
    <n v="11.49"/>
    <n v="216.2"/>
    <n v="101"/>
    <n v="9.73"/>
    <n v="7.9"/>
    <n v="2"/>
    <n v="2.13"/>
    <x v="2"/>
    <x v="0"/>
    <n v="551.9"/>
    <n v="56.09"/>
    <n v="301"/>
    <x v="2"/>
    <x v="1"/>
    <x v="1"/>
    <x v="0"/>
    <x v="1"/>
    <x v="2"/>
  </r>
  <r>
    <x v="27"/>
    <n v="116"/>
    <x v="1"/>
    <x v="0"/>
    <x v="0"/>
    <n v="0"/>
    <n v="217.3"/>
    <n v="91"/>
    <n v="36.94"/>
    <n v="216.1"/>
    <n v="95"/>
    <n v="18.37"/>
    <n v="148.1"/>
    <n v="76"/>
    <n v="6.66"/>
    <n v="11.3"/>
    <n v="3"/>
    <n v="3.05"/>
    <x v="2"/>
    <x v="0"/>
    <n v="592.79999999999995"/>
    <n v="65.02"/>
    <n v="265"/>
    <x v="2"/>
    <x v="1"/>
    <x v="1"/>
    <x v="0"/>
    <x v="0"/>
    <x v="2"/>
  </r>
  <r>
    <x v="33"/>
    <n v="52"/>
    <x v="2"/>
    <x v="0"/>
    <x v="1"/>
    <n v="38"/>
    <n v="169.3"/>
    <n v="88"/>
    <n v="28.78"/>
    <n v="225.9"/>
    <n v="97"/>
    <n v="19.2"/>
    <n v="172"/>
    <n v="86"/>
    <n v="7.74"/>
    <n v="8.1999999999999993"/>
    <n v="3"/>
    <n v="2.21"/>
    <x v="3"/>
    <x v="0"/>
    <n v="575.40000000000009"/>
    <n v="57.93"/>
    <n v="274"/>
    <x v="0"/>
    <x v="1"/>
    <x v="1"/>
    <x v="0"/>
    <x v="1"/>
    <x v="0"/>
  </r>
  <r>
    <x v="46"/>
    <n v="12"/>
    <x v="2"/>
    <x v="1"/>
    <x v="0"/>
    <n v="0"/>
    <n v="216.7"/>
    <n v="117"/>
    <n v="36.840000000000003"/>
    <n v="116.5"/>
    <n v="126"/>
    <n v="9.9"/>
    <n v="220"/>
    <n v="110"/>
    <n v="9.9"/>
    <n v="9.8000000000000007"/>
    <n v="4"/>
    <n v="2.65"/>
    <x v="2"/>
    <x v="0"/>
    <n v="563"/>
    <n v="59.290000000000006"/>
    <n v="357"/>
    <x v="2"/>
    <x v="1"/>
    <x v="1"/>
    <x v="1"/>
    <x v="0"/>
    <x v="2"/>
  </r>
  <r>
    <x v="46"/>
    <n v="105"/>
    <x v="2"/>
    <x v="0"/>
    <x v="0"/>
    <n v="0"/>
    <n v="246.4"/>
    <n v="83"/>
    <n v="41.89"/>
    <n v="256.2"/>
    <n v="101"/>
    <n v="21.78"/>
    <n v="169"/>
    <n v="151"/>
    <n v="7.61"/>
    <n v="3.8"/>
    <n v="4"/>
    <n v="1.03"/>
    <x v="3"/>
    <x v="0"/>
    <n v="675.4"/>
    <n v="72.31"/>
    <n v="339"/>
    <x v="0"/>
    <x v="0"/>
    <x v="0"/>
    <x v="0"/>
    <x v="0"/>
    <x v="0"/>
  </r>
  <r>
    <x v="2"/>
    <n v="104"/>
    <x v="1"/>
    <x v="0"/>
    <x v="0"/>
    <n v="0"/>
    <n v="156.19999999999999"/>
    <n v="93"/>
    <n v="26.55"/>
    <n v="193"/>
    <n v="54"/>
    <n v="16.41"/>
    <n v="222.7"/>
    <n v="94"/>
    <n v="10.02"/>
    <n v="13.1"/>
    <n v="5"/>
    <n v="3.54"/>
    <x v="0"/>
    <x v="0"/>
    <n v="585"/>
    <n v="56.519999999999996"/>
    <n v="246"/>
    <x v="0"/>
    <x v="1"/>
    <x v="1"/>
    <x v="0"/>
    <x v="0"/>
    <x v="0"/>
  </r>
  <r>
    <x v="44"/>
    <n v="13"/>
    <x v="1"/>
    <x v="0"/>
    <x v="0"/>
    <n v="0"/>
    <n v="146.4"/>
    <n v="74"/>
    <n v="24.89"/>
    <n v="148.5"/>
    <n v="92"/>
    <n v="12.62"/>
    <n v="216.7"/>
    <n v="96"/>
    <n v="9.75"/>
    <n v="11.3"/>
    <n v="3"/>
    <n v="3.05"/>
    <x v="0"/>
    <x v="0"/>
    <n v="522.9"/>
    <n v="50.31"/>
    <n v="265"/>
    <x v="0"/>
    <x v="2"/>
    <x v="2"/>
    <x v="0"/>
    <x v="0"/>
    <x v="0"/>
  </r>
  <r>
    <x v="44"/>
    <n v="67"/>
    <x v="0"/>
    <x v="0"/>
    <x v="0"/>
    <n v="0"/>
    <n v="167.8"/>
    <n v="91"/>
    <n v="28.53"/>
    <n v="167.7"/>
    <n v="69"/>
    <n v="14.25"/>
    <n v="110.3"/>
    <n v="71"/>
    <n v="4.96"/>
    <n v="8.4"/>
    <n v="12"/>
    <n v="2.27"/>
    <x v="0"/>
    <x v="0"/>
    <n v="454.2"/>
    <n v="50.010000000000005"/>
    <n v="243"/>
    <x v="0"/>
    <x v="2"/>
    <x v="2"/>
    <x v="0"/>
    <x v="0"/>
    <x v="0"/>
  </r>
  <r>
    <x v="39"/>
    <n v="148"/>
    <x v="1"/>
    <x v="0"/>
    <x v="1"/>
    <n v="11"/>
    <n v="252.9"/>
    <n v="129"/>
    <n v="42.99"/>
    <n v="284.3"/>
    <n v="88"/>
    <n v="24.17"/>
    <n v="262.8"/>
    <n v="99"/>
    <n v="11.83"/>
    <n v="12.3"/>
    <n v="1"/>
    <n v="3.32"/>
    <x v="0"/>
    <x v="0"/>
    <n v="812.3"/>
    <n v="82.31"/>
    <n v="317"/>
    <x v="0"/>
    <x v="0"/>
    <x v="0"/>
    <x v="0"/>
    <x v="1"/>
    <x v="0"/>
  </r>
  <r>
    <x v="10"/>
    <n v="116"/>
    <x v="2"/>
    <x v="0"/>
    <x v="0"/>
    <n v="0"/>
    <n v="201.8"/>
    <n v="82"/>
    <n v="34.31"/>
    <n v="231.5"/>
    <n v="95"/>
    <n v="19.68"/>
    <n v="226.1"/>
    <n v="130"/>
    <n v="10.17"/>
    <n v="16.5"/>
    <n v="5"/>
    <n v="4.46"/>
    <x v="3"/>
    <x v="0"/>
    <n v="675.9"/>
    <n v="68.62"/>
    <n v="312"/>
    <x v="0"/>
    <x v="0"/>
    <x v="0"/>
    <x v="0"/>
    <x v="0"/>
    <x v="0"/>
  </r>
  <r>
    <x v="36"/>
    <n v="131"/>
    <x v="0"/>
    <x v="0"/>
    <x v="0"/>
    <n v="0"/>
    <n v="94.4"/>
    <n v="80"/>
    <n v="16.05"/>
    <n v="215.1"/>
    <n v="101"/>
    <n v="18.28"/>
    <n v="179.7"/>
    <n v="108"/>
    <n v="8.09"/>
    <n v="13.1"/>
    <n v="9"/>
    <n v="3.54"/>
    <x v="2"/>
    <x v="0"/>
    <n v="502.3"/>
    <n v="45.96"/>
    <n v="298"/>
    <x v="2"/>
    <x v="2"/>
    <x v="2"/>
    <x v="0"/>
    <x v="0"/>
    <x v="2"/>
  </r>
  <r>
    <x v="11"/>
    <n v="119"/>
    <x v="2"/>
    <x v="0"/>
    <x v="0"/>
    <n v="0"/>
    <n v="190.4"/>
    <n v="74"/>
    <n v="32.369999999999997"/>
    <n v="215.6"/>
    <n v="113"/>
    <n v="18.329999999999998"/>
    <n v="161.19999999999999"/>
    <n v="111"/>
    <n v="7.25"/>
    <n v="10"/>
    <n v="1"/>
    <n v="2.7"/>
    <x v="2"/>
    <x v="0"/>
    <n v="577.20000000000005"/>
    <n v="60.649999999999991"/>
    <n v="299"/>
    <x v="2"/>
    <x v="1"/>
    <x v="1"/>
    <x v="0"/>
    <x v="0"/>
    <x v="2"/>
  </r>
  <r>
    <x v="2"/>
    <n v="94"/>
    <x v="2"/>
    <x v="1"/>
    <x v="0"/>
    <n v="0"/>
    <n v="243.2"/>
    <n v="109"/>
    <n v="41.34"/>
    <n v="147"/>
    <n v="88"/>
    <n v="12.5"/>
    <n v="94.9"/>
    <n v="99"/>
    <n v="4.2699999999999996"/>
    <n v="7.2"/>
    <n v="4"/>
    <n v="1.94"/>
    <x v="1"/>
    <x v="0"/>
    <n v="492.3"/>
    <n v="60.050000000000004"/>
    <n v="300"/>
    <x v="1"/>
    <x v="2"/>
    <x v="1"/>
    <x v="1"/>
    <x v="0"/>
    <x v="0"/>
  </r>
  <r>
    <x v="26"/>
    <n v="217"/>
    <x v="0"/>
    <x v="0"/>
    <x v="0"/>
    <n v="0"/>
    <n v="176.4"/>
    <n v="115"/>
    <n v="29.99"/>
    <n v="158.80000000000001"/>
    <n v="128"/>
    <n v="13.5"/>
    <n v="306.60000000000002"/>
    <n v="107"/>
    <n v="13.8"/>
    <n v="9.3000000000000007"/>
    <n v="3"/>
    <n v="2.5099999999999998"/>
    <x v="1"/>
    <x v="0"/>
    <n v="651.1"/>
    <n v="59.8"/>
    <n v="353"/>
    <x v="1"/>
    <x v="1"/>
    <x v="1"/>
    <x v="0"/>
    <x v="0"/>
    <x v="1"/>
  </r>
  <r>
    <x v="25"/>
    <n v="161"/>
    <x v="1"/>
    <x v="0"/>
    <x v="0"/>
    <n v="0"/>
    <n v="178.1"/>
    <n v="109"/>
    <n v="30.28"/>
    <n v="146.5"/>
    <n v="86"/>
    <n v="12.45"/>
    <n v="137.6"/>
    <n v="78"/>
    <n v="6.19"/>
    <n v="8.5"/>
    <n v="2"/>
    <n v="2.2999999999999998"/>
    <x v="0"/>
    <x v="0"/>
    <n v="470.70000000000005"/>
    <n v="51.22"/>
    <n v="275"/>
    <x v="0"/>
    <x v="2"/>
    <x v="2"/>
    <x v="0"/>
    <x v="0"/>
    <x v="0"/>
  </r>
  <r>
    <x v="30"/>
    <n v="67"/>
    <x v="0"/>
    <x v="0"/>
    <x v="0"/>
    <n v="0"/>
    <n v="201.4"/>
    <n v="101"/>
    <n v="34.24"/>
    <n v="97.6"/>
    <n v="122"/>
    <n v="8.3000000000000007"/>
    <n v="202.5"/>
    <n v="119"/>
    <n v="9.11"/>
    <n v="7"/>
    <n v="3"/>
    <n v="1.89"/>
    <x v="3"/>
    <x v="0"/>
    <n v="508.5"/>
    <n v="53.540000000000006"/>
    <n v="345"/>
    <x v="0"/>
    <x v="2"/>
    <x v="2"/>
    <x v="0"/>
    <x v="0"/>
    <x v="0"/>
  </r>
  <r>
    <x v="46"/>
    <n v="132"/>
    <x v="1"/>
    <x v="0"/>
    <x v="1"/>
    <n v="31"/>
    <n v="174.5"/>
    <n v="101"/>
    <n v="29.67"/>
    <n v="245.6"/>
    <n v="105"/>
    <n v="20.88"/>
    <n v="172.8"/>
    <n v="76"/>
    <n v="7.78"/>
    <n v="10.3"/>
    <n v="9"/>
    <n v="2.78"/>
    <x v="0"/>
    <x v="0"/>
    <n v="603.20000000000005"/>
    <n v="61.11"/>
    <n v="291"/>
    <x v="0"/>
    <x v="1"/>
    <x v="1"/>
    <x v="0"/>
    <x v="1"/>
    <x v="0"/>
  </r>
  <r>
    <x v="45"/>
    <n v="134"/>
    <x v="0"/>
    <x v="0"/>
    <x v="0"/>
    <n v="0"/>
    <n v="205.3"/>
    <n v="122"/>
    <n v="34.9"/>
    <n v="240.5"/>
    <n v="155"/>
    <n v="20.440000000000001"/>
    <n v="179.1"/>
    <n v="107"/>
    <n v="8.06"/>
    <n v="5"/>
    <n v="9"/>
    <n v="1.35"/>
    <x v="0"/>
    <x v="0"/>
    <n v="629.9"/>
    <n v="64.75"/>
    <n v="393"/>
    <x v="0"/>
    <x v="1"/>
    <x v="1"/>
    <x v="0"/>
    <x v="0"/>
    <x v="0"/>
  </r>
  <r>
    <x v="2"/>
    <n v="44"/>
    <x v="2"/>
    <x v="0"/>
    <x v="0"/>
    <n v="0"/>
    <n v="143.19999999999999"/>
    <n v="77"/>
    <n v="24.34"/>
    <n v="169.8"/>
    <n v="114"/>
    <n v="14.43"/>
    <n v="215.8"/>
    <n v="77"/>
    <n v="9.7100000000000009"/>
    <n v="7.6"/>
    <n v="4"/>
    <n v="2.0499999999999998"/>
    <x v="0"/>
    <x v="0"/>
    <n v="536.4"/>
    <n v="50.53"/>
    <n v="272"/>
    <x v="0"/>
    <x v="1"/>
    <x v="2"/>
    <x v="0"/>
    <x v="0"/>
    <x v="0"/>
  </r>
  <r>
    <x v="28"/>
    <n v="53"/>
    <x v="1"/>
    <x v="0"/>
    <x v="1"/>
    <n v="27"/>
    <n v="25.9"/>
    <n v="119"/>
    <n v="4.4000000000000004"/>
    <n v="206.5"/>
    <n v="96"/>
    <n v="17.55"/>
    <n v="228.1"/>
    <n v="64"/>
    <n v="10.26"/>
    <n v="6.5"/>
    <n v="7"/>
    <n v="1.76"/>
    <x v="0"/>
    <x v="0"/>
    <n v="467"/>
    <n v="33.97"/>
    <n v="286"/>
    <x v="0"/>
    <x v="2"/>
    <x v="2"/>
    <x v="0"/>
    <x v="1"/>
    <x v="0"/>
  </r>
  <r>
    <x v="2"/>
    <n v="108"/>
    <x v="1"/>
    <x v="0"/>
    <x v="0"/>
    <n v="0"/>
    <n v="154.19999999999999"/>
    <n v="123"/>
    <n v="26.21"/>
    <n v="112.3"/>
    <n v="86"/>
    <n v="9.5500000000000007"/>
    <n v="246.4"/>
    <n v="75"/>
    <n v="11.09"/>
    <n v="15.4"/>
    <n v="4"/>
    <n v="4.16"/>
    <x v="1"/>
    <x v="1"/>
    <n v="528.29999999999995"/>
    <n v="51.010000000000005"/>
    <n v="288"/>
    <x v="1"/>
    <x v="2"/>
    <x v="2"/>
    <x v="0"/>
    <x v="0"/>
    <x v="1"/>
  </r>
  <r>
    <x v="40"/>
    <n v="80"/>
    <x v="0"/>
    <x v="0"/>
    <x v="0"/>
    <n v="0"/>
    <n v="322.3"/>
    <n v="113"/>
    <n v="54.79"/>
    <n v="222"/>
    <n v="95"/>
    <n v="18.87"/>
    <n v="162.80000000000001"/>
    <n v="123"/>
    <n v="7.33"/>
    <n v="6.7"/>
    <n v="8"/>
    <n v="1.81"/>
    <x v="3"/>
    <x v="1"/>
    <n v="713.8"/>
    <n v="82.8"/>
    <n v="339"/>
    <x v="0"/>
    <x v="0"/>
    <x v="0"/>
    <x v="0"/>
    <x v="0"/>
    <x v="0"/>
  </r>
  <r>
    <x v="32"/>
    <n v="88"/>
    <x v="1"/>
    <x v="0"/>
    <x v="0"/>
    <n v="0"/>
    <n v="215.6"/>
    <n v="115"/>
    <n v="36.65"/>
    <n v="216.2"/>
    <n v="85"/>
    <n v="18.38"/>
    <n v="171.3"/>
    <n v="65"/>
    <n v="7.71"/>
    <n v="11.8"/>
    <n v="1"/>
    <n v="3.19"/>
    <x v="4"/>
    <x v="0"/>
    <n v="614.89999999999986"/>
    <n v="65.930000000000007"/>
    <n v="266"/>
    <x v="2"/>
    <x v="1"/>
    <x v="0"/>
    <x v="0"/>
    <x v="0"/>
    <x v="2"/>
  </r>
  <r>
    <x v="37"/>
    <n v="82"/>
    <x v="2"/>
    <x v="1"/>
    <x v="0"/>
    <n v="0"/>
    <n v="208.8"/>
    <n v="101"/>
    <n v="35.5"/>
    <n v="213.7"/>
    <n v="87"/>
    <n v="18.16"/>
    <n v="175.1"/>
    <n v="86"/>
    <n v="7.88"/>
    <n v="12.4"/>
    <n v="6"/>
    <n v="3.35"/>
    <x v="4"/>
    <x v="0"/>
    <n v="610"/>
    <n v="64.89"/>
    <n v="280"/>
    <x v="2"/>
    <x v="1"/>
    <x v="1"/>
    <x v="1"/>
    <x v="0"/>
    <x v="2"/>
  </r>
  <r>
    <x v="5"/>
    <n v="115"/>
    <x v="1"/>
    <x v="0"/>
    <x v="0"/>
    <n v="0"/>
    <n v="245.2"/>
    <n v="105"/>
    <n v="41.68"/>
    <n v="159"/>
    <n v="109"/>
    <n v="13.52"/>
    <n v="229.9"/>
    <n v="74"/>
    <n v="10.35"/>
    <n v="7.2"/>
    <n v="8"/>
    <n v="1.94"/>
    <x v="3"/>
    <x v="0"/>
    <n v="641.30000000000007"/>
    <n v="67.489999999999995"/>
    <n v="296"/>
    <x v="0"/>
    <x v="1"/>
    <x v="0"/>
    <x v="0"/>
    <x v="0"/>
    <x v="0"/>
  </r>
  <r>
    <x v="35"/>
    <n v="93"/>
    <x v="1"/>
    <x v="0"/>
    <x v="0"/>
    <n v="0"/>
    <n v="98.4"/>
    <n v="78"/>
    <n v="16.73"/>
    <n v="249.6"/>
    <n v="129"/>
    <n v="21.22"/>
    <n v="248.2"/>
    <n v="114"/>
    <n v="11.17"/>
    <n v="14.2"/>
    <n v="4"/>
    <n v="3.83"/>
    <x v="0"/>
    <x v="0"/>
    <n v="610.40000000000009"/>
    <n v="52.95"/>
    <n v="325"/>
    <x v="0"/>
    <x v="1"/>
    <x v="2"/>
    <x v="0"/>
    <x v="0"/>
    <x v="0"/>
  </r>
  <r>
    <x v="22"/>
    <n v="72"/>
    <x v="1"/>
    <x v="0"/>
    <x v="0"/>
    <n v="0"/>
    <n v="217.8"/>
    <n v="93"/>
    <n v="37.03"/>
    <n v="189.7"/>
    <n v="113"/>
    <n v="16.12"/>
    <n v="182.6"/>
    <n v="91"/>
    <n v="8.2200000000000006"/>
    <n v="10.4"/>
    <n v="5"/>
    <n v="2.81"/>
    <x v="1"/>
    <x v="0"/>
    <n v="600.5"/>
    <n v="64.180000000000007"/>
    <n v="302"/>
    <x v="1"/>
    <x v="1"/>
    <x v="1"/>
    <x v="0"/>
    <x v="0"/>
    <x v="1"/>
  </r>
  <r>
    <x v="36"/>
    <n v="98"/>
    <x v="1"/>
    <x v="0"/>
    <x v="1"/>
    <n v="29"/>
    <n v="179.9"/>
    <n v="97"/>
    <n v="30.58"/>
    <n v="189.2"/>
    <n v="89"/>
    <n v="16.079999999999998"/>
    <n v="164.3"/>
    <n v="76"/>
    <n v="7.39"/>
    <n v="12.8"/>
    <n v="7"/>
    <n v="3.46"/>
    <x v="4"/>
    <x v="0"/>
    <n v="546.20000000000005"/>
    <n v="57.51"/>
    <n v="269"/>
    <x v="2"/>
    <x v="1"/>
    <x v="1"/>
    <x v="0"/>
    <x v="1"/>
    <x v="2"/>
  </r>
  <r>
    <x v="7"/>
    <n v="118"/>
    <x v="1"/>
    <x v="0"/>
    <x v="0"/>
    <n v="0"/>
    <n v="140.4"/>
    <n v="112"/>
    <n v="23.87"/>
    <n v="187.1"/>
    <n v="60"/>
    <n v="15.9"/>
    <n v="207.9"/>
    <n v="155"/>
    <n v="9.36"/>
    <n v="7.9"/>
    <n v="1"/>
    <n v="2.13"/>
    <x v="3"/>
    <x v="0"/>
    <n v="543.29999999999995"/>
    <n v="51.260000000000005"/>
    <n v="328"/>
    <x v="0"/>
    <x v="1"/>
    <x v="2"/>
    <x v="0"/>
    <x v="0"/>
    <x v="0"/>
  </r>
  <r>
    <x v="21"/>
    <n v="55"/>
    <x v="2"/>
    <x v="0"/>
    <x v="0"/>
    <n v="0"/>
    <n v="189"/>
    <n v="100"/>
    <n v="32.130000000000003"/>
    <n v="118.5"/>
    <n v="99"/>
    <n v="10.07"/>
    <n v="248.1"/>
    <n v="87"/>
    <n v="11.16"/>
    <n v="17.100000000000001"/>
    <n v="6"/>
    <n v="4.62"/>
    <x v="3"/>
    <x v="0"/>
    <n v="572.70000000000005"/>
    <n v="57.980000000000004"/>
    <n v="292"/>
    <x v="0"/>
    <x v="1"/>
    <x v="1"/>
    <x v="0"/>
    <x v="0"/>
    <x v="0"/>
  </r>
  <r>
    <x v="41"/>
    <n v="130"/>
    <x v="1"/>
    <x v="0"/>
    <x v="0"/>
    <n v="0"/>
    <n v="155.9"/>
    <n v="95"/>
    <n v="26.5"/>
    <n v="256.10000000000002"/>
    <n v="97"/>
    <n v="21.77"/>
    <n v="262.89999999999998"/>
    <n v="103"/>
    <n v="11.83"/>
    <n v="11.7"/>
    <n v="3"/>
    <n v="3.16"/>
    <x v="4"/>
    <x v="0"/>
    <n v="686.6"/>
    <n v="63.26"/>
    <n v="298"/>
    <x v="2"/>
    <x v="0"/>
    <x v="1"/>
    <x v="0"/>
    <x v="0"/>
    <x v="2"/>
  </r>
  <r>
    <x v="29"/>
    <n v="136"/>
    <x v="0"/>
    <x v="1"/>
    <x v="0"/>
    <n v="0"/>
    <n v="199.2"/>
    <n v="122"/>
    <n v="33.86"/>
    <n v="214.7"/>
    <n v="114"/>
    <n v="18.25"/>
    <n v="150.9"/>
    <n v="105"/>
    <n v="6.79"/>
    <n v="11.8"/>
    <n v="7"/>
    <n v="3.19"/>
    <x v="0"/>
    <x v="0"/>
    <n v="576.59999999999991"/>
    <n v="62.09"/>
    <n v="348"/>
    <x v="0"/>
    <x v="1"/>
    <x v="1"/>
    <x v="1"/>
    <x v="0"/>
    <x v="0"/>
  </r>
  <r>
    <x v="14"/>
    <n v="107"/>
    <x v="1"/>
    <x v="0"/>
    <x v="0"/>
    <n v="0"/>
    <n v="157.1"/>
    <n v="79"/>
    <n v="26.71"/>
    <n v="162.6"/>
    <n v="124"/>
    <n v="13.82"/>
    <n v="150"/>
    <n v="138"/>
    <n v="6.75"/>
    <n v="12.1"/>
    <n v="6"/>
    <n v="3.27"/>
    <x v="0"/>
    <x v="0"/>
    <n v="481.8"/>
    <n v="50.55"/>
    <n v="347"/>
    <x v="0"/>
    <x v="2"/>
    <x v="2"/>
    <x v="0"/>
    <x v="0"/>
    <x v="0"/>
  </r>
  <r>
    <x v="6"/>
    <n v="91"/>
    <x v="1"/>
    <x v="0"/>
    <x v="0"/>
    <n v="0"/>
    <n v="154.4"/>
    <n v="165"/>
    <n v="26.25"/>
    <n v="168.3"/>
    <n v="121"/>
    <n v="14.31"/>
    <n v="239.9"/>
    <n v="81"/>
    <n v="10.8"/>
    <n v="11.7"/>
    <n v="4"/>
    <n v="3.16"/>
    <x v="5"/>
    <x v="1"/>
    <n v="574.30000000000007"/>
    <n v="54.52"/>
    <n v="371"/>
    <x v="1"/>
    <x v="1"/>
    <x v="1"/>
    <x v="0"/>
    <x v="0"/>
    <x v="1"/>
  </r>
  <r>
    <x v="2"/>
    <n v="167"/>
    <x v="1"/>
    <x v="0"/>
    <x v="0"/>
    <n v="0"/>
    <n v="166.4"/>
    <n v="85"/>
    <n v="28.29"/>
    <n v="243.2"/>
    <n v="135"/>
    <n v="20.67"/>
    <n v="229.2"/>
    <n v="95"/>
    <n v="10.31"/>
    <n v="9.9"/>
    <n v="5"/>
    <n v="2.67"/>
    <x v="0"/>
    <x v="0"/>
    <n v="648.69999999999993"/>
    <n v="61.940000000000005"/>
    <n v="320"/>
    <x v="0"/>
    <x v="1"/>
    <x v="1"/>
    <x v="0"/>
    <x v="0"/>
    <x v="0"/>
  </r>
  <r>
    <x v="30"/>
    <n v="159"/>
    <x v="1"/>
    <x v="0"/>
    <x v="1"/>
    <n v="19"/>
    <n v="184.1"/>
    <n v="78"/>
    <n v="31.3"/>
    <n v="194.5"/>
    <n v="71"/>
    <n v="16.53"/>
    <n v="225.6"/>
    <n v="101"/>
    <n v="10.15"/>
    <n v="16.899999999999999"/>
    <n v="3"/>
    <n v="4.5599999999999996"/>
    <x v="3"/>
    <x v="0"/>
    <n v="621.1"/>
    <n v="62.540000000000006"/>
    <n v="253"/>
    <x v="0"/>
    <x v="1"/>
    <x v="1"/>
    <x v="0"/>
    <x v="1"/>
    <x v="0"/>
  </r>
  <r>
    <x v="45"/>
    <n v="122"/>
    <x v="1"/>
    <x v="0"/>
    <x v="0"/>
    <n v="0"/>
    <n v="35.1"/>
    <n v="62"/>
    <n v="5.97"/>
    <n v="180.8"/>
    <n v="89"/>
    <n v="15.37"/>
    <n v="251.6"/>
    <n v="58"/>
    <n v="11.32"/>
    <n v="12.7"/>
    <n v="2"/>
    <n v="3.43"/>
    <x v="0"/>
    <x v="0"/>
    <n v="480.2"/>
    <n v="36.089999999999996"/>
    <n v="211"/>
    <x v="0"/>
    <x v="2"/>
    <x v="2"/>
    <x v="0"/>
    <x v="0"/>
    <x v="0"/>
  </r>
  <r>
    <x v="6"/>
    <n v="105"/>
    <x v="1"/>
    <x v="0"/>
    <x v="1"/>
    <n v="29"/>
    <n v="179.4"/>
    <n v="113"/>
    <n v="30.5"/>
    <n v="275.39999999999998"/>
    <n v="100"/>
    <n v="23.41"/>
    <n v="246.1"/>
    <n v="105"/>
    <n v="11.07"/>
    <n v="10"/>
    <n v="5"/>
    <n v="2.7"/>
    <x v="3"/>
    <x v="0"/>
    <n v="710.9"/>
    <n v="67.680000000000007"/>
    <n v="323"/>
    <x v="0"/>
    <x v="0"/>
    <x v="0"/>
    <x v="0"/>
    <x v="1"/>
    <x v="0"/>
  </r>
  <r>
    <x v="23"/>
    <n v="155"/>
    <x v="0"/>
    <x v="0"/>
    <x v="0"/>
    <n v="0"/>
    <n v="216.7"/>
    <n v="30"/>
    <n v="36.840000000000003"/>
    <n v="144.30000000000001"/>
    <n v="125"/>
    <n v="12.27"/>
    <n v="135.30000000000001"/>
    <n v="106"/>
    <n v="6.09"/>
    <n v="10.8"/>
    <n v="1"/>
    <n v="2.92"/>
    <x v="2"/>
    <x v="0"/>
    <n v="507.1"/>
    <n v="58.120000000000005"/>
    <n v="262"/>
    <x v="2"/>
    <x v="2"/>
    <x v="1"/>
    <x v="0"/>
    <x v="0"/>
    <x v="2"/>
  </r>
  <r>
    <x v="18"/>
    <n v="161"/>
    <x v="1"/>
    <x v="0"/>
    <x v="0"/>
    <n v="0"/>
    <n v="151.6"/>
    <n v="117"/>
    <n v="25.77"/>
    <n v="219.4"/>
    <n v="87"/>
    <n v="18.649999999999999"/>
    <n v="224.7"/>
    <n v="68"/>
    <n v="10.11"/>
    <n v="4"/>
    <n v="5"/>
    <n v="1.08"/>
    <x v="0"/>
    <x v="0"/>
    <n v="599.70000000000005"/>
    <n v="55.61"/>
    <n v="277"/>
    <x v="0"/>
    <x v="1"/>
    <x v="1"/>
    <x v="0"/>
    <x v="0"/>
    <x v="0"/>
  </r>
  <r>
    <x v="2"/>
    <n v="122"/>
    <x v="1"/>
    <x v="0"/>
    <x v="0"/>
    <n v="0"/>
    <n v="173.6"/>
    <n v="110"/>
    <n v="29.51"/>
    <n v="91.7"/>
    <n v="84"/>
    <n v="7.79"/>
    <n v="211.7"/>
    <n v="103"/>
    <n v="9.5299999999999994"/>
    <n v="9.6999999999999993"/>
    <n v="7"/>
    <n v="2.62"/>
    <x v="4"/>
    <x v="0"/>
    <n v="486.7"/>
    <n v="49.45"/>
    <n v="304"/>
    <x v="2"/>
    <x v="2"/>
    <x v="2"/>
    <x v="0"/>
    <x v="0"/>
    <x v="2"/>
  </r>
  <r>
    <x v="43"/>
    <n v="37"/>
    <x v="1"/>
    <x v="1"/>
    <x v="0"/>
    <n v="0"/>
    <n v="106.6"/>
    <n v="76"/>
    <n v="18.12"/>
    <n v="147.4"/>
    <n v="89"/>
    <n v="12.53"/>
    <n v="235.8"/>
    <n v="113"/>
    <n v="10.61"/>
    <n v="9.6"/>
    <n v="8"/>
    <n v="2.59"/>
    <x v="2"/>
    <x v="0"/>
    <n v="499.40000000000003"/>
    <n v="43.849999999999994"/>
    <n v="286"/>
    <x v="2"/>
    <x v="2"/>
    <x v="2"/>
    <x v="1"/>
    <x v="0"/>
    <x v="2"/>
  </r>
  <r>
    <x v="30"/>
    <n v="128"/>
    <x v="1"/>
    <x v="0"/>
    <x v="0"/>
    <n v="0"/>
    <n v="103.3"/>
    <n v="122"/>
    <n v="17.559999999999999"/>
    <n v="245.9"/>
    <n v="123"/>
    <n v="20.9"/>
    <n v="161.1"/>
    <n v="95"/>
    <n v="7.25"/>
    <n v="6.4"/>
    <n v="7"/>
    <n v="1.73"/>
    <x v="3"/>
    <x v="0"/>
    <n v="516.69999999999993"/>
    <n v="47.44"/>
    <n v="347"/>
    <x v="0"/>
    <x v="2"/>
    <x v="2"/>
    <x v="0"/>
    <x v="0"/>
    <x v="0"/>
  </r>
  <r>
    <x v="36"/>
    <n v="89"/>
    <x v="2"/>
    <x v="1"/>
    <x v="0"/>
    <n v="0"/>
    <n v="125.6"/>
    <n v="108"/>
    <n v="21.35"/>
    <n v="213"/>
    <n v="90"/>
    <n v="18.11"/>
    <n v="181.7"/>
    <n v="108"/>
    <n v="8.18"/>
    <n v="5.4"/>
    <n v="5"/>
    <n v="1.46"/>
    <x v="0"/>
    <x v="0"/>
    <n v="525.69999999999993"/>
    <n v="49.1"/>
    <n v="311"/>
    <x v="0"/>
    <x v="2"/>
    <x v="2"/>
    <x v="1"/>
    <x v="0"/>
    <x v="0"/>
  </r>
  <r>
    <x v="1"/>
    <n v="108"/>
    <x v="1"/>
    <x v="0"/>
    <x v="0"/>
    <n v="0"/>
    <n v="199.3"/>
    <n v="104"/>
    <n v="33.880000000000003"/>
    <n v="224.2"/>
    <n v="92"/>
    <n v="19.059999999999999"/>
    <n v="140.1"/>
    <n v="57"/>
    <n v="6.3"/>
    <n v="15.2"/>
    <n v="2"/>
    <n v="4.0999999999999996"/>
    <x v="3"/>
    <x v="0"/>
    <n v="578.80000000000007"/>
    <n v="63.34"/>
    <n v="255"/>
    <x v="0"/>
    <x v="1"/>
    <x v="1"/>
    <x v="0"/>
    <x v="0"/>
    <x v="0"/>
  </r>
  <r>
    <x v="11"/>
    <n v="109"/>
    <x v="0"/>
    <x v="0"/>
    <x v="0"/>
    <n v="0"/>
    <n v="222.2"/>
    <n v="113"/>
    <n v="37.770000000000003"/>
    <n v="218.5"/>
    <n v="122"/>
    <n v="18.57"/>
    <n v="266"/>
    <n v="88"/>
    <n v="11.97"/>
    <n v="10.9"/>
    <n v="5"/>
    <n v="2.94"/>
    <x v="0"/>
    <x v="0"/>
    <n v="717.6"/>
    <n v="71.25"/>
    <n v="328"/>
    <x v="0"/>
    <x v="0"/>
    <x v="0"/>
    <x v="0"/>
    <x v="0"/>
    <x v="0"/>
  </r>
  <r>
    <x v="18"/>
    <n v="29"/>
    <x v="1"/>
    <x v="0"/>
    <x v="0"/>
    <n v="0"/>
    <n v="157.4"/>
    <n v="122"/>
    <n v="26.76"/>
    <n v="145"/>
    <n v="75"/>
    <n v="12.33"/>
    <n v="281.8"/>
    <n v="92"/>
    <n v="12.68"/>
    <n v="9.3000000000000007"/>
    <n v="2"/>
    <n v="2.5099999999999998"/>
    <x v="0"/>
    <x v="0"/>
    <n v="593.5"/>
    <n v="54.28"/>
    <n v="291"/>
    <x v="0"/>
    <x v="1"/>
    <x v="1"/>
    <x v="0"/>
    <x v="0"/>
    <x v="0"/>
  </r>
  <r>
    <x v="24"/>
    <n v="119"/>
    <x v="1"/>
    <x v="1"/>
    <x v="1"/>
    <n v="15"/>
    <n v="160"/>
    <n v="95"/>
    <n v="27.2"/>
    <n v="209.5"/>
    <n v="110"/>
    <n v="17.809999999999999"/>
    <n v="82.3"/>
    <n v="107"/>
    <n v="3.7"/>
    <n v="8.6999999999999993"/>
    <n v="5"/>
    <n v="2.35"/>
    <x v="5"/>
    <x v="1"/>
    <n v="460.5"/>
    <n v="51.06"/>
    <n v="317"/>
    <x v="1"/>
    <x v="2"/>
    <x v="2"/>
    <x v="1"/>
    <x v="1"/>
    <x v="0"/>
  </r>
  <r>
    <x v="21"/>
    <n v="86"/>
    <x v="1"/>
    <x v="0"/>
    <x v="0"/>
    <n v="0"/>
    <n v="83.5"/>
    <n v="96"/>
    <n v="14.2"/>
    <n v="221.1"/>
    <n v="63"/>
    <n v="18.79"/>
    <n v="349.7"/>
    <n v="75"/>
    <n v="15.74"/>
    <n v="12.6"/>
    <n v="3"/>
    <n v="3.4"/>
    <x v="3"/>
    <x v="0"/>
    <n v="666.9"/>
    <n v="52.129999999999995"/>
    <n v="237"/>
    <x v="0"/>
    <x v="0"/>
    <x v="2"/>
    <x v="0"/>
    <x v="0"/>
    <x v="0"/>
  </r>
  <r>
    <x v="49"/>
    <n v="92"/>
    <x v="2"/>
    <x v="0"/>
    <x v="1"/>
    <n v="25"/>
    <n v="134"/>
    <n v="112"/>
    <n v="22.78"/>
    <n v="206"/>
    <n v="111"/>
    <n v="17.510000000000002"/>
    <n v="180.6"/>
    <n v="118"/>
    <n v="8.1300000000000008"/>
    <n v="9.6999999999999993"/>
    <n v="4"/>
    <n v="2.62"/>
    <x v="3"/>
    <x v="0"/>
    <n v="530.30000000000007"/>
    <n v="51.040000000000006"/>
    <n v="345"/>
    <x v="0"/>
    <x v="2"/>
    <x v="2"/>
    <x v="0"/>
    <x v="1"/>
    <x v="0"/>
  </r>
  <r>
    <x v="18"/>
    <n v="13"/>
    <x v="2"/>
    <x v="0"/>
    <x v="1"/>
    <n v="25"/>
    <n v="176.6"/>
    <n v="65"/>
    <n v="30.02"/>
    <n v="172.7"/>
    <n v="96"/>
    <n v="14.68"/>
    <n v="104.5"/>
    <n v="128"/>
    <n v="4.7"/>
    <n v="11.3"/>
    <n v="5"/>
    <n v="3.05"/>
    <x v="2"/>
    <x v="0"/>
    <n v="465.09999999999997"/>
    <n v="52.45"/>
    <n v="294"/>
    <x v="2"/>
    <x v="2"/>
    <x v="2"/>
    <x v="0"/>
    <x v="1"/>
    <x v="2"/>
  </r>
  <r>
    <x v="34"/>
    <n v="144"/>
    <x v="2"/>
    <x v="1"/>
    <x v="1"/>
    <n v="35"/>
    <n v="174.8"/>
    <n v="127"/>
    <n v="29.72"/>
    <n v="219.6"/>
    <n v="93"/>
    <n v="18.670000000000002"/>
    <n v="255.8"/>
    <n v="90"/>
    <n v="11.51"/>
    <n v="12.8"/>
    <n v="3"/>
    <n v="3.46"/>
    <x v="3"/>
    <x v="0"/>
    <n v="663"/>
    <n v="63.36"/>
    <n v="313"/>
    <x v="0"/>
    <x v="0"/>
    <x v="1"/>
    <x v="1"/>
    <x v="1"/>
    <x v="0"/>
  </r>
  <r>
    <x v="23"/>
    <n v="139"/>
    <x v="2"/>
    <x v="0"/>
    <x v="0"/>
    <n v="0"/>
    <n v="221.3"/>
    <n v="140"/>
    <n v="37.619999999999997"/>
    <n v="157.80000000000001"/>
    <n v="89"/>
    <n v="13.41"/>
    <n v="192.5"/>
    <n v="89"/>
    <n v="8.66"/>
    <n v="11.3"/>
    <n v="6"/>
    <n v="3.05"/>
    <x v="0"/>
    <x v="0"/>
    <n v="582.9"/>
    <n v="62.739999999999995"/>
    <n v="324"/>
    <x v="0"/>
    <x v="1"/>
    <x v="1"/>
    <x v="0"/>
    <x v="0"/>
    <x v="0"/>
  </r>
  <r>
    <x v="0"/>
    <n v="95"/>
    <x v="1"/>
    <x v="0"/>
    <x v="0"/>
    <n v="0"/>
    <n v="141.1"/>
    <n v="84"/>
    <n v="23.99"/>
    <n v="211.4"/>
    <n v="108"/>
    <n v="17.97"/>
    <n v="103.7"/>
    <n v="127"/>
    <n v="4.67"/>
    <n v="5.9"/>
    <n v="6"/>
    <n v="1.59"/>
    <x v="4"/>
    <x v="0"/>
    <n v="462.09999999999997"/>
    <n v="48.22"/>
    <n v="325"/>
    <x v="2"/>
    <x v="2"/>
    <x v="2"/>
    <x v="0"/>
    <x v="0"/>
    <x v="2"/>
  </r>
  <r>
    <x v="40"/>
    <n v="80"/>
    <x v="0"/>
    <x v="0"/>
    <x v="1"/>
    <n v="31"/>
    <n v="166.4"/>
    <n v="92"/>
    <n v="28.29"/>
    <n v="238.3"/>
    <n v="74"/>
    <n v="20.260000000000002"/>
    <n v="150.69999999999999"/>
    <n v="84"/>
    <n v="6.78"/>
    <n v="10.7"/>
    <n v="4"/>
    <n v="2.89"/>
    <x v="1"/>
    <x v="0"/>
    <n v="566.10000000000014"/>
    <n v="58.22"/>
    <n v="254"/>
    <x v="1"/>
    <x v="1"/>
    <x v="1"/>
    <x v="0"/>
    <x v="1"/>
    <x v="1"/>
  </r>
  <r>
    <x v="12"/>
    <n v="113"/>
    <x v="1"/>
    <x v="0"/>
    <x v="0"/>
    <n v="0"/>
    <n v="215.9"/>
    <n v="93"/>
    <n v="36.700000000000003"/>
    <n v="240.1"/>
    <n v="85"/>
    <n v="20.41"/>
    <n v="156.69999999999999"/>
    <n v="123"/>
    <n v="7.05"/>
    <n v="4.9000000000000004"/>
    <n v="5"/>
    <n v="1.32"/>
    <x v="4"/>
    <x v="0"/>
    <n v="617.6"/>
    <n v="65.48"/>
    <n v="306"/>
    <x v="2"/>
    <x v="1"/>
    <x v="1"/>
    <x v="0"/>
    <x v="0"/>
    <x v="2"/>
  </r>
  <r>
    <x v="7"/>
    <n v="88"/>
    <x v="1"/>
    <x v="0"/>
    <x v="1"/>
    <n v="31"/>
    <n v="181.6"/>
    <n v="91"/>
    <n v="30.87"/>
    <n v="213.2"/>
    <n v="120"/>
    <n v="18.12"/>
    <n v="207.8"/>
    <n v="104"/>
    <n v="9.35"/>
    <n v="11.4"/>
    <n v="4"/>
    <n v="3.08"/>
    <x v="0"/>
    <x v="0"/>
    <n v="613.99999999999989"/>
    <n v="61.42"/>
    <n v="319"/>
    <x v="0"/>
    <x v="1"/>
    <x v="1"/>
    <x v="0"/>
    <x v="1"/>
    <x v="0"/>
  </r>
  <r>
    <x v="37"/>
    <n v="74"/>
    <x v="1"/>
    <x v="0"/>
    <x v="0"/>
    <n v="0"/>
    <n v="106.4"/>
    <n v="84"/>
    <n v="18.09"/>
    <n v="140.19999999999999"/>
    <n v="104"/>
    <n v="11.92"/>
    <n v="90.9"/>
    <n v="81"/>
    <n v="4.09"/>
    <n v="11.4"/>
    <n v="3"/>
    <n v="3.08"/>
    <x v="0"/>
    <x v="0"/>
    <n v="348.9"/>
    <n v="37.18"/>
    <n v="272"/>
    <x v="0"/>
    <x v="2"/>
    <x v="2"/>
    <x v="0"/>
    <x v="0"/>
    <x v="0"/>
  </r>
  <r>
    <x v="41"/>
    <n v="48"/>
    <x v="2"/>
    <x v="0"/>
    <x v="0"/>
    <n v="0"/>
    <n v="128.19999999999999"/>
    <n v="71"/>
    <n v="21.79"/>
    <n v="48.1"/>
    <n v="78"/>
    <n v="4.09"/>
    <n v="116.3"/>
    <n v="80"/>
    <n v="5.23"/>
    <n v="8.9"/>
    <n v="3"/>
    <n v="2.4"/>
    <x v="3"/>
    <x v="0"/>
    <n v="301.49999999999994"/>
    <n v="33.51"/>
    <n v="232"/>
    <x v="0"/>
    <x v="2"/>
    <x v="2"/>
    <x v="0"/>
    <x v="0"/>
    <x v="0"/>
  </r>
  <r>
    <x v="16"/>
    <n v="163"/>
    <x v="2"/>
    <x v="0"/>
    <x v="0"/>
    <n v="0"/>
    <n v="178.7"/>
    <n v="56"/>
    <n v="30.38"/>
    <n v="215.7"/>
    <n v="79"/>
    <n v="18.329999999999998"/>
    <n v="152.69999999999999"/>
    <n v="84"/>
    <n v="6.87"/>
    <n v="10.6"/>
    <n v="2"/>
    <n v="2.86"/>
    <x v="1"/>
    <x v="0"/>
    <n v="557.69999999999993"/>
    <n v="58.44"/>
    <n v="221"/>
    <x v="1"/>
    <x v="1"/>
    <x v="1"/>
    <x v="0"/>
    <x v="0"/>
    <x v="1"/>
  </r>
  <r>
    <x v="7"/>
    <n v="56"/>
    <x v="2"/>
    <x v="0"/>
    <x v="0"/>
    <n v="0"/>
    <n v="150.9"/>
    <n v="79"/>
    <n v="25.65"/>
    <n v="161.80000000000001"/>
    <n v="87"/>
    <n v="13.75"/>
    <n v="167.7"/>
    <n v="115"/>
    <n v="7.55"/>
    <n v="11.7"/>
    <n v="5"/>
    <n v="3.16"/>
    <x v="4"/>
    <x v="0"/>
    <n v="492.1"/>
    <n v="50.11"/>
    <n v="286"/>
    <x v="2"/>
    <x v="2"/>
    <x v="2"/>
    <x v="0"/>
    <x v="0"/>
    <x v="2"/>
  </r>
  <r>
    <x v="26"/>
    <n v="64"/>
    <x v="1"/>
    <x v="0"/>
    <x v="0"/>
    <n v="0"/>
    <n v="168"/>
    <n v="116"/>
    <n v="28.56"/>
    <n v="192.4"/>
    <n v="94"/>
    <n v="16.350000000000001"/>
    <n v="166.5"/>
    <n v="98"/>
    <n v="7.49"/>
    <n v="10.1"/>
    <n v="3"/>
    <n v="2.73"/>
    <x v="2"/>
    <x v="0"/>
    <n v="537"/>
    <n v="55.129999999999995"/>
    <n v="311"/>
    <x v="2"/>
    <x v="1"/>
    <x v="1"/>
    <x v="0"/>
    <x v="0"/>
    <x v="2"/>
  </r>
  <r>
    <x v="12"/>
    <n v="116"/>
    <x v="1"/>
    <x v="0"/>
    <x v="1"/>
    <n v="35"/>
    <n v="182.8"/>
    <n v="122"/>
    <n v="31.08"/>
    <n v="212.7"/>
    <n v="119"/>
    <n v="18.079999999999998"/>
    <n v="193.8"/>
    <n v="103"/>
    <n v="8.7200000000000006"/>
    <n v="11"/>
    <n v="2"/>
    <n v="2.97"/>
    <x v="0"/>
    <x v="0"/>
    <n v="600.29999999999995"/>
    <n v="60.849999999999994"/>
    <n v="346"/>
    <x v="0"/>
    <x v="1"/>
    <x v="1"/>
    <x v="0"/>
    <x v="1"/>
    <x v="0"/>
  </r>
  <r>
    <x v="45"/>
    <n v="101"/>
    <x v="1"/>
    <x v="1"/>
    <x v="0"/>
    <n v="0"/>
    <n v="193.7"/>
    <n v="108"/>
    <n v="32.93"/>
    <n v="186.6"/>
    <n v="98"/>
    <n v="15.86"/>
    <n v="223"/>
    <n v="100"/>
    <n v="10.039999999999999"/>
    <n v="11.6"/>
    <n v="8"/>
    <n v="3.13"/>
    <x v="3"/>
    <x v="0"/>
    <n v="614.9"/>
    <n v="61.959999999999994"/>
    <n v="314"/>
    <x v="0"/>
    <x v="1"/>
    <x v="1"/>
    <x v="1"/>
    <x v="0"/>
    <x v="0"/>
  </r>
  <r>
    <x v="35"/>
    <n v="85"/>
    <x v="1"/>
    <x v="1"/>
    <x v="0"/>
    <n v="0"/>
    <n v="197.2"/>
    <n v="97"/>
    <n v="33.520000000000003"/>
    <n v="211.7"/>
    <n v="115"/>
    <n v="17.989999999999998"/>
    <n v="210.1"/>
    <n v="133"/>
    <n v="9.4499999999999993"/>
    <n v="8.3000000000000007"/>
    <n v="4"/>
    <n v="2.2400000000000002"/>
    <x v="1"/>
    <x v="0"/>
    <n v="627.29999999999995"/>
    <n v="63.2"/>
    <n v="349"/>
    <x v="1"/>
    <x v="1"/>
    <x v="1"/>
    <x v="1"/>
    <x v="0"/>
    <x v="0"/>
  </r>
  <r>
    <x v="23"/>
    <n v="90"/>
    <x v="1"/>
    <x v="0"/>
    <x v="0"/>
    <n v="0"/>
    <n v="76.099999999999994"/>
    <n v="121"/>
    <n v="12.94"/>
    <n v="290.3"/>
    <n v="73"/>
    <n v="24.68"/>
    <n v="236.9"/>
    <n v="89"/>
    <n v="10.66"/>
    <n v="10.8"/>
    <n v="3"/>
    <n v="2.92"/>
    <x v="3"/>
    <x v="0"/>
    <n v="614.09999999999991"/>
    <n v="51.199999999999996"/>
    <n v="286"/>
    <x v="0"/>
    <x v="1"/>
    <x v="2"/>
    <x v="0"/>
    <x v="0"/>
    <x v="0"/>
  </r>
  <r>
    <x v="37"/>
    <n v="73"/>
    <x v="1"/>
    <x v="0"/>
    <x v="0"/>
    <n v="0"/>
    <n v="182.3"/>
    <n v="115"/>
    <n v="30.99"/>
    <n v="199.2"/>
    <n v="97"/>
    <n v="16.93"/>
    <n v="120.2"/>
    <n v="113"/>
    <n v="5.41"/>
    <n v="18"/>
    <n v="5"/>
    <n v="4.8600000000000003"/>
    <x v="0"/>
    <x v="0"/>
    <n v="519.70000000000005"/>
    <n v="58.19"/>
    <n v="330"/>
    <x v="0"/>
    <x v="2"/>
    <x v="1"/>
    <x v="0"/>
    <x v="0"/>
    <x v="0"/>
  </r>
  <r>
    <x v="23"/>
    <n v="55"/>
    <x v="0"/>
    <x v="0"/>
    <x v="1"/>
    <n v="20"/>
    <n v="189.3"/>
    <n v="95"/>
    <n v="32.18"/>
    <n v="118.6"/>
    <n v="113"/>
    <n v="10.08"/>
    <n v="250.2"/>
    <n v="102"/>
    <n v="11.26"/>
    <n v="12.5"/>
    <n v="4"/>
    <n v="3.38"/>
    <x v="2"/>
    <x v="0"/>
    <n v="570.59999999999991"/>
    <n v="56.9"/>
    <n v="314"/>
    <x v="2"/>
    <x v="1"/>
    <x v="1"/>
    <x v="0"/>
    <x v="1"/>
    <x v="2"/>
  </r>
  <r>
    <x v="5"/>
    <n v="76"/>
    <x v="1"/>
    <x v="0"/>
    <x v="1"/>
    <n v="22"/>
    <n v="160.1"/>
    <n v="107"/>
    <n v="27.22"/>
    <n v="168.7"/>
    <n v="136"/>
    <n v="14.34"/>
    <n v="23.2"/>
    <n v="102"/>
    <n v="1.04"/>
    <n v="9.5"/>
    <n v="4"/>
    <n v="2.57"/>
    <x v="4"/>
    <x v="0"/>
    <n v="361.49999999999994"/>
    <n v="45.17"/>
    <n v="349"/>
    <x v="2"/>
    <x v="2"/>
    <x v="2"/>
    <x v="0"/>
    <x v="1"/>
    <x v="2"/>
  </r>
  <r>
    <x v="16"/>
    <n v="157"/>
    <x v="1"/>
    <x v="0"/>
    <x v="0"/>
    <n v="0"/>
    <n v="220.7"/>
    <n v="105"/>
    <n v="37.520000000000003"/>
    <n v="119.3"/>
    <n v="127"/>
    <n v="10.14"/>
    <n v="165.1"/>
    <n v="113"/>
    <n v="7.43"/>
    <n v="11.5"/>
    <n v="7"/>
    <n v="3.11"/>
    <x v="1"/>
    <x v="0"/>
    <n v="516.6"/>
    <n v="58.2"/>
    <n v="352"/>
    <x v="1"/>
    <x v="2"/>
    <x v="1"/>
    <x v="0"/>
    <x v="0"/>
    <x v="1"/>
  </r>
  <r>
    <x v="42"/>
    <n v="131"/>
    <x v="1"/>
    <x v="0"/>
    <x v="0"/>
    <n v="0"/>
    <n v="211.8"/>
    <n v="115"/>
    <n v="36.01"/>
    <n v="260.5"/>
    <n v="102"/>
    <n v="22.14"/>
    <n v="144.19999999999999"/>
    <n v="96"/>
    <n v="6.49"/>
    <n v="10.8"/>
    <n v="7"/>
    <n v="2.92"/>
    <x v="3"/>
    <x v="0"/>
    <n v="627.29999999999995"/>
    <n v="67.56"/>
    <n v="320"/>
    <x v="0"/>
    <x v="1"/>
    <x v="0"/>
    <x v="0"/>
    <x v="0"/>
    <x v="0"/>
  </r>
  <r>
    <x v="6"/>
    <n v="51"/>
    <x v="1"/>
    <x v="0"/>
    <x v="0"/>
    <n v="0"/>
    <n v="229.7"/>
    <n v="129"/>
    <n v="39.049999999999997"/>
    <n v="336"/>
    <n v="104"/>
    <n v="28.56"/>
    <n v="192.8"/>
    <n v="128"/>
    <n v="8.68"/>
    <n v="9.6"/>
    <n v="1"/>
    <n v="2.59"/>
    <x v="0"/>
    <x v="1"/>
    <n v="768.1"/>
    <n v="78.88"/>
    <n v="362"/>
    <x v="0"/>
    <x v="0"/>
    <x v="0"/>
    <x v="0"/>
    <x v="0"/>
    <x v="0"/>
  </r>
  <r>
    <x v="7"/>
    <n v="166"/>
    <x v="1"/>
    <x v="0"/>
    <x v="0"/>
    <n v="0"/>
    <n v="220.7"/>
    <n v="106"/>
    <n v="37.520000000000003"/>
    <n v="177.8"/>
    <n v="118"/>
    <n v="15.11"/>
    <n v="206.1"/>
    <n v="102"/>
    <n v="9.27"/>
    <n v="12.4"/>
    <n v="9"/>
    <n v="3.35"/>
    <x v="0"/>
    <x v="0"/>
    <n v="617"/>
    <n v="65.25"/>
    <n v="335"/>
    <x v="0"/>
    <x v="1"/>
    <x v="1"/>
    <x v="0"/>
    <x v="0"/>
    <x v="0"/>
  </r>
  <r>
    <x v="25"/>
    <n v="66"/>
    <x v="0"/>
    <x v="0"/>
    <x v="0"/>
    <n v="0"/>
    <n v="87.6"/>
    <n v="76"/>
    <n v="14.89"/>
    <n v="262"/>
    <n v="111"/>
    <n v="22.27"/>
    <n v="184.6"/>
    <n v="125"/>
    <n v="8.31"/>
    <n v="9.1999999999999993"/>
    <n v="5"/>
    <n v="2.48"/>
    <x v="0"/>
    <x v="0"/>
    <n v="543.40000000000009"/>
    <n v="47.95"/>
    <n v="317"/>
    <x v="0"/>
    <x v="1"/>
    <x v="2"/>
    <x v="0"/>
    <x v="0"/>
    <x v="0"/>
  </r>
  <r>
    <x v="37"/>
    <n v="49"/>
    <x v="1"/>
    <x v="0"/>
    <x v="0"/>
    <n v="0"/>
    <n v="266.3"/>
    <n v="90"/>
    <n v="45.27"/>
    <n v="207.8"/>
    <n v="117"/>
    <n v="17.66"/>
    <n v="205"/>
    <n v="98"/>
    <n v="9.23"/>
    <n v="14"/>
    <n v="2"/>
    <n v="3.78"/>
    <x v="2"/>
    <x v="1"/>
    <n v="693.1"/>
    <n v="75.94"/>
    <n v="307"/>
    <x v="2"/>
    <x v="0"/>
    <x v="0"/>
    <x v="0"/>
    <x v="0"/>
    <x v="2"/>
  </r>
  <r>
    <x v="0"/>
    <n v="89"/>
    <x v="1"/>
    <x v="0"/>
    <x v="0"/>
    <n v="0"/>
    <n v="141.1"/>
    <n v="92"/>
    <n v="23.99"/>
    <n v="249.1"/>
    <n v="126"/>
    <n v="21.17"/>
    <n v="136"/>
    <n v="73"/>
    <n v="6.12"/>
    <n v="10.8"/>
    <n v="2"/>
    <n v="2.92"/>
    <x v="2"/>
    <x v="0"/>
    <n v="537"/>
    <n v="54.2"/>
    <n v="293"/>
    <x v="2"/>
    <x v="1"/>
    <x v="1"/>
    <x v="0"/>
    <x v="0"/>
    <x v="2"/>
  </r>
  <r>
    <x v="9"/>
    <n v="90"/>
    <x v="1"/>
    <x v="0"/>
    <x v="0"/>
    <n v="0"/>
    <n v="200.9"/>
    <n v="92"/>
    <n v="34.15"/>
    <n v="164.3"/>
    <n v="91"/>
    <n v="13.97"/>
    <n v="249"/>
    <n v="98"/>
    <n v="11.21"/>
    <n v="8.9"/>
    <n v="7"/>
    <n v="2.4"/>
    <x v="0"/>
    <x v="0"/>
    <n v="623.1"/>
    <n v="61.730000000000004"/>
    <n v="288"/>
    <x v="0"/>
    <x v="1"/>
    <x v="1"/>
    <x v="0"/>
    <x v="0"/>
    <x v="0"/>
  </r>
  <r>
    <x v="7"/>
    <n v="193"/>
    <x v="1"/>
    <x v="0"/>
    <x v="0"/>
    <n v="0"/>
    <n v="96.8"/>
    <n v="92"/>
    <n v="16.46"/>
    <n v="142.6"/>
    <n v="103"/>
    <n v="12.12"/>
    <n v="210.1"/>
    <n v="115"/>
    <n v="9.4499999999999993"/>
    <n v="10.9"/>
    <n v="5"/>
    <n v="2.94"/>
    <x v="2"/>
    <x v="1"/>
    <n v="460.4"/>
    <n v="40.97"/>
    <n v="315"/>
    <x v="2"/>
    <x v="2"/>
    <x v="2"/>
    <x v="0"/>
    <x v="0"/>
    <x v="2"/>
  </r>
  <r>
    <x v="48"/>
    <n v="114"/>
    <x v="2"/>
    <x v="0"/>
    <x v="0"/>
    <n v="0"/>
    <n v="172"/>
    <n v="145"/>
    <n v="29.24"/>
    <n v="276.39999999999998"/>
    <n v="101"/>
    <n v="23.49"/>
    <n v="193.7"/>
    <n v="100"/>
    <n v="8.7200000000000006"/>
    <n v="10.1"/>
    <n v="9"/>
    <n v="2.73"/>
    <x v="0"/>
    <x v="0"/>
    <n v="652.19999999999993"/>
    <n v="64.179999999999993"/>
    <n v="355"/>
    <x v="0"/>
    <x v="1"/>
    <x v="1"/>
    <x v="0"/>
    <x v="0"/>
    <x v="0"/>
  </r>
  <r>
    <x v="38"/>
    <n v="7"/>
    <x v="0"/>
    <x v="0"/>
    <x v="1"/>
    <n v="30"/>
    <n v="221.4"/>
    <n v="114"/>
    <n v="37.64"/>
    <n v="165.8"/>
    <n v="116"/>
    <n v="14.09"/>
    <n v="247"/>
    <n v="105"/>
    <n v="11.12"/>
    <n v="10.8"/>
    <n v="12"/>
    <n v="2.92"/>
    <x v="0"/>
    <x v="0"/>
    <n v="645"/>
    <n v="65.77"/>
    <n v="347"/>
    <x v="0"/>
    <x v="1"/>
    <x v="1"/>
    <x v="0"/>
    <x v="1"/>
    <x v="0"/>
  </r>
  <r>
    <x v="28"/>
    <n v="71"/>
    <x v="1"/>
    <x v="0"/>
    <x v="0"/>
    <n v="0"/>
    <n v="243.7"/>
    <n v="124"/>
    <n v="41.43"/>
    <n v="60"/>
    <n v="90"/>
    <n v="5.0999999999999996"/>
    <n v="189"/>
    <n v="129"/>
    <n v="8.5"/>
    <n v="11.3"/>
    <n v="2"/>
    <n v="3.05"/>
    <x v="3"/>
    <x v="0"/>
    <n v="504"/>
    <n v="58.08"/>
    <n v="345"/>
    <x v="0"/>
    <x v="2"/>
    <x v="1"/>
    <x v="0"/>
    <x v="0"/>
    <x v="0"/>
  </r>
  <r>
    <x v="41"/>
    <n v="31"/>
    <x v="1"/>
    <x v="0"/>
    <x v="1"/>
    <n v="28"/>
    <n v="210.5"/>
    <n v="101"/>
    <n v="35.79"/>
    <n v="250.5"/>
    <n v="86"/>
    <n v="21.29"/>
    <n v="241.6"/>
    <n v="125"/>
    <n v="10.87"/>
    <n v="11.5"/>
    <n v="2"/>
    <n v="3.11"/>
    <x v="0"/>
    <x v="0"/>
    <n v="714.1"/>
    <n v="71.06"/>
    <n v="314"/>
    <x v="0"/>
    <x v="0"/>
    <x v="0"/>
    <x v="0"/>
    <x v="1"/>
    <x v="0"/>
  </r>
  <r>
    <x v="13"/>
    <n v="111"/>
    <x v="1"/>
    <x v="0"/>
    <x v="0"/>
    <n v="0"/>
    <n v="284.39999999999998"/>
    <n v="89"/>
    <n v="48.35"/>
    <n v="157"/>
    <n v="113"/>
    <n v="13.35"/>
    <n v="242.8"/>
    <n v="91"/>
    <n v="10.93"/>
    <n v="8.4"/>
    <n v="8"/>
    <n v="2.27"/>
    <x v="3"/>
    <x v="1"/>
    <n v="692.6"/>
    <n v="74.900000000000006"/>
    <n v="301"/>
    <x v="0"/>
    <x v="0"/>
    <x v="0"/>
    <x v="0"/>
    <x v="0"/>
    <x v="0"/>
  </r>
  <r>
    <x v="16"/>
    <n v="97"/>
    <x v="0"/>
    <x v="0"/>
    <x v="0"/>
    <n v="0"/>
    <n v="169.7"/>
    <n v="84"/>
    <n v="28.85"/>
    <n v="165.9"/>
    <n v="86"/>
    <n v="14.1"/>
    <n v="191.9"/>
    <n v="83"/>
    <n v="8.64"/>
    <n v="12.8"/>
    <n v="6"/>
    <n v="3.46"/>
    <x v="4"/>
    <x v="0"/>
    <n v="540.29999999999995"/>
    <n v="55.050000000000004"/>
    <n v="259"/>
    <x v="2"/>
    <x v="1"/>
    <x v="1"/>
    <x v="0"/>
    <x v="0"/>
    <x v="2"/>
  </r>
  <r>
    <x v="46"/>
    <n v="51"/>
    <x v="2"/>
    <x v="0"/>
    <x v="0"/>
    <n v="0"/>
    <n v="227.2"/>
    <n v="89"/>
    <n v="38.619999999999997"/>
    <n v="194.4"/>
    <n v="106"/>
    <n v="16.52"/>
    <n v="243.4"/>
    <n v="126"/>
    <n v="10.95"/>
    <n v="14.9"/>
    <n v="2"/>
    <n v="4.0199999999999996"/>
    <x v="3"/>
    <x v="0"/>
    <n v="679.9"/>
    <n v="70.11"/>
    <n v="323"/>
    <x v="0"/>
    <x v="0"/>
    <x v="0"/>
    <x v="0"/>
    <x v="0"/>
    <x v="0"/>
  </r>
  <r>
    <x v="32"/>
    <n v="86"/>
    <x v="1"/>
    <x v="0"/>
    <x v="0"/>
    <n v="0"/>
    <n v="223.9"/>
    <n v="75"/>
    <n v="38.06"/>
    <n v="155.69999999999999"/>
    <n v="109"/>
    <n v="13.23"/>
    <n v="150.19999999999999"/>
    <n v="143"/>
    <n v="6.76"/>
    <n v="7.3"/>
    <n v="9"/>
    <n v="1.97"/>
    <x v="0"/>
    <x v="0"/>
    <n v="537.09999999999991"/>
    <n v="60.02"/>
    <n v="336"/>
    <x v="0"/>
    <x v="1"/>
    <x v="1"/>
    <x v="0"/>
    <x v="0"/>
    <x v="0"/>
  </r>
  <r>
    <x v="46"/>
    <n v="190"/>
    <x v="1"/>
    <x v="0"/>
    <x v="0"/>
    <n v="0"/>
    <n v="169.4"/>
    <n v="102"/>
    <n v="28.8"/>
    <n v="253.5"/>
    <n v="113"/>
    <n v="21.55"/>
    <n v="197.1"/>
    <n v="93"/>
    <n v="8.8699999999999992"/>
    <n v="8.9"/>
    <n v="5"/>
    <n v="2.4"/>
    <x v="0"/>
    <x v="0"/>
    <n v="628.9"/>
    <n v="61.620000000000005"/>
    <n v="313"/>
    <x v="0"/>
    <x v="1"/>
    <x v="1"/>
    <x v="0"/>
    <x v="0"/>
    <x v="0"/>
  </r>
  <r>
    <x v="34"/>
    <n v="80"/>
    <x v="0"/>
    <x v="0"/>
    <x v="0"/>
    <n v="0"/>
    <n v="118.1"/>
    <n v="90"/>
    <n v="20.079999999999998"/>
    <n v="144.30000000000001"/>
    <n v="77"/>
    <n v="12.27"/>
    <n v="225.1"/>
    <n v="86"/>
    <n v="10.130000000000001"/>
    <n v="8.1999999999999993"/>
    <n v="6"/>
    <n v="2.21"/>
    <x v="0"/>
    <x v="0"/>
    <n v="495.7"/>
    <n v="44.69"/>
    <n v="259"/>
    <x v="0"/>
    <x v="2"/>
    <x v="2"/>
    <x v="0"/>
    <x v="0"/>
    <x v="0"/>
  </r>
  <r>
    <x v="21"/>
    <n v="36"/>
    <x v="1"/>
    <x v="0"/>
    <x v="0"/>
    <n v="0"/>
    <n v="202.4"/>
    <n v="115"/>
    <n v="34.409999999999997"/>
    <n v="230.7"/>
    <n v="115"/>
    <n v="19.61"/>
    <n v="202"/>
    <n v="127"/>
    <n v="9.09"/>
    <n v="10.199999999999999"/>
    <n v="2"/>
    <n v="2.75"/>
    <x v="4"/>
    <x v="0"/>
    <n v="645.30000000000007"/>
    <n v="65.86"/>
    <n v="359"/>
    <x v="2"/>
    <x v="1"/>
    <x v="0"/>
    <x v="0"/>
    <x v="0"/>
    <x v="2"/>
  </r>
  <r>
    <x v="42"/>
    <n v="45"/>
    <x v="2"/>
    <x v="0"/>
    <x v="0"/>
    <n v="0"/>
    <n v="155.69999999999999"/>
    <n v="110"/>
    <n v="26.47"/>
    <n v="260.3"/>
    <n v="103"/>
    <n v="22.13"/>
    <n v="192.2"/>
    <n v="98"/>
    <n v="8.65"/>
    <n v="11"/>
    <n v="1"/>
    <n v="2.97"/>
    <x v="0"/>
    <x v="0"/>
    <n v="619.20000000000005"/>
    <n v="60.22"/>
    <n v="312"/>
    <x v="0"/>
    <x v="1"/>
    <x v="1"/>
    <x v="0"/>
    <x v="0"/>
    <x v="0"/>
  </r>
  <r>
    <x v="31"/>
    <n v="170"/>
    <x v="1"/>
    <x v="0"/>
    <x v="0"/>
    <n v="0"/>
    <n v="246.4"/>
    <n v="107"/>
    <n v="41.89"/>
    <n v="228.1"/>
    <n v="124"/>
    <n v="19.39"/>
    <n v="166.4"/>
    <n v="95"/>
    <n v="7.49"/>
    <n v="9.1"/>
    <n v="8"/>
    <n v="2.46"/>
    <x v="3"/>
    <x v="0"/>
    <n v="650"/>
    <n v="71.23"/>
    <n v="334"/>
    <x v="0"/>
    <x v="1"/>
    <x v="0"/>
    <x v="0"/>
    <x v="0"/>
    <x v="0"/>
  </r>
  <r>
    <x v="37"/>
    <n v="103"/>
    <x v="1"/>
    <x v="0"/>
    <x v="0"/>
    <n v="0"/>
    <n v="189.8"/>
    <n v="110"/>
    <n v="32.270000000000003"/>
    <n v="115.5"/>
    <n v="83"/>
    <n v="9.82"/>
    <n v="191.3"/>
    <n v="103"/>
    <n v="8.61"/>
    <n v="12.2"/>
    <n v="4"/>
    <n v="3.29"/>
    <x v="3"/>
    <x v="0"/>
    <n v="508.8"/>
    <n v="53.99"/>
    <n v="300"/>
    <x v="0"/>
    <x v="2"/>
    <x v="1"/>
    <x v="0"/>
    <x v="0"/>
    <x v="0"/>
  </r>
  <r>
    <x v="9"/>
    <n v="112"/>
    <x v="0"/>
    <x v="0"/>
    <x v="0"/>
    <n v="0"/>
    <n v="167.8"/>
    <n v="88"/>
    <n v="28.53"/>
    <n v="247.9"/>
    <n v="81"/>
    <n v="21.07"/>
    <n v="155.1"/>
    <n v="108"/>
    <n v="6.98"/>
    <n v="11.9"/>
    <n v="4"/>
    <n v="3.21"/>
    <x v="3"/>
    <x v="0"/>
    <n v="582.70000000000005"/>
    <n v="59.790000000000006"/>
    <n v="281"/>
    <x v="0"/>
    <x v="1"/>
    <x v="1"/>
    <x v="0"/>
    <x v="0"/>
    <x v="0"/>
  </r>
  <r>
    <x v="12"/>
    <n v="125"/>
    <x v="2"/>
    <x v="0"/>
    <x v="0"/>
    <n v="0"/>
    <n v="143.19999999999999"/>
    <n v="80"/>
    <n v="24.34"/>
    <n v="88.1"/>
    <n v="94"/>
    <n v="7.49"/>
    <n v="233.2"/>
    <n v="135"/>
    <n v="10.49"/>
    <n v="8.8000000000000007"/>
    <n v="7"/>
    <n v="2.38"/>
    <x v="1"/>
    <x v="1"/>
    <n v="473.3"/>
    <n v="44.7"/>
    <n v="316"/>
    <x v="1"/>
    <x v="2"/>
    <x v="2"/>
    <x v="0"/>
    <x v="0"/>
    <x v="1"/>
  </r>
  <r>
    <x v="27"/>
    <n v="73"/>
    <x v="1"/>
    <x v="0"/>
    <x v="1"/>
    <n v="31"/>
    <n v="82.3"/>
    <n v="105"/>
    <n v="13.99"/>
    <n v="256.10000000000002"/>
    <n v="91"/>
    <n v="21.77"/>
    <n v="229.6"/>
    <n v="98"/>
    <n v="10.33"/>
    <n v="11.8"/>
    <n v="2"/>
    <n v="3.19"/>
    <x v="6"/>
    <x v="1"/>
    <n v="579.79999999999995"/>
    <n v="49.28"/>
    <n v="296"/>
    <x v="1"/>
    <x v="1"/>
    <x v="2"/>
    <x v="0"/>
    <x v="1"/>
    <x v="1"/>
  </r>
  <r>
    <x v="24"/>
    <n v="232"/>
    <x v="0"/>
    <x v="0"/>
    <x v="0"/>
    <n v="0"/>
    <n v="165.6"/>
    <n v="104"/>
    <n v="28.15"/>
    <n v="195.9"/>
    <n v="115"/>
    <n v="16.649999999999999"/>
    <n v="118.3"/>
    <n v="77"/>
    <n v="5.32"/>
    <n v="11.8"/>
    <n v="3"/>
    <n v="3.19"/>
    <x v="0"/>
    <x v="0"/>
    <n v="491.6"/>
    <n v="53.309999999999995"/>
    <n v="299"/>
    <x v="0"/>
    <x v="2"/>
    <x v="2"/>
    <x v="0"/>
    <x v="0"/>
    <x v="0"/>
  </r>
  <r>
    <x v="32"/>
    <n v="95"/>
    <x v="0"/>
    <x v="0"/>
    <x v="1"/>
    <n v="20"/>
    <n v="165.7"/>
    <n v="78"/>
    <n v="28.17"/>
    <n v="215.6"/>
    <n v="94"/>
    <n v="18.329999999999998"/>
    <n v="243.3"/>
    <n v="91"/>
    <n v="10.95"/>
    <n v="9.8000000000000007"/>
    <n v="6"/>
    <n v="2.65"/>
    <x v="3"/>
    <x v="0"/>
    <n v="634.39999999999986"/>
    <n v="60.1"/>
    <n v="269"/>
    <x v="0"/>
    <x v="1"/>
    <x v="1"/>
    <x v="0"/>
    <x v="1"/>
    <x v="0"/>
  </r>
  <r>
    <x v="8"/>
    <n v="182"/>
    <x v="1"/>
    <x v="0"/>
    <x v="0"/>
    <n v="0"/>
    <n v="176.1"/>
    <n v="90"/>
    <n v="29.94"/>
    <n v="174.9"/>
    <n v="106"/>
    <n v="14.87"/>
    <n v="234.7"/>
    <n v="134"/>
    <n v="10.56"/>
    <n v="9.6999999999999993"/>
    <n v="4"/>
    <n v="2.62"/>
    <x v="0"/>
    <x v="0"/>
    <n v="595.40000000000009"/>
    <n v="57.989999999999995"/>
    <n v="334"/>
    <x v="0"/>
    <x v="1"/>
    <x v="1"/>
    <x v="0"/>
    <x v="0"/>
    <x v="0"/>
  </r>
  <r>
    <x v="24"/>
    <n v="55"/>
    <x v="2"/>
    <x v="0"/>
    <x v="0"/>
    <n v="0"/>
    <n v="119.7"/>
    <n v="148"/>
    <n v="20.350000000000001"/>
    <n v="231.8"/>
    <n v="96"/>
    <n v="19.7"/>
    <n v="222.3"/>
    <n v="113"/>
    <n v="10"/>
    <n v="4.5999999999999996"/>
    <n v="2"/>
    <n v="1.24"/>
    <x v="2"/>
    <x v="0"/>
    <n v="578.4"/>
    <n v="51.29"/>
    <n v="359"/>
    <x v="2"/>
    <x v="1"/>
    <x v="2"/>
    <x v="0"/>
    <x v="0"/>
    <x v="2"/>
  </r>
  <r>
    <x v="8"/>
    <n v="86"/>
    <x v="1"/>
    <x v="0"/>
    <x v="1"/>
    <n v="30"/>
    <n v="99.9"/>
    <n v="84"/>
    <n v="16.98"/>
    <n v="263.5"/>
    <n v="125"/>
    <n v="22.4"/>
    <n v="254.7"/>
    <n v="90"/>
    <n v="11.46"/>
    <n v="9.8000000000000007"/>
    <n v="7"/>
    <n v="2.65"/>
    <x v="2"/>
    <x v="0"/>
    <n v="627.89999999999986"/>
    <n v="53.489999999999995"/>
    <n v="306"/>
    <x v="2"/>
    <x v="1"/>
    <x v="2"/>
    <x v="0"/>
    <x v="1"/>
    <x v="2"/>
  </r>
  <r>
    <x v="42"/>
    <n v="127"/>
    <x v="2"/>
    <x v="0"/>
    <x v="0"/>
    <n v="0"/>
    <n v="239.8"/>
    <n v="107"/>
    <n v="40.770000000000003"/>
    <n v="128.9"/>
    <n v="121"/>
    <n v="10.96"/>
    <n v="249.9"/>
    <n v="110"/>
    <n v="11.25"/>
    <n v="11.3"/>
    <n v="5"/>
    <n v="3.05"/>
    <x v="0"/>
    <x v="0"/>
    <n v="629.9"/>
    <n v="66.03"/>
    <n v="343"/>
    <x v="0"/>
    <x v="1"/>
    <x v="0"/>
    <x v="0"/>
    <x v="0"/>
    <x v="0"/>
  </r>
  <r>
    <x v="48"/>
    <n v="63"/>
    <x v="1"/>
    <x v="0"/>
    <x v="0"/>
    <n v="0"/>
    <n v="164.5"/>
    <n v="75"/>
    <n v="27.97"/>
    <n v="147.9"/>
    <n v="118"/>
    <n v="12.57"/>
    <n v="252.7"/>
    <n v="97"/>
    <n v="11.37"/>
    <n v="11.2"/>
    <n v="2"/>
    <n v="3.02"/>
    <x v="3"/>
    <x v="0"/>
    <n v="576.29999999999995"/>
    <n v="54.93"/>
    <n v="292"/>
    <x v="0"/>
    <x v="1"/>
    <x v="1"/>
    <x v="0"/>
    <x v="0"/>
    <x v="0"/>
  </r>
  <r>
    <x v="6"/>
    <n v="79"/>
    <x v="2"/>
    <x v="0"/>
    <x v="0"/>
    <n v="0"/>
    <n v="220.9"/>
    <n v="107"/>
    <n v="37.549999999999997"/>
    <n v="192.2"/>
    <n v="97"/>
    <n v="16.34"/>
    <n v="161"/>
    <n v="74"/>
    <n v="7.25"/>
    <n v="12.2"/>
    <n v="2"/>
    <n v="3.29"/>
    <x v="0"/>
    <x v="0"/>
    <n v="586.30000000000007"/>
    <n v="64.429999999999993"/>
    <n v="280"/>
    <x v="0"/>
    <x v="1"/>
    <x v="1"/>
    <x v="0"/>
    <x v="0"/>
    <x v="0"/>
  </r>
  <r>
    <x v="0"/>
    <n v="111"/>
    <x v="1"/>
    <x v="0"/>
    <x v="1"/>
    <n v="28"/>
    <n v="128.80000000000001"/>
    <n v="104"/>
    <n v="21.9"/>
    <n v="157.30000000000001"/>
    <n v="52"/>
    <n v="13.37"/>
    <n v="147.4"/>
    <n v="76"/>
    <n v="6.63"/>
    <n v="10.3"/>
    <n v="2"/>
    <n v="2.78"/>
    <x v="2"/>
    <x v="0"/>
    <n v="443.8"/>
    <n v="44.68"/>
    <n v="234"/>
    <x v="2"/>
    <x v="2"/>
    <x v="2"/>
    <x v="0"/>
    <x v="1"/>
    <x v="2"/>
  </r>
  <r>
    <x v="23"/>
    <n v="121"/>
    <x v="2"/>
    <x v="0"/>
    <x v="1"/>
    <n v="35"/>
    <n v="193.8"/>
    <n v="62"/>
    <n v="32.950000000000003"/>
    <n v="197.6"/>
    <n v="97"/>
    <n v="16.8"/>
    <n v="218.8"/>
    <n v="95"/>
    <n v="9.85"/>
    <n v="5.9"/>
    <n v="4"/>
    <n v="1.59"/>
    <x v="3"/>
    <x v="0"/>
    <n v="616.1"/>
    <n v="61.190000000000005"/>
    <n v="258"/>
    <x v="0"/>
    <x v="1"/>
    <x v="1"/>
    <x v="0"/>
    <x v="1"/>
    <x v="0"/>
  </r>
  <r>
    <x v="35"/>
    <n v="112"/>
    <x v="1"/>
    <x v="0"/>
    <x v="0"/>
    <n v="0"/>
    <n v="168.6"/>
    <n v="102"/>
    <n v="28.66"/>
    <n v="298"/>
    <n v="117"/>
    <n v="25.33"/>
    <n v="194.7"/>
    <n v="110"/>
    <n v="8.76"/>
    <n v="9.8000000000000007"/>
    <n v="5"/>
    <n v="2.65"/>
    <x v="0"/>
    <x v="0"/>
    <n v="671.09999999999991"/>
    <n v="65.399999999999991"/>
    <n v="334"/>
    <x v="0"/>
    <x v="0"/>
    <x v="1"/>
    <x v="0"/>
    <x v="0"/>
    <x v="0"/>
  </r>
  <r>
    <x v="0"/>
    <n v="81"/>
    <x v="1"/>
    <x v="0"/>
    <x v="1"/>
    <n v="36"/>
    <n v="115.9"/>
    <n v="120"/>
    <n v="19.7"/>
    <n v="236.6"/>
    <n v="95"/>
    <n v="20.11"/>
    <n v="255"/>
    <n v="90"/>
    <n v="11.48"/>
    <n v="11.7"/>
    <n v="6"/>
    <n v="3.16"/>
    <x v="4"/>
    <x v="0"/>
    <n v="619.20000000000005"/>
    <n v="54.45"/>
    <n v="311"/>
    <x v="2"/>
    <x v="1"/>
    <x v="1"/>
    <x v="0"/>
    <x v="1"/>
    <x v="2"/>
  </r>
  <r>
    <x v="16"/>
    <n v="72"/>
    <x v="2"/>
    <x v="0"/>
    <x v="0"/>
    <n v="0"/>
    <n v="272.39999999999998"/>
    <n v="88"/>
    <n v="46.31"/>
    <n v="107.9"/>
    <n v="125"/>
    <n v="9.17"/>
    <n v="185.5"/>
    <n v="81"/>
    <n v="8.35"/>
    <n v="12.7"/>
    <n v="2"/>
    <n v="3.43"/>
    <x v="3"/>
    <x v="0"/>
    <n v="578.5"/>
    <n v="67.260000000000005"/>
    <n v="296"/>
    <x v="0"/>
    <x v="1"/>
    <x v="0"/>
    <x v="0"/>
    <x v="0"/>
    <x v="0"/>
  </r>
  <r>
    <x v="3"/>
    <n v="64"/>
    <x v="2"/>
    <x v="0"/>
    <x v="1"/>
    <n v="40"/>
    <n v="210"/>
    <n v="116"/>
    <n v="35.700000000000003"/>
    <n v="232.7"/>
    <n v="89"/>
    <n v="19.78"/>
    <n v="168.8"/>
    <n v="94"/>
    <n v="7.6"/>
    <n v="5.9"/>
    <n v="4"/>
    <n v="1.59"/>
    <x v="7"/>
    <x v="0"/>
    <n v="617.4"/>
    <n v="64.67"/>
    <n v="303"/>
    <x v="1"/>
    <x v="1"/>
    <x v="1"/>
    <x v="0"/>
    <x v="1"/>
    <x v="1"/>
  </r>
  <r>
    <x v="43"/>
    <n v="163"/>
    <x v="0"/>
    <x v="0"/>
    <x v="0"/>
    <n v="0"/>
    <n v="223"/>
    <n v="120"/>
    <n v="37.909999999999997"/>
    <n v="227"/>
    <n v="98"/>
    <n v="19.3"/>
    <n v="188.3"/>
    <n v="125"/>
    <n v="8.4700000000000006"/>
    <n v="8.8000000000000007"/>
    <n v="5"/>
    <n v="2.38"/>
    <x v="0"/>
    <x v="0"/>
    <n v="647.09999999999991"/>
    <n v="68.06"/>
    <n v="348"/>
    <x v="0"/>
    <x v="1"/>
    <x v="0"/>
    <x v="0"/>
    <x v="0"/>
    <x v="0"/>
  </r>
  <r>
    <x v="18"/>
    <n v="104"/>
    <x v="1"/>
    <x v="0"/>
    <x v="0"/>
    <n v="0"/>
    <n v="139.69999999999999"/>
    <n v="78"/>
    <n v="23.75"/>
    <n v="202.6"/>
    <n v="119"/>
    <n v="17.22"/>
    <n v="203.6"/>
    <n v="102"/>
    <n v="9.16"/>
    <n v="11.3"/>
    <n v="5"/>
    <n v="3.05"/>
    <x v="2"/>
    <x v="0"/>
    <n v="557.19999999999993"/>
    <n v="53.18"/>
    <n v="304"/>
    <x v="2"/>
    <x v="1"/>
    <x v="2"/>
    <x v="0"/>
    <x v="0"/>
    <x v="2"/>
  </r>
  <r>
    <x v="17"/>
    <n v="93"/>
    <x v="2"/>
    <x v="0"/>
    <x v="1"/>
    <n v="19"/>
    <n v="136.80000000000001"/>
    <n v="113"/>
    <n v="23.26"/>
    <n v="179.5"/>
    <n v="105"/>
    <n v="15.26"/>
    <n v="71.099999999999994"/>
    <n v="95"/>
    <n v="3.2"/>
    <n v="12.5"/>
    <n v="3"/>
    <n v="3.38"/>
    <x v="2"/>
    <x v="0"/>
    <n v="399.9"/>
    <n v="45.1"/>
    <n v="316"/>
    <x v="2"/>
    <x v="2"/>
    <x v="2"/>
    <x v="0"/>
    <x v="1"/>
    <x v="2"/>
  </r>
  <r>
    <x v="42"/>
    <n v="197"/>
    <x v="2"/>
    <x v="0"/>
    <x v="0"/>
    <n v="0"/>
    <n v="154.80000000000001"/>
    <n v="111"/>
    <n v="26.32"/>
    <n v="171.5"/>
    <n v="102"/>
    <n v="14.58"/>
    <n v="227.3"/>
    <n v="86"/>
    <n v="10.23"/>
    <n v="10.6"/>
    <n v="2"/>
    <n v="2.86"/>
    <x v="4"/>
    <x v="0"/>
    <n v="564.20000000000005"/>
    <n v="53.99"/>
    <n v="301"/>
    <x v="2"/>
    <x v="1"/>
    <x v="1"/>
    <x v="0"/>
    <x v="0"/>
    <x v="2"/>
  </r>
  <r>
    <x v="47"/>
    <n v="57"/>
    <x v="2"/>
    <x v="0"/>
    <x v="0"/>
    <n v="0"/>
    <n v="192.8"/>
    <n v="68"/>
    <n v="32.78"/>
    <n v="158"/>
    <n v="86"/>
    <n v="13.43"/>
    <n v="235.5"/>
    <n v="105"/>
    <n v="10.6"/>
    <n v="12.7"/>
    <n v="6"/>
    <n v="3.43"/>
    <x v="0"/>
    <x v="0"/>
    <n v="599"/>
    <n v="60.24"/>
    <n v="265"/>
    <x v="0"/>
    <x v="1"/>
    <x v="1"/>
    <x v="0"/>
    <x v="0"/>
    <x v="0"/>
  </r>
  <r>
    <x v="34"/>
    <n v="107"/>
    <x v="0"/>
    <x v="0"/>
    <x v="0"/>
    <n v="0"/>
    <n v="103.4"/>
    <n v="94"/>
    <n v="17.579999999999998"/>
    <n v="189.3"/>
    <n v="125"/>
    <n v="16.09"/>
    <n v="227.2"/>
    <n v="125"/>
    <n v="10.220000000000001"/>
    <n v="14.4"/>
    <n v="3"/>
    <n v="3.89"/>
    <x v="0"/>
    <x v="0"/>
    <n v="534.30000000000007"/>
    <n v="47.78"/>
    <n v="347"/>
    <x v="0"/>
    <x v="2"/>
    <x v="2"/>
    <x v="0"/>
    <x v="0"/>
    <x v="0"/>
  </r>
  <r>
    <x v="32"/>
    <n v="75"/>
    <x v="0"/>
    <x v="0"/>
    <x v="0"/>
    <n v="0"/>
    <n v="147.5"/>
    <n v="110"/>
    <n v="25.08"/>
    <n v="191.7"/>
    <n v="97"/>
    <n v="16.29"/>
    <n v="135"/>
    <n v="68"/>
    <n v="6.08"/>
    <n v="16.399999999999999"/>
    <n v="3"/>
    <n v="4.43"/>
    <x v="2"/>
    <x v="0"/>
    <n v="490.59999999999997"/>
    <n v="51.879999999999995"/>
    <n v="278"/>
    <x v="2"/>
    <x v="2"/>
    <x v="2"/>
    <x v="0"/>
    <x v="0"/>
    <x v="2"/>
  </r>
  <r>
    <x v="29"/>
    <n v="106"/>
    <x v="0"/>
    <x v="0"/>
    <x v="0"/>
    <n v="0"/>
    <n v="178.4"/>
    <n v="143"/>
    <n v="30.33"/>
    <n v="247"/>
    <n v="123"/>
    <n v="21"/>
    <n v="259.89999999999998"/>
    <n v="105"/>
    <n v="11.7"/>
    <n v="9.6"/>
    <n v="2"/>
    <n v="2.59"/>
    <x v="3"/>
    <x v="0"/>
    <n v="694.9"/>
    <n v="65.62"/>
    <n v="373"/>
    <x v="0"/>
    <x v="0"/>
    <x v="1"/>
    <x v="0"/>
    <x v="0"/>
    <x v="0"/>
  </r>
  <r>
    <x v="27"/>
    <n v="70"/>
    <x v="0"/>
    <x v="0"/>
    <x v="0"/>
    <n v="0"/>
    <n v="148.4"/>
    <n v="110"/>
    <n v="25.23"/>
    <n v="267.10000000000002"/>
    <n v="90"/>
    <n v="22.7"/>
    <n v="151.5"/>
    <n v="101"/>
    <n v="6.82"/>
    <n v="8.9"/>
    <n v="4"/>
    <n v="2.4"/>
    <x v="3"/>
    <x v="0"/>
    <n v="575.9"/>
    <n v="57.150000000000006"/>
    <n v="305"/>
    <x v="0"/>
    <x v="1"/>
    <x v="1"/>
    <x v="0"/>
    <x v="0"/>
    <x v="0"/>
  </r>
  <r>
    <x v="13"/>
    <n v="80"/>
    <x v="0"/>
    <x v="0"/>
    <x v="0"/>
    <n v="0"/>
    <n v="148.6"/>
    <n v="106"/>
    <n v="25.26"/>
    <n v="210.8"/>
    <n v="65"/>
    <n v="17.920000000000002"/>
    <n v="203.7"/>
    <n v="86"/>
    <n v="9.17"/>
    <n v="10"/>
    <n v="2"/>
    <n v="2.7"/>
    <x v="2"/>
    <x v="0"/>
    <n v="573.09999999999991"/>
    <n v="55.050000000000004"/>
    <n v="259"/>
    <x v="2"/>
    <x v="1"/>
    <x v="1"/>
    <x v="0"/>
    <x v="0"/>
    <x v="2"/>
  </r>
  <r>
    <x v="11"/>
    <n v="137"/>
    <x v="2"/>
    <x v="0"/>
    <x v="0"/>
    <n v="0"/>
    <n v="97.5"/>
    <n v="95"/>
    <n v="16.579999999999998"/>
    <n v="195.8"/>
    <n v="82"/>
    <n v="16.64"/>
    <n v="288.8"/>
    <n v="78"/>
    <n v="13"/>
    <n v="0"/>
    <n v="0"/>
    <n v="0"/>
    <x v="0"/>
    <x v="0"/>
    <n v="582.1"/>
    <n v="46.22"/>
    <n v="255"/>
    <x v="0"/>
    <x v="1"/>
    <x v="2"/>
    <x v="2"/>
    <x v="0"/>
    <x v="0"/>
  </r>
  <r>
    <x v="41"/>
    <n v="90"/>
    <x v="1"/>
    <x v="0"/>
    <x v="1"/>
    <n v="29"/>
    <n v="185.6"/>
    <n v="106"/>
    <n v="31.55"/>
    <n v="219.7"/>
    <n v="113"/>
    <n v="18.670000000000002"/>
    <n v="152.1"/>
    <n v="120"/>
    <n v="6.84"/>
    <n v="11.1"/>
    <n v="5"/>
    <n v="3"/>
    <x v="2"/>
    <x v="0"/>
    <n v="568.5"/>
    <n v="60.06"/>
    <n v="344"/>
    <x v="2"/>
    <x v="1"/>
    <x v="1"/>
    <x v="0"/>
    <x v="1"/>
    <x v="2"/>
  </r>
  <r>
    <x v="34"/>
    <n v="30"/>
    <x v="0"/>
    <x v="0"/>
    <x v="0"/>
    <n v="0"/>
    <n v="137.6"/>
    <n v="108"/>
    <n v="23.39"/>
    <n v="162"/>
    <n v="80"/>
    <n v="13.77"/>
    <n v="187.7"/>
    <n v="126"/>
    <n v="8.4499999999999993"/>
    <n v="5.8"/>
    <n v="10"/>
    <n v="1.57"/>
    <x v="4"/>
    <x v="0"/>
    <n v="493.1"/>
    <n v="47.18"/>
    <n v="324"/>
    <x v="2"/>
    <x v="2"/>
    <x v="2"/>
    <x v="0"/>
    <x v="0"/>
    <x v="2"/>
  </r>
  <r>
    <x v="30"/>
    <n v="105"/>
    <x v="1"/>
    <x v="1"/>
    <x v="0"/>
    <n v="0"/>
    <n v="273.89999999999998"/>
    <n v="119"/>
    <n v="46.56"/>
    <n v="278.60000000000002"/>
    <n v="103"/>
    <n v="23.68"/>
    <n v="255.3"/>
    <n v="90"/>
    <n v="11.49"/>
    <n v="10.9"/>
    <n v="7"/>
    <n v="2.94"/>
    <x v="0"/>
    <x v="1"/>
    <n v="818.69999999999993"/>
    <n v="84.67"/>
    <n v="319"/>
    <x v="0"/>
    <x v="0"/>
    <x v="0"/>
    <x v="1"/>
    <x v="0"/>
    <x v="0"/>
  </r>
  <r>
    <x v="13"/>
    <n v="102"/>
    <x v="1"/>
    <x v="0"/>
    <x v="1"/>
    <n v="31"/>
    <n v="125.3"/>
    <n v="92"/>
    <n v="21.3"/>
    <n v="141.19999999999999"/>
    <n v="108"/>
    <n v="12"/>
    <n v="168.2"/>
    <n v="68"/>
    <n v="7.57"/>
    <n v="6.3"/>
    <n v="2"/>
    <n v="1.7"/>
    <x v="4"/>
    <x v="0"/>
    <n v="441"/>
    <n v="42.57"/>
    <n v="270"/>
    <x v="2"/>
    <x v="2"/>
    <x v="2"/>
    <x v="0"/>
    <x v="1"/>
    <x v="2"/>
  </r>
  <r>
    <x v="42"/>
    <n v="83"/>
    <x v="1"/>
    <x v="0"/>
    <x v="0"/>
    <n v="0"/>
    <n v="178.8"/>
    <n v="102"/>
    <n v="30.4"/>
    <n v="167.9"/>
    <n v="84"/>
    <n v="14.27"/>
    <n v="178.9"/>
    <n v="65"/>
    <n v="8.0500000000000007"/>
    <n v="8.6"/>
    <n v="4"/>
    <n v="2.3199999999999998"/>
    <x v="4"/>
    <x v="0"/>
    <n v="534.20000000000005"/>
    <n v="55.04"/>
    <n v="255"/>
    <x v="2"/>
    <x v="2"/>
    <x v="1"/>
    <x v="0"/>
    <x v="0"/>
    <x v="2"/>
  </r>
  <r>
    <x v="47"/>
    <n v="63"/>
    <x v="2"/>
    <x v="0"/>
    <x v="1"/>
    <n v="49"/>
    <n v="214.9"/>
    <n v="86"/>
    <n v="36.53"/>
    <n v="198.2"/>
    <n v="89"/>
    <n v="16.850000000000001"/>
    <n v="170.8"/>
    <n v="139"/>
    <n v="7.69"/>
    <n v="8.1999999999999993"/>
    <n v="5"/>
    <n v="2.21"/>
    <x v="3"/>
    <x v="0"/>
    <n v="592.10000000000014"/>
    <n v="63.28"/>
    <n v="319"/>
    <x v="0"/>
    <x v="1"/>
    <x v="1"/>
    <x v="0"/>
    <x v="1"/>
    <x v="0"/>
  </r>
  <r>
    <x v="27"/>
    <n v="155"/>
    <x v="0"/>
    <x v="0"/>
    <x v="0"/>
    <n v="0"/>
    <n v="163"/>
    <n v="93"/>
    <n v="27.71"/>
    <n v="203.9"/>
    <n v="102"/>
    <n v="17.329999999999998"/>
    <n v="159"/>
    <n v="109"/>
    <n v="7.15"/>
    <n v="15.1"/>
    <n v="4"/>
    <n v="4.08"/>
    <x v="2"/>
    <x v="0"/>
    <n v="541"/>
    <n v="56.269999999999996"/>
    <n v="308"/>
    <x v="2"/>
    <x v="1"/>
    <x v="1"/>
    <x v="0"/>
    <x v="0"/>
    <x v="2"/>
  </r>
  <r>
    <x v="40"/>
    <n v="105"/>
    <x v="0"/>
    <x v="0"/>
    <x v="0"/>
    <n v="0"/>
    <n v="115.5"/>
    <n v="73"/>
    <n v="19.64"/>
    <n v="267.3"/>
    <n v="83"/>
    <n v="22.72"/>
    <n v="114.2"/>
    <n v="90"/>
    <n v="5.14"/>
    <n v="13.3"/>
    <n v="5"/>
    <n v="3.59"/>
    <x v="4"/>
    <x v="0"/>
    <n v="510.3"/>
    <n v="51.09"/>
    <n v="251"/>
    <x v="2"/>
    <x v="2"/>
    <x v="2"/>
    <x v="0"/>
    <x v="0"/>
    <x v="2"/>
  </r>
  <r>
    <x v="49"/>
    <n v="73"/>
    <x v="1"/>
    <x v="0"/>
    <x v="0"/>
    <n v="0"/>
    <n v="137.1"/>
    <n v="102"/>
    <n v="23.31"/>
    <n v="210.8"/>
    <n v="114"/>
    <n v="17.920000000000002"/>
    <n v="191.4"/>
    <n v="120"/>
    <n v="8.61"/>
    <n v="11.1"/>
    <n v="4"/>
    <n v="3"/>
    <x v="0"/>
    <x v="0"/>
    <n v="550.4"/>
    <n v="52.84"/>
    <n v="340"/>
    <x v="0"/>
    <x v="1"/>
    <x v="2"/>
    <x v="0"/>
    <x v="0"/>
    <x v="0"/>
  </r>
  <r>
    <x v="24"/>
    <n v="21"/>
    <x v="1"/>
    <x v="0"/>
    <x v="1"/>
    <n v="19"/>
    <n v="132.69999999999999"/>
    <n v="94"/>
    <n v="22.56"/>
    <n v="204.6"/>
    <n v="101"/>
    <n v="17.39"/>
    <n v="154.69999999999999"/>
    <n v="78"/>
    <n v="6.96"/>
    <n v="12.9"/>
    <n v="7"/>
    <n v="3.48"/>
    <x v="4"/>
    <x v="0"/>
    <n v="504.89999999999992"/>
    <n v="50.39"/>
    <n v="280"/>
    <x v="2"/>
    <x v="2"/>
    <x v="2"/>
    <x v="0"/>
    <x v="1"/>
    <x v="2"/>
  </r>
  <r>
    <x v="26"/>
    <n v="71"/>
    <x v="1"/>
    <x v="0"/>
    <x v="1"/>
    <n v="39"/>
    <n v="183.2"/>
    <n v="103"/>
    <n v="31.14"/>
    <n v="209.4"/>
    <n v="111"/>
    <n v="17.8"/>
    <n v="172.4"/>
    <n v="109"/>
    <n v="7.76"/>
    <n v="11.9"/>
    <n v="6"/>
    <n v="3.21"/>
    <x v="0"/>
    <x v="0"/>
    <n v="576.9"/>
    <n v="59.91"/>
    <n v="329"/>
    <x v="0"/>
    <x v="1"/>
    <x v="1"/>
    <x v="0"/>
    <x v="1"/>
    <x v="0"/>
  </r>
  <r>
    <x v="14"/>
    <n v="112"/>
    <x v="1"/>
    <x v="0"/>
    <x v="0"/>
    <n v="0"/>
    <n v="170.5"/>
    <n v="113"/>
    <n v="28.99"/>
    <n v="193.2"/>
    <n v="129"/>
    <n v="16.420000000000002"/>
    <n v="188"/>
    <n v="91"/>
    <n v="8.4600000000000009"/>
    <n v="11.2"/>
    <n v="6"/>
    <n v="3.02"/>
    <x v="3"/>
    <x v="0"/>
    <n v="562.90000000000009"/>
    <n v="56.89"/>
    <n v="339"/>
    <x v="0"/>
    <x v="1"/>
    <x v="1"/>
    <x v="0"/>
    <x v="0"/>
    <x v="0"/>
  </r>
  <r>
    <x v="16"/>
    <n v="66"/>
    <x v="2"/>
    <x v="0"/>
    <x v="0"/>
    <n v="0"/>
    <n v="154"/>
    <n v="133"/>
    <n v="26.18"/>
    <n v="198.9"/>
    <n v="121"/>
    <n v="16.91"/>
    <n v="151.9"/>
    <n v="100"/>
    <n v="6.84"/>
    <n v="9.5"/>
    <n v="3"/>
    <n v="2.57"/>
    <x v="1"/>
    <x v="1"/>
    <n v="514.29999999999995"/>
    <n v="52.5"/>
    <n v="357"/>
    <x v="1"/>
    <x v="2"/>
    <x v="2"/>
    <x v="0"/>
    <x v="0"/>
    <x v="1"/>
  </r>
  <r>
    <x v="48"/>
    <n v="99"/>
    <x v="0"/>
    <x v="0"/>
    <x v="0"/>
    <n v="0"/>
    <n v="54.8"/>
    <n v="92"/>
    <n v="9.32"/>
    <n v="173"/>
    <n v="103"/>
    <n v="14.71"/>
    <n v="195.1"/>
    <n v="125"/>
    <n v="8.7799999999999994"/>
    <n v="7.5"/>
    <n v="3"/>
    <n v="2.0299999999999998"/>
    <x v="0"/>
    <x v="0"/>
    <n v="430.4"/>
    <n v="34.840000000000003"/>
    <n v="323"/>
    <x v="0"/>
    <x v="2"/>
    <x v="2"/>
    <x v="0"/>
    <x v="0"/>
    <x v="0"/>
  </r>
  <r>
    <x v="44"/>
    <n v="124"/>
    <x v="2"/>
    <x v="0"/>
    <x v="0"/>
    <n v="0"/>
    <n v="184.8"/>
    <n v="74"/>
    <n v="31.42"/>
    <n v="175.1"/>
    <n v="84"/>
    <n v="14.88"/>
    <n v="158.19999999999999"/>
    <n v="95"/>
    <n v="7.12"/>
    <n v="10.5"/>
    <n v="6"/>
    <n v="2.84"/>
    <x v="0"/>
    <x v="0"/>
    <n v="528.59999999999991"/>
    <n v="56.260000000000005"/>
    <n v="259"/>
    <x v="0"/>
    <x v="2"/>
    <x v="1"/>
    <x v="0"/>
    <x v="0"/>
    <x v="0"/>
  </r>
  <r>
    <x v="34"/>
    <n v="95"/>
    <x v="1"/>
    <x v="0"/>
    <x v="1"/>
    <n v="36"/>
    <n v="283.10000000000002"/>
    <n v="112"/>
    <n v="48.13"/>
    <n v="286.2"/>
    <n v="86"/>
    <n v="24.33"/>
    <n v="261.7"/>
    <n v="129"/>
    <n v="11.78"/>
    <n v="11.3"/>
    <n v="3"/>
    <n v="3.05"/>
    <x v="4"/>
    <x v="0"/>
    <n v="842.3"/>
    <n v="87.289999999999992"/>
    <n v="330"/>
    <x v="2"/>
    <x v="0"/>
    <x v="0"/>
    <x v="0"/>
    <x v="1"/>
    <x v="2"/>
  </r>
  <r>
    <x v="23"/>
    <n v="130"/>
    <x v="0"/>
    <x v="0"/>
    <x v="0"/>
    <n v="0"/>
    <n v="68.400000000000006"/>
    <n v="86"/>
    <n v="11.63"/>
    <n v="193.3"/>
    <n v="110"/>
    <n v="16.43"/>
    <n v="171.5"/>
    <n v="139"/>
    <n v="7.72"/>
    <n v="10.4"/>
    <n v="4"/>
    <n v="2.81"/>
    <x v="3"/>
    <x v="0"/>
    <n v="443.6"/>
    <n v="38.590000000000003"/>
    <n v="339"/>
    <x v="0"/>
    <x v="2"/>
    <x v="2"/>
    <x v="0"/>
    <x v="0"/>
    <x v="0"/>
  </r>
  <r>
    <x v="43"/>
    <n v="93"/>
    <x v="2"/>
    <x v="1"/>
    <x v="0"/>
    <n v="0"/>
    <n v="131.4"/>
    <n v="78"/>
    <n v="22.34"/>
    <n v="219.7"/>
    <n v="106"/>
    <n v="18.670000000000002"/>
    <n v="155.69999999999999"/>
    <n v="103"/>
    <n v="7.01"/>
    <n v="11.1"/>
    <n v="2"/>
    <n v="3"/>
    <x v="0"/>
    <x v="1"/>
    <n v="517.9"/>
    <n v="51.019999999999996"/>
    <n v="289"/>
    <x v="0"/>
    <x v="2"/>
    <x v="2"/>
    <x v="1"/>
    <x v="0"/>
    <x v="0"/>
  </r>
  <r>
    <x v="44"/>
    <n v="191"/>
    <x v="0"/>
    <x v="0"/>
    <x v="0"/>
    <n v="0"/>
    <n v="162"/>
    <n v="104"/>
    <n v="27.54"/>
    <n v="241.2"/>
    <n v="120"/>
    <n v="20.5"/>
    <n v="210.4"/>
    <n v="83"/>
    <n v="9.4700000000000006"/>
    <n v="10.9"/>
    <n v="7"/>
    <n v="2.94"/>
    <x v="0"/>
    <x v="0"/>
    <n v="624.5"/>
    <n v="60.449999999999996"/>
    <n v="314"/>
    <x v="0"/>
    <x v="1"/>
    <x v="1"/>
    <x v="0"/>
    <x v="0"/>
    <x v="0"/>
  </r>
  <r>
    <x v="14"/>
    <n v="88"/>
    <x v="1"/>
    <x v="0"/>
    <x v="0"/>
    <n v="0"/>
    <n v="148.19999999999999"/>
    <n v="82"/>
    <n v="25.19"/>
    <n v="308.7"/>
    <n v="67"/>
    <n v="26.24"/>
    <n v="235.4"/>
    <n v="79"/>
    <n v="10.59"/>
    <n v="6.4"/>
    <n v="4"/>
    <n v="1.73"/>
    <x v="2"/>
    <x v="0"/>
    <n v="698.69999999999993"/>
    <n v="63.75"/>
    <n v="232"/>
    <x v="2"/>
    <x v="0"/>
    <x v="1"/>
    <x v="0"/>
    <x v="0"/>
    <x v="2"/>
  </r>
  <r>
    <x v="28"/>
    <n v="16"/>
    <x v="1"/>
    <x v="0"/>
    <x v="0"/>
    <n v="0"/>
    <n v="174.7"/>
    <n v="83"/>
    <n v="29.7"/>
    <n v="280.8"/>
    <n v="122"/>
    <n v="23.87"/>
    <n v="171.7"/>
    <n v="80"/>
    <n v="7.73"/>
    <n v="10.5"/>
    <n v="8"/>
    <n v="2.84"/>
    <x v="5"/>
    <x v="0"/>
    <n v="637.70000000000005"/>
    <n v="64.14"/>
    <n v="293"/>
    <x v="1"/>
    <x v="1"/>
    <x v="1"/>
    <x v="0"/>
    <x v="0"/>
    <x v="1"/>
  </r>
  <r>
    <x v="50"/>
    <n v="107"/>
    <x v="2"/>
    <x v="0"/>
    <x v="0"/>
    <n v="0"/>
    <n v="194.5"/>
    <n v="97"/>
    <n v="33.07"/>
    <n v="186.3"/>
    <n v="131"/>
    <n v="15.84"/>
    <n v="178.3"/>
    <n v="106"/>
    <n v="8.02"/>
    <n v="12.7"/>
    <n v="1"/>
    <n v="3.43"/>
    <x v="2"/>
    <x v="0"/>
    <n v="571.80000000000007"/>
    <n v="60.36"/>
    <n v="335"/>
    <x v="2"/>
    <x v="1"/>
    <x v="1"/>
    <x v="0"/>
    <x v="0"/>
    <x v="2"/>
  </r>
  <r>
    <x v="5"/>
    <n v="96"/>
    <x v="0"/>
    <x v="0"/>
    <x v="1"/>
    <n v="29"/>
    <n v="150"/>
    <n v="91"/>
    <n v="25.5"/>
    <n v="159.4"/>
    <n v="75"/>
    <n v="13.55"/>
    <n v="228.1"/>
    <n v="55"/>
    <n v="10.26"/>
    <n v="8.5"/>
    <n v="3"/>
    <n v="2.2999999999999998"/>
    <x v="0"/>
    <x v="0"/>
    <n v="546"/>
    <n v="51.61"/>
    <n v="224"/>
    <x v="0"/>
    <x v="1"/>
    <x v="2"/>
    <x v="0"/>
    <x v="1"/>
    <x v="0"/>
  </r>
  <r>
    <x v="34"/>
    <n v="163"/>
    <x v="0"/>
    <x v="0"/>
    <x v="1"/>
    <n v="40"/>
    <n v="231.9"/>
    <n v="56"/>
    <n v="39.42"/>
    <n v="211.8"/>
    <n v="91"/>
    <n v="18"/>
    <n v="268.5"/>
    <n v="74"/>
    <n v="12.08"/>
    <n v="12.3"/>
    <n v="3"/>
    <n v="3.32"/>
    <x v="2"/>
    <x v="0"/>
    <n v="724.5"/>
    <n v="72.819999999999993"/>
    <n v="224"/>
    <x v="2"/>
    <x v="0"/>
    <x v="0"/>
    <x v="0"/>
    <x v="1"/>
    <x v="2"/>
  </r>
  <r>
    <x v="25"/>
    <n v="95"/>
    <x v="1"/>
    <x v="0"/>
    <x v="0"/>
    <n v="0"/>
    <n v="269"/>
    <n v="120"/>
    <n v="45.73"/>
    <n v="233.7"/>
    <n v="120"/>
    <n v="19.86"/>
    <n v="179.3"/>
    <n v="61"/>
    <n v="8.07"/>
    <n v="7.3"/>
    <n v="4"/>
    <n v="1.97"/>
    <x v="2"/>
    <x v="1"/>
    <n v="689.3"/>
    <n v="75.63"/>
    <n v="305"/>
    <x v="2"/>
    <x v="0"/>
    <x v="0"/>
    <x v="0"/>
    <x v="0"/>
    <x v="2"/>
  </r>
  <r>
    <x v="33"/>
    <n v="123"/>
    <x v="1"/>
    <x v="0"/>
    <x v="1"/>
    <n v="27"/>
    <n v="198.7"/>
    <n v="127"/>
    <n v="33.78"/>
    <n v="249"/>
    <n v="105"/>
    <n v="21.17"/>
    <n v="173.2"/>
    <n v="124"/>
    <n v="7.79"/>
    <n v="12.5"/>
    <n v="5"/>
    <n v="3.38"/>
    <x v="0"/>
    <x v="0"/>
    <n v="633.4"/>
    <n v="66.12"/>
    <n v="361"/>
    <x v="0"/>
    <x v="1"/>
    <x v="0"/>
    <x v="0"/>
    <x v="1"/>
    <x v="0"/>
  </r>
  <r>
    <x v="13"/>
    <n v="34"/>
    <x v="1"/>
    <x v="0"/>
    <x v="0"/>
    <n v="0"/>
    <n v="293.7"/>
    <n v="89"/>
    <n v="49.93"/>
    <n v="272.5"/>
    <n v="71"/>
    <n v="23.16"/>
    <n v="178.2"/>
    <n v="76"/>
    <n v="8.02"/>
    <n v="11"/>
    <n v="10"/>
    <n v="2.97"/>
    <x v="2"/>
    <x v="1"/>
    <n v="755.40000000000009"/>
    <n v="84.08"/>
    <n v="246"/>
    <x v="2"/>
    <x v="0"/>
    <x v="0"/>
    <x v="0"/>
    <x v="0"/>
    <x v="2"/>
  </r>
  <r>
    <x v="36"/>
    <n v="96"/>
    <x v="1"/>
    <x v="0"/>
    <x v="1"/>
    <n v="26"/>
    <n v="175.8"/>
    <n v="96"/>
    <n v="29.89"/>
    <n v="206.6"/>
    <n v="84"/>
    <n v="17.559999999999999"/>
    <n v="178"/>
    <n v="105"/>
    <n v="8.01"/>
    <n v="11.1"/>
    <n v="2"/>
    <n v="3"/>
    <x v="2"/>
    <x v="0"/>
    <n v="571.5"/>
    <n v="58.46"/>
    <n v="287"/>
    <x v="2"/>
    <x v="1"/>
    <x v="1"/>
    <x v="0"/>
    <x v="1"/>
    <x v="2"/>
  </r>
  <r>
    <x v="20"/>
    <n v="146"/>
    <x v="1"/>
    <x v="0"/>
    <x v="0"/>
    <n v="0"/>
    <n v="169.5"/>
    <n v="93"/>
    <n v="28.82"/>
    <n v="230.9"/>
    <n v="71"/>
    <n v="19.63"/>
    <n v="269.8"/>
    <n v="115"/>
    <n v="12.14"/>
    <n v="9"/>
    <n v="7"/>
    <n v="2.4300000000000002"/>
    <x v="2"/>
    <x v="0"/>
    <n v="679.2"/>
    <n v="63.02"/>
    <n v="286"/>
    <x v="2"/>
    <x v="0"/>
    <x v="1"/>
    <x v="0"/>
    <x v="0"/>
    <x v="2"/>
  </r>
  <r>
    <x v="7"/>
    <n v="138"/>
    <x v="1"/>
    <x v="1"/>
    <x v="1"/>
    <n v="17"/>
    <n v="225.2"/>
    <n v="116"/>
    <n v="38.28"/>
    <n v="173.4"/>
    <n v="88"/>
    <n v="14.74"/>
    <n v="145.80000000000001"/>
    <n v="99"/>
    <n v="6.56"/>
    <n v="11.7"/>
    <n v="4"/>
    <n v="3.16"/>
    <x v="3"/>
    <x v="0"/>
    <n v="556.10000000000014"/>
    <n v="62.74"/>
    <n v="307"/>
    <x v="0"/>
    <x v="1"/>
    <x v="1"/>
    <x v="1"/>
    <x v="1"/>
    <x v="0"/>
  </r>
  <r>
    <x v="21"/>
    <n v="76"/>
    <x v="2"/>
    <x v="0"/>
    <x v="0"/>
    <n v="0"/>
    <n v="129.69999999999999"/>
    <n v="84"/>
    <n v="22.05"/>
    <n v="177.5"/>
    <n v="80"/>
    <n v="15.09"/>
    <n v="228.9"/>
    <n v="87"/>
    <n v="10.3"/>
    <n v="7.5"/>
    <n v="3"/>
    <n v="2.0299999999999998"/>
    <x v="5"/>
    <x v="1"/>
    <n v="543.6"/>
    <n v="49.47"/>
    <n v="254"/>
    <x v="1"/>
    <x v="1"/>
    <x v="2"/>
    <x v="0"/>
    <x v="0"/>
    <x v="1"/>
  </r>
  <r>
    <x v="31"/>
    <n v="83"/>
    <x v="2"/>
    <x v="0"/>
    <x v="1"/>
    <n v="36"/>
    <n v="95.9"/>
    <n v="87"/>
    <n v="16.3"/>
    <n v="261.60000000000002"/>
    <n v="105"/>
    <n v="22.24"/>
    <n v="228.6"/>
    <n v="109"/>
    <n v="10.29"/>
    <n v="13.3"/>
    <n v="4"/>
    <n v="3.59"/>
    <x v="3"/>
    <x v="0"/>
    <n v="599.4"/>
    <n v="52.42"/>
    <n v="305"/>
    <x v="0"/>
    <x v="1"/>
    <x v="2"/>
    <x v="0"/>
    <x v="1"/>
    <x v="0"/>
  </r>
  <r>
    <x v="4"/>
    <n v="104"/>
    <x v="0"/>
    <x v="0"/>
    <x v="0"/>
    <n v="0"/>
    <n v="170.6"/>
    <n v="97"/>
    <n v="29"/>
    <n v="162.1"/>
    <n v="111"/>
    <n v="13.78"/>
    <n v="210.7"/>
    <n v="131"/>
    <n v="9.48"/>
    <n v="6.1"/>
    <n v="1"/>
    <n v="1.65"/>
    <x v="0"/>
    <x v="0"/>
    <n v="549.5"/>
    <n v="53.91"/>
    <n v="340"/>
    <x v="0"/>
    <x v="1"/>
    <x v="1"/>
    <x v="0"/>
    <x v="0"/>
    <x v="0"/>
  </r>
  <r>
    <x v="42"/>
    <n v="106"/>
    <x v="1"/>
    <x v="0"/>
    <x v="0"/>
    <n v="0"/>
    <n v="191.4"/>
    <n v="124"/>
    <n v="32.54"/>
    <n v="200.7"/>
    <n v="116"/>
    <n v="17.059999999999999"/>
    <n v="230.1"/>
    <n v="76"/>
    <n v="10.35"/>
    <n v="8.1999999999999993"/>
    <n v="3"/>
    <n v="2.21"/>
    <x v="0"/>
    <x v="0"/>
    <n v="630.40000000000009"/>
    <n v="62.16"/>
    <n v="319"/>
    <x v="0"/>
    <x v="1"/>
    <x v="1"/>
    <x v="0"/>
    <x v="0"/>
    <x v="0"/>
  </r>
  <r>
    <x v="27"/>
    <n v="84"/>
    <x v="2"/>
    <x v="0"/>
    <x v="0"/>
    <n v="0"/>
    <n v="75.3"/>
    <n v="96"/>
    <n v="12.8"/>
    <n v="179.9"/>
    <n v="113"/>
    <n v="15.29"/>
    <n v="193.8"/>
    <n v="134"/>
    <n v="8.7200000000000006"/>
    <n v="12.3"/>
    <n v="1"/>
    <n v="3.32"/>
    <x v="0"/>
    <x v="0"/>
    <n v="461.3"/>
    <n v="40.129999999999995"/>
    <n v="344"/>
    <x v="0"/>
    <x v="2"/>
    <x v="2"/>
    <x v="0"/>
    <x v="0"/>
    <x v="0"/>
  </r>
  <r>
    <x v="10"/>
    <n v="99"/>
    <x v="0"/>
    <x v="0"/>
    <x v="0"/>
    <n v="0"/>
    <n v="128.80000000000001"/>
    <n v="86"/>
    <n v="21.9"/>
    <n v="203.9"/>
    <n v="105"/>
    <n v="17.329999999999998"/>
    <n v="282.60000000000002"/>
    <n v="131"/>
    <n v="12.72"/>
    <n v="14.1"/>
    <n v="4"/>
    <n v="3.81"/>
    <x v="2"/>
    <x v="0"/>
    <n v="629.40000000000009"/>
    <n v="55.76"/>
    <n v="326"/>
    <x v="2"/>
    <x v="1"/>
    <x v="1"/>
    <x v="0"/>
    <x v="0"/>
    <x v="2"/>
  </r>
  <r>
    <x v="35"/>
    <n v="134"/>
    <x v="1"/>
    <x v="0"/>
    <x v="0"/>
    <n v="0"/>
    <n v="141.69999999999999"/>
    <n v="95"/>
    <n v="24.09"/>
    <n v="205.6"/>
    <n v="101"/>
    <n v="17.48"/>
    <n v="218.5"/>
    <n v="60"/>
    <n v="9.83"/>
    <n v="8.8000000000000007"/>
    <n v="6"/>
    <n v="2.38"/>
    <x v="3"/>
    <x v="0"/>
    <n v="574.59999999999991"/>
    <n v="53.78"/>
    <n v="262"/>
    <x v="0"/>
    <x v="1"/>
    <x v="2"/>
    <x v="0"/>
    <x v="0"/>
    <x v="0"/>
  </r>
  <r>
    <x v="42"/>
    <n v="80"/>
    <x v="1"/>
    <x v="0"/>
    <x v="0"/>
    <n v="0"/>
    <n v="268.7"/>
    <n v="120"/>
    <n v="45.68"/>
    <n v="301"/>
    <n v="147"/>
    <n v="25.59"/>
    <n v="167"/>
    <n v="140"/>
    <n v="7.52"/>
    <n v="5.8"/>
    <n v="1"/>
    <n v="1.57"/>
    <x v="2"/>
    <x v="1"/>
    <n v="742.5"/>
    <n v="80.36"/>
    <n v="408"/>
    <x v="2"/>
    <x v="0"/>
    <x v="0"/>
    <x v="0"/>
    <x v="0"/>
    <x v="2"/>
  </r>
  <r>
    <x v="10"/>
    <n v="85"/>
    <x v="1"/>
    <x v="0"/>
    <x v="0"/>
    <n v="0"/>
    <n v="255.3"/>
    <n v="114"/>
    <n v="43.4"/>
    <n v="194.6"/>
    <n v="83"/>
    <n v="16.54"/>
    <n v="276.60000000000002"/>
    <n v="78"/>
    <n v="12.45"/>
    <n v="3.7"/>
    <n v="5"/>
    <n v="1"/>
    <x v="4"/>
    <x v="0"/>
    <n v="730.2"/>
    <n v="73.39"/>
    <n v="280"/>
    <x v="2"/>
    <x v="0"/>
    <x v="0"/>
    <x v="0"/>
    <x v="0"/>
    <x v="2"/>
  </r>
  <r>
    <x v="9"/>
    <n v="120"/>
    <x v="0"/>
    <x v="0"/>
    <x v="1"/>
    <n v="26"/>
    <n v="239.4"/>
    <n v="94"/>
    <n v="40.700000000000003"/>
    <n v="259.39999999999998"/>
    <n v="88"/>
    <n v="22.05"/>
    <n v="238"/>
    <n v="132"/>
    <n v="10.71"/>
    <n v="7.7"/>
    <n v="3"/>
    <n v="2.08"/>
    <x v="3"/>
    <x v="0"/>
    <n v="744.5"/>
    <n v="75.540000000000006"/>
    <n v="317"/>
    <x v="0"/>
    <x v="0"/>
    <x v="0"/>
    <x v="0"/>
    <x v="1"/>
    <x v="0"/>
  </r>
  <r>
    <x v="30"/>
    <n v="120"/>
    <x v="2"/>
    <x v="0"/>
    <x v="0"/>
    <n v="0"/>
    <n v="158"/>
    <n v="110"/>
    <n v="26.86"/>
    <n v="197"/>
    <n v="103"/>
    <n v="16.75"/>
    <n v="154.9"/>
    <n v="132"/>
    <n v="6.97"/>
    <n v="10"/>
    <n v="5"/>
    <n v="2.7"/>
    <x v="0"/>
    <x v="0"/>
    <n v="519.9"/>
    <n v="53.28"/>
    <n v="350"/>
    <x v="0"/>
    <x v="2"/>
    <x v="2"/>
    <x v="0"/>
    <x v="0"/>
    <x v="0"/>
  </r>
  <r>
    <x v="42"/>
    <n v="125"/>
    <x v="1"/>
    <x v="0"/>
    <x v="0"/>
    <n v="0"/>
    <n v="182.3"/>
    <n v="64"/>
    <n v="30.99"/>
    <n v="139.80000000000001"/>
    <n v="121"/>
    <n v="11.88"/>
    <n v="171.6"/>
    <n v="96"/>
    <n v="7.72"/>
    <n v="11.6"/>
    <n v="7"/>
    <n v="3.13"/>
    <x v="2"/>
    <x v="0"/>
    <n v="505.30000000000007"/>
    <n v="53.72"/>
    <n v="288"/>
    <x v="2"/>
    <x v="2"/>
    <x v="2"/>
    <x v="0"/>
    <x v="0"/>
    <x v="2"/>
  </r>
  <r>
    <x v="46"/>
    <n v="118"/>
    <x v="1"/>
    <x v="0"/>
    <x v="1"/>
    <n v="39"/>
    <n v="91.5"/>
    <n v="125"/>
    <n v="15.56"/>
    <n v="219.9"/>
    <n v="113"/>
    <n v="18.690000000000001"/>
    <n v="229"/>
    <n v="99"/>
    <n v="10.31"/>
    <n v="12.7"/>
    <n v="8"/>
    <n v="3.43"/>
    <x v="2"/>
    <x v="0"/>
    <n v="553.1"/>
    <n v="47.99"/>
    <n v="345"/>
    <x v="2"/>
    <x v="1"/>
    <x v="2"/>
    <x v="0"/>
    <x v="1"/>
    <x v="2"/>
  </r>
  <r>
    <x v="28"/>
    <n v="62"/>
    <x v="1"/>
    <x v="0"/>
    <x v="0"/>
    <n v="0"/>
    <n v="172.4"/>
    <n v="132"/>
    <n v="29.31"/>
    <n v="230.5"/>
    <n v="100"/>
    <n v="19.59"/>
    <n v="228.2"/>
    <n v="109"/>
    <n v="10.27"/>
    <n v="11"/>
    <n v="5"/>
    <n v="2.97"/>
    <x v="3"/>
    <x v="0"/>
    <n v="642.09999999999991"/>
    <n v="62.14"/>
    <n v="346"/>
    <x v="0"/>
    <x v="1"/>
    <x v="1"/>
    <x v="0"/>
    <x v="0"/>
    <x v="0"/>
  </r>
  <r>
    <x v="0"/>
    <n v="112"/>
    <x v="2"/>
    <x v="0"/>
    <x v="0"/>
    <n v="0"/>
    <n v="174.5"/>
    <n v="127"/>
    <n v="29.67"/>
    <n v="259.3"/>
    <n v="71"/>
    <n v="22.04"/>
    <n v="170.5"/>
    <n v="120"/>
    <n v="7.67"/>
    <n v="11.3"/>
    <n v="7"/>
    <n v="3.05"/>
    <x v="0"/>
    <x v="0"/>
    <n v="615.59999999999991"/>
    <n v="62.43"/>
    <n v="325"/>
    <x v="0"/>
    <x v="1"/>
    <x v="1"/>
    <x v="0"/>
    <x v="0"/>
    <x v="0"/>
  </r>
  <r>
    <x v="22"/>
    <n v="68"/>
    <x v="2"/>
    <x v="0"/>
    <x v="0"/>
    <n v="0"/>
    <n v="157.30000000000001"/>
    <n v="83"/>
    <n v="26.74"/>
    <n v="220.9"/>
    <n v="85"/>
    <n v="18.78"/>
    <n v="218.9"/>
    <n v="129"/>
    <n v="9.85"/>
    <n v="12"/>
    <n v="7"/>
    <n v="3.24"/>
    <x v="0"/>
    <x v="0"/>
    <n v="609.1"/>
    <n v="58.61"/>
    <n v="304"/>
    <x v="0"/>
    <x v="1"/>
    <x v="1"/>
    <x v="0"/>
    <x v="0"/>
    <x v="0"/>
  </r>
  <r>
    <x v="26"/>
    <n v="201"/>
    <x v="1"/>
    <x v="0"/>
    <x v="1"/>
    <n v="21"/>
    <n v="192"/>
    <n v="97"/>
    <n v="32.64"/>
    <n v="239.1"/>
    <n v="81"/>
    <n v="20.32"/>
    <n v="116.1"/>
    <n v="125"/>
    <n v="5.22"/>
    <n v="15.1"/>
    <n v="3"/>
    <n v="4.08"/>
    <x v="0"/>
    <x v="0"/>
    <n v="562.30000000000007"/>
    <n v="62.260000000000005"/>
    <n v="306"/>
    <x v="0"/>
    <x v="1"/>
    <x v="1"/>
    <x v="0"/>
    <x v="1"/>
    <x v="0"/>
  </r>
  <r>
    <x v="47"/>
    <n v="116"/>
    <x v="2"/>
    <x v="0"/>
    <x v="0"/>
    <n v="0"/>
    <n v="160.69999999999999"/>
    <n v="69"/>
    <n v="27.32"/>
    <n v="146.80000000000001"/>
    <n v="106"/>
    <n v="12.48"/>
    <n v="287.8"/>
    <n v="144"/>
    <n v="12.95"/>
    <n v="8.1999999999999993"/>
    <n v="5"/>
    <n v="2.21"/>
    <x v="3"/>
    <x v="0"/>
    <n v="603.5"/>
    <n v="54.96"/>
    <n v="324"/>
    <x v="0"/>
    <x v="1"/>
    <x v="1"/>
    <x v="0"/>
    <x v="0"/>
    <x v="0"/>
  </r>
  <r>
    <x v="50"/>
    <n v="133"/>
    <x v="2"/>
    <x v="0"/>
    <x v="0"/>
    <n v="0"/>
    <n v="227.4"/>
    <n v="90"/>
    <n v="38.659999999999997"/>
    <n v="73.2"/>
    <n v="135"/>
    <n v="6.22"/>
    <n v="114.3"/>
    <n v="99"/>
    <n v="5.14"/>
    <n v="4.7"/>
    <n v="7"/>
    <n v="1.27"/>
    <x v="3"/>
    <x v="0"/>
    <n v="419.6"/>
    <n v="51.289999999999992"/>
    <n v="331"/>
    <x v="0"/>
    <x v="2"/>
    <x v="2"/>
    <x v="0"/>
    <x v="0"/>
    <x v="0"/>
  </r>
  <r>
    <x v="14"/>
    <n v="125"/>
    <x v="0"/>
    <x v="0"/>
    <x v="0"/>
    <n v="0"/>
    <n v="191.6"/>
    <n v="115"/>
    <n v="32.57"/>
    <n v="205.6"/>
    <n v="108"/>
    <n v="17.48"/>
    <n v="210.2"/>
    <n v="123"/>
    <n v="9.4600000000000009"/>
    <n v="9.1999999999999993"/>
    <n v="3"/>
    <n v="2.48"/>
    <x v="2"/>
    <x v="0"/>
    <n v="616.6"/>
    <n v="61.99"/>
    <n v="349"/>
    <x v="2"/>
    <x v="1"/>
    <x v="1"/>
    <x v="0"/>
    <x v="0"/>
    <x v="2"/>
  </r>
  <r>
    <x v="19"/>
    <n v="21"/>
    <x v="2"/>
    <x v="0"/>
    <x v="0"/>
    <n v="0"/>
    <n v="225"/>
    <n v="110"/>
    <n v="38.25"/>
    <n v="244.2"/>
    <n v="111"/>
    <n v="20.76"/>
    <n v="221.2"/>
    <n v="93"/>
    <n v="9.9499999999999993"/>
    <n v="10.7"/>
    <n v="4"/>
    <n v="2.89"/>
    <x v="3"/>
    <x v="0"/>
    <n v="701.1"/>
    <n v="71.849999999999994"/>
    <n v="318"/>
    <x v="0"/>
    <x v="0"/>
    <x v="0"/>
    <x v="0"/>
    <x v="0"/>
    <x v="0"/>
  </r>
  <r>
    <x v="46"/>
    <n v="110"/>
    <x v="0"/>
    <x v="0"/>
    <x v="0"/>
    <n v="0"/>
    <n v="196.1"/>
    <n v="103"/>
    <n v="33.340000000000003"/>
    <n v="199.7"/>
    <n v="123"/>
    <n v="16.97"/>
    <n v="135.9"/>
    <n v="71"/>
    <n v="6.12"/>
    <n v="12.9"/>
    <n v="1"/>
    <n v="3.48"/>
    <x v="4"/>
    <x v="0"/>
    <n v="544.59999999999991"/>
    <n v="59.910000000000004"/>
    <n v="298"/>
    <x v="2"/>
    <x v="1"/>
    <x v="1"/>
    <x v="0"/>
    <x v="0"/>
    <x v="2"/>
  </r>
  <r>
    <x v="23"/>
    <n v="83"/>
    <x v="1"/>
    <x v="0"/>
    <x v="0"/>
    <n v="0"/>
    <n v="231.3"/>
    <n v="100"/>
    <n v="39.32"/>
    <n v="210.4"/>
    <n v="84"/>
    <n v="17.88"/>
    <n v="217.4"/>
    <n v="106"/>
    <n v="9.7799999999999994"/>
    <n v="12.4"/>
    <n v="2"/>
    <n v="3.35"/>
    <x v="4"/>
    <x v="0"/>
    <n v="671.5"/>
    <n v="70.33"/>
    <n v="292"/>
    <x v="2"/>
    <x v="0"/>
    <x v="0"/>
    <x v="0"/>
    <x v="0"/>
    <x v="2"/>
  </r>
  <r>
    <x v="1"/>
    <n v="101"/>
    <x v="1"/>
    <x v="0"/>
    <x v="1"/>
    <n v="42"/>
    <n v="209.2"/>
    <n v="82"/>
    <n v="35.56"/>
    <n v="159.69999999999999"/>
    <n v="74"/>
    <n v="13.57"/>
    <n v="181.6"/>
    <n v="100"/>
    <n v="8.17"/>
    <n v="9.5"/>
    <n v="3"/>
    <n v="2.57"/>
    <x v="3"/>
    <x v="0"/>
    <n v="560"/>
    <n v="59.870000000000005"/>
    <n v="259"/>
    <x v="0"/>
    <x v="1"/>
    <x v="1"/>
    <x v="0"/>
    <x v="1"/>
    <x v="0"/>
  </r>
  <r>
    <x v="25"/>
    <n v="117"/>
    <x v="1"/>
    <x v="0"/>
    <x v="1"/>
    <n v="17"/>
    <n v="221.3"/>
    <n v="82"/>
    <n v="37.619999999999997"/>
    <n v="167.6"/>
    <n v="100"/>
    <n v="14.25"/>
    <n v="262.7"/>
    <n v="87"/>
    <n v="11.82"/>
    <n v="4.4000000000000004"/>
    <n v="4"/>
    <n v="1.19"/>
    <x v="3"/>
    <x v="0"/>
    <n v="655.99999999999989"/>
    <n v="64.88"/>
    <n v="273"/>
    <x v="0"/>
    <x v="0"/>
    <x v="1"/>
    <x v="0"/>
    <x v="1"/>
    <x v="0"/>
  </r>
  <r>
    <x v="20"/>
    <n v="127"/>
    <x v="0"/>
    <x v="0"/>
    <x v="0"/>
    <n v="0"/>
    <n v="139.6"/>
    <n v="94"/>
    <n v="23.73"/>
    <n v="240.9"/>
    <n v="112"/>
    <n v="20.48"/>
    <n v="127.1"/>
    <n v="88"/>
    <n v="5.72"/>
    <n v="8.8000000000000007"/>
    <n v="4"/>
    <n v="2.38"/>
    <x v="2"/>
    <x v="0"/>
    <n v="516.4"/>
    <n v="52.31"/>
    <n v="298"/>
    <x v="2"/>
    <x v="2"/>
    <x v="2"/>
    <x v="0"/>
    <x v="0"/>
    <x v="2"/>
  </r>
  <r>
    <x v="30"/>
    <n v="138"/>
    <x v="2"/>
    <x v="0"/>
    <x v="1"/>
    <n v="26"/>
    <n v="183.9"/>
    <n v="83"/>
    <n v="31.26"/>
    <n v="240.7"/>
    <n v="93"/>
    <n v="20.46"/>
    <n v="185.7"/>
    <n v="125"/>
    <n v="8.36"/>
    <n v="15"/>
    <n v="3"/>
    <n v="4.05"/>
    <x v="0"/>
    <x v="0"/>
    <n v="625.29999999999995"/>
    <n v="64.13000000000001"/>
    <n v="304"/>
    <x v="0"/>
    <x v="1"/>
    <x v="1"/>
    <x v="0"/>
    <x v="1"/>
    <x v="0"/>
  </r>
  <r>
    <x v="26"/>
    <n v="120"/>
    <x v="1"/>
    <x v="0"/>
    <x v="0"/>
    <n v="0"/>
    <n v="203.3"/>
    <n v="108"/>
    <n v="34.56"/>
    <n v="259.89999999999998"/>
    <n v="66"/>
    <n v="22.09"/>
    <n v="115.9"/>
    <n v="103"/>
    <n v="5.22"/>
    <n v="7.8"/>
    <n v="2"/>
    <n v="2.11"/>
    <x v="4"/>
    <x v="0"/>
    <n v="586.9"/>
    <n v="63.980000000000004"/>
    <n v="279"/>
    <x v="2"/>
    <x v="1"/>
    <x v="1"/>
    <x v="0"/>
    <x v="0"/>
    <x v="2"/>
  </r>
  <r>
    <x v="39"/>
    <n v="141"/>
    <x v="1"/>
    <x v="0"/>
    <x v="1"/>
    <n v="37"/>
    <n v="185.4"/>
    <n v="87"/>
    <n v="31.52"/>
    <n v="178.5"/>
    <n v="128"/>
    <n v="15.17"/>
    <n v="218.3"/>
    <n v="107"/>
    <n v="9.82"/>
    <n v="8"/>
    <n v="3"/>
    <n v="2.16"/>
    <x v="1"/>
    <x v="0"/>
    <n v="590.20000000000005"/>
    <n v="58.67"/>
    <n v="325"/>
    <x v="1"/>
    <x v="1"/>
    <x v="1"/>
    <x v="0"/>
    <x v="1"/>
    <x v="1"/>
  </r>
  <r>
    <x v="25"/>
    <n v="87"/>
    <x v="2"/>
    <x v="0"/>
    <x v="1"/>
    <n v="22"/>
    <n v="240.8"/>
    <n v="102"/>
    <n v="40.94"/>
    <n v="75.900000000000006"/>
    <n v="106"/>
    <n v="6.45"/>
    <n v="224.6"/>
    <n v="115"/>
    <n v="10.11"/>
    <n v="7.1"/>
    <n v="3"/>
    <n v="1.92"/>
    <x v="2"/>
    <x v="0"/>
    <n v="548.40000000000009"/>
    <n v="59.42"/>
    <n v="326"/>
    <x v="2"/>
    <x v="1"/>
    <x v="1"/>
    <x v="0"/>
    <x v="1"/>
    <x v="2"/>
  </r>
  <r>
    <x v="18"/>
    <n v="97"/>
    <x v="0"/>
    <x v="0"/>
    <x v="0"/>
    <n v="0"/>
    <n v="276.10000000000002"/>
    <n v="82"/>
    <n v="46.94"/>
    <n v="201.1"/>
    <n v="106"/>
    <n v="17.09"/>
    <n v="231.3"/>
    <n v="73"/>
    <n v="10.41"/>
    <n v="8.9"/>
    <n v="4"/>
    <n v="2.4"/>
    <x v="3"/>
    <x v="1"/>
    <n v="717.4"/>
    <n v="76.84"/>
    <n v="265"/>
    <x v="0"/>
    <x v="0"/>
    <x v="0"/>
    <x v="0"/>
    <x v="0"/>
    <x v="0"/>
  </r>
  <r>
    <x v="31"/>
    <n v="162"/>
    <x v="0"/>
    <x v="0"/>
    <x v="1"/>
    <n v="26"/>
    <n v="179.7"/>
    <n v="144"/>
    <n v="30.55"/>
    <n v="218.1"/>
    <n v="129"/>
    <n v="18.54"/>
    <n v="212.3"/>
    <n v="105"/>
    <n v="9.5500000000000007"/>
    <n v="9.3000000000000007"/>
    <n v="8"/>
    <n v="2.5099999999999998"/>
    <x v="0"/>
    <x v="1"/>
    <n v="619.39999999999986"/>
    <n v="61.150000000000006"/>
    <n v="386"/>
    <x v="0"/>
    <x v="1"/>
    <x v="1"/>
    <x v="0"/>
    <x v="1"/>
    <x v="0"/>
  </r>
  <r>
    <x v="26"/>
    <n v="119"/>
    <x v="2"/>
    <x v="0"/>
    <x v="0"/>
    <n v="0"/>
    <n v="81.900000000000006"/>
    <n v="75"/>
    <n v="13.92"/>
    <n v="253.8"/>
    <n v="114"/>
    <n v="21.57"/>
    <n v="213.1"/>
    <n v="125"/>
    <n v="9.59"/>
    <n v="8.9"/>
    <n v="1"/>
    <n v="2.4"/>
    <x v="2"/>
    <x v="1"/>
    <n v="557.70000000000005"/>
    <n v="47.480000000000004"/>
    <n v="315"/>
    <x v="2"/>
    <x v="1"/>
    <x v="2"/>
    <x v="0"/>
    <x v="0"/>
    <x v="2"/>
  </r>
  <r>
    <x v="9"/>
    <n v="107"/>
    <x v="2"/>
    <x v="0"/>
    <x v="1"/>
    <n v="25"/>
    <n v="248.6"/>
    <n v="91"/>
    <n v="42.26"/>
    <n v="119.3"/>
    <n v="115"/>
    <n v="10.14"/>
    <n v="194.3"/>
    <n v="83"/>
    <n v="8.74"/>
    <n v="12"/>
    <n v="1"/>
    <n v="3.24"/>
    <x v="0"/>
    <x v="0"/>
    <n v="574.20000000000005"/>
    <n v="64.38"/>
    <n v="290"/>
    <x v="0"/>
    <x v="1"/>
    <x v="1"/>
    <x v="0"/>
    <x v="1"/>
    <x v="0"/>
  </r>
  <r>
    <x v="3"/>
    <n v="140"/>
    <x v="2"/>
    <x v="0"/>
    <x v="1"/>
    <n v="28"/>
    <n v="157.1"/>
    <n v="77"/>
    <n v="26.71"/>
    <n v="172.4"/>
    <n v="97"/>
    <n v="14.65"/>
    <n v="184.5"/>
    <n v="94"/>
    <n v="8.3000000000000007"/>
    <n v="11.1"/>
    <n v="9"/>
    <n v="3"/>
    <x v="0"/>
    <x v="0"/>
    <n v="525.1"/>
    <n v="52.660000000000004"/>
    <n v="277"/>
    <x v="0"/>
    <x v="2"/>
    <x v="2"/>
    <x v="0"/>
    <x v="1"/>
    <x v="0"/>
  </r>
  <r>
    <x v="32"/>
    <n v="91"/>
    <x v="1"/>
    <x v="0"/>
    <x v="0"/>
    <n v="0"/>
    <n v="153"/>
    <n v="123"/>
    <n v="26.01"/>
    <n v="141.1"/>
    <n v="127"/>
    <n v="11.99"/>
    <n v="171.5"/>
    <n v="76"/>
    <n v="7.72"/>
    <n v="10.3"/>
    <n v="15"/>
    <n v="2.78"/>
    <x v="0"/>
    <x v="1"/>
    <n v="475.90000000000003"/>
    <n v="48.5"/>
    <n v="341"/>
    <x v="0"/>
    <x v="2"/>
    <x v="2"/>
    <x v="0"/>
    <x v="0"/>
    <x v="0"/>
  </r>
  <r>
    <x v="20"/>
    <n v="135"/>
    <x v="1"/>
    <x v="0"/>
    <x v="0"/>
    <n v="0"/>
    <n v="218.8"/>
    <n v="123"/>
    <n v="37.200000000000003"/>
    <n v="242.8"/>
    <n v="64"/>
    <n v="20.64"/>
    <n v="85.8"/>
    <n v="80"/>
    <n v="3.86"/>
    <n v="10.3"/>
    <n v="3"/>
    <n v="2.78"/>
    <x v="1"/>
    <x v="0"/>
    <n v="557.69999999999993"/>
    <n v="64.48"/>
    <n v="270"/>
    <x v="1"/>
    <x v="1"/>
    <x v="1"/>
    <x v="0"/>
    <x v="0"/>
    <x v="1"/>
  </r>
  <r>
    <x v="4"/>
    <n v="86"/>
    <x v="0"/>
    <x v="0"/>
    <x v="1"/>
    <n v="21"/>
    <n v="197.9"/>
    <n v="99"/>
    <n v="33.64"/>
    <n v="165.6"/>
    <n v="100"/>
    <n v="14.08"/>
    <n v="208"/>
    <n v="120"/>
    <n v="9.36"/>
    <n v="10.1"/>
    <n v="9"/>
    <n v="2.73"/>
    <x v="3"/>
    <x v="0"/>
    <n v="581.6"/>
    <n v="59.81"/>
    <n v="328"/>
    <x v="0"/>
    <x v="1"/>
    <x v="1"/>
    <x v="0"/>
    <x v="1"/>
    <x v="0"/>
  </r>
  <r>
    <x v="14"/>
    <n v="131"/>
    <x v="1"/>
    <x v="0"/>
    <x v="0"/>
    <n v="0"/>
    <n v="166.5"/>
    <n v="129"/>
    <n v="28.31"/>
    <n v="210.2"/>
    <n v="107"/>
    <n v="17.87"/>
    <n v="257.2"/>
    <n v="93"/>
    <n v="11.57"/>
    <n v="9.9"/>
    <n v="5"/>
    <n v="2.67"/>
    <x v="0"/>
    <x v="0"/>
    <n v="643.79999999999995"/>
    <n v="60.42"/>
    <n v="334"/>
    <x v="0"/>
    <x v="1"/>
    <x v="1"/>
    <x v="0"/>
    <x v="0"/>
    <x v="0"/>
  </r>
  <r>
    <x v="20"/>
    <n v="86"/>
    <x v="1"/>
    <x v="0"/>
    <x v="1"/>
    <n v="29"/>
    <n v="225.4"/>
    <n v="79"/>
    <n v="38.32"/>
    <n v="187.1"/>
    <n v="112"/>
    <n v="15.9"/>
    <n v="281.10000000000002"/>
    <n v="112"/>
    <n v="12.65"/>
    <n v="12.9"/>
    <n v="3"/>
    <n v="3.48"/>
    <x v="0"/>
    <x v="0"/>
    <n v="706.5"/>
    <n v="70.349999999999994"/>
    <n v="306"/>
    <x v="0"/>
    <x v="0"/>
    <x v="0"/>
    <x v="0"/>
    <x v="1"/>
    <x v="0"/>
  </r>
  <r>
    <x v="22"/>
    <n v="85"/>
    <x v="1"/>
    <x v="0"/>
    <x v="0"/>
    <n v="0"/>
    <n v="210.3"/>
    <n v="66"/>
    <n v="35.75"/>
    <n v="195.8"/>
    <n v="76"/>
    <n v="16.64"/>
    <n v="221.6"/>
    <n v="82"/>
    <n v="9.9700000000000006"/>
    <n v="11.2"/>
    <n v="7"/>
    <n v="3.02"/>
    <x v="0"/>
    <x v="0"/>
    <n v="638.90000000000009"/>
    <n v="65.38"/>
    <n v="231"/>
    <x v="0"/>
    <x v="1"/>
    <x v="1"/>
    <x v="0"/>
    <x v="0"/>
    <x v="0"/>
  </r>
  <r>
    <x v="11"/>
    <n v="195"/>
    <x v="1"/>
    <x v="0"/>
    <x v="1"/>
    <n v="36"/>
    <n v="231.7"/>
    <n v="110"/>
    <n v="39.39"/>
    <n v="225.1"/>
    <n v="88"/>
    <n v="19.13"/>
    <n v="201.7"/>
    <n v="89"/>
    <n v="9.08"/>
    <n v="12.1"/>
    <n v="2"/>
    <n v="3.27"/>
    <x v="3"/>
    <x v="0"/>
    <n v="670.6"/>
    <n v="70.87"/>
    <n v="289"/>
    <x v="0"/>
    <x v="0"/>
    <x v="0"/>
    <x v="0"/>
    <x v="1"/>
    <x v="0"/>
  </r>
  <r>
    <x v="46"/>
    <n v="177"/>
    <x v="0"/>
    <x v="0"/>
    <x v="0"/>
    <n v="0"/>
    <n v="189.5"/>
    <n v="99"/>
    <n v="32.22"/>
    <n v="176.3"/>
    <n v="117"/>
    <n v="14.99"/>
    <n v="225.9"/>
    <n v="112"/>
    <n v="10.17"/>
    <n v="14.2"/>
    <n v="2"/>
    <n v="3.83"/>
    <x v="0"/>
    <x v="0"/>
    <n v="605.90000000000009"/>
    <n v="61.21"/>
    <n v="330"/>
    <x v="0"/>
    <x v="1"/>
    <x v="1"/>
    <x v="0"/>
    <x v="0"/>
    <x v="0"/>
  </r>
  <r>
    <x v="18"/>
    <n v="100"/>
    <x v="0"/>
    <x v="0"/>
    <x v="0"/>
    <n v="0"/>
    <n v="70.8"/>
    <n v="94"/>
    <n v="12.04"/>
    <n v="215.6"/>
    <n v="102"/>
    <n v="18.329999999999998"/>
    <n v="230.8"/>
    <n v="125"/>
    <n v="10.39"/>
    <n v="9.5"/>
    <n v="1"/>
    <n v="2.57"/>
    <x v="6"/>
    <x v="1"/>
    <n v="526.70000000000005"/>
    <n v="43.33"/>
    <n v="322"/>
    <x v="1"/>
    <x v="2"/>
    <x v="2"/>
    <x v="0"/>
    <x v="0"/>
    <x v="1"/>
  </r>
  <r>
    <x v="34"/>
    <n v="124"/>
    <x v="1"/>
    <x v="0"/>
    <x v="0"/>
    <n v="0"/>
    <n v="131.80000000000001"/>
    <n v="82"/>
    <n v="22.41"/>
    <n v="284.3"/>
    <n v="119"/>
    <n v="24.17"/>
    <n v="305.5"/>
    <n v="101"/>
    <n v="13.75"/>
    <n v="11.3"/>
    <n v="2"/>
    <n v="3.05"/>
    <x v="0"/>
    <x v="0"/>
    <n v="732.9"/>
    <n v="63.379999999999995"/>
    <n v="304"/>
    <x v="0"/>
    <x v="0"/>
    <x v="1"/>
    <x v="0"/>
    <x v="0"/>
    <x v="0"/>
  </r>
  <r>
    <x v="36"/>
    <n v="81"/>
    <x v="2"/>
    <x v="1"/>
    <x v="0"/>
    <n v="0"/>
    <n v="250.6"/>
    <n v="85"/>
    <n v="42.6"/>
    <n v="187.9"/>
    <n v="50"/>
    <n v="15.97"/>
    <n v="120.3"/>
    <n v="131"/>
    <n v="5.41"/>
    <n v="7.8"/>
    <n v="5"/>
    <n v="2.11"/>
    <x v="0"/>
    <x v="0"/>
    <n v="566.59999999999991"/>
    <n v="66.09"/>
    <n v="271"/>
    <x v="0"/>
    <x v="1"/>
    <x v="0"/>
    <x v="1"/>
    <x v="0"/>
    <x v="0"/>
  </r>
  <r>
    <x v="4"/>
    <n v="105"/>
    <x v="1"/>
    <x v="0"/>
    <x v="0"/>
    <n v="0"/>
    <n v="281.3"/>
    <n v="124"/>
    <n v="47.82"/>
    <n v="301.5"/>
    <n v="96"/>
    <n v="25.63"/>
    <n v="202.8"/>
    <n v="109"/>
    <n v="9.1300000000000008"/>
    <n v="8.6999999999999993"/>
    <n v="3"/>
    <n v="2.35"/>
    <x v="3"/>
    <x v="1"/>
    <n v="794.3"/>
    <n v="84.93"/>
    <n v="332"/>
    <x v="0"/>
    <x v="0"/>
    <x v="0"/>
    <x v="0"/>
    <x v="0"/>
    <x v="0"/>
  </r>
  <r>
    <x v="6"/>
    <n v="126"/>
    <x v="1"/>
    <x v="1"/>
    <x v="1"/>
    <n v="26"/>
    <n v="129.30000000000001"/>
    <n v="123"/>
    <n v="21.98"/>
    <n v="176.5"/>
    <n v="114"/>
    <n v="15"/>
    <n v="154.5"/>
    <n v="102"/>
    <n v="6.95"/>
    <n v="9.6"/>
    <n v="7"/>
    <n v="2.59"/>
    <x v="0"/>
    <x v="0"/>
    <n v="469.90000000000003"/>
    <n v="46.519999999999996"/>
    <n v="346"/>
    <x v="0"/>
    <x v="2"/>
    <x v="2"/>
    <x v="1"/>
    <x v="1"/>
    <x v="0"/>
  </r>
  <r>
    <x v="46"/>
    <n v="71"/>
    <x v="2"/>
    <x v="0"/>
    <x v="0"/>
    <n v="0"/>
    <n v="238"/>
    <n v="82"/>
    <n v="40.46"/>
    <n v="278.5"/>
    <n v="94"/>
    <n v="23.67"/>
    <n v="193.1"/>
    <n v="134"/>
    <n v="8.69"/>
    <n v="11.8"/>
    <n v="10"/>
    <n v="3.19"/>
    <x v="3"/>
    <x v="1"/>
    <n v="721.4"/>
    <n v="76.009999999999991"/>
    <n v="320"/>
    <x v="0"/>
    <x v="0"/>
    <x v="0"/>
    <x v="0"/>
    <x v="0"/>
    <x v="0"/>
  </r>
  <r>
    <x v="19"/>
    <n v="139"/>
    <x v="1"/>
    <x v="0"/>
    <x v="0"/>
    <n v="0"/>
    <n v="211.1"/>
    <n v="103"/>
    <n v="35.89"/>
    <n v="206.9"/>
    <n v="108"/>
    <n v="17.59"/>
    <n v="193.9"/>
    <n v="70"/>
    <n v="8.73"/>
    <n v="5.6"/>
    <n v="4"/>
    <n v="1.51"/>
    <x v="3"/>
    <x v="0"/>
    <n v="617.5"/>
    <n v="63.72"/>
    <n v="285"/>
    <x v="0"/>
    <x v="1"/>
    <x v="1"/>
    <x v="0"/>
    <x v="0"/>
    <x v="0"/>
  </r>
  <r>
    <x v="19"/>
    <n v="77"/>
    <x v="1"/>
    <x v="0"/>
    <x v="0"/>
    <n v="0"/>
    <n v="169.4"/>
    <n v="102"/>
    <n v="28.8"/>
    <n v="184.9"/>
    <n v="144"/>
    <n v="15.72"/>
    <n v="234.3"/>
    <n v="89"/>
    <n v="10.54"/>
    <n v="2"/>
    <n v="7"/>
    <n v="0.54"/>
    <x v="0"/>
    <x v="0"/>
    <n v="590.6"/>
    <n v="55.599999999999994"/>
    <n v="342"/>
    <x v="0"/>
    <x v="1"/>
    <x v="1"/>
    <x v="0"/>
    <x v="0"/>
    <x v="0"/>
  </r>
  <r>
    <x v="14"/>
    <n v="72"/>
    <x v="0"/>
    <x v="0"/>
    <x v="0"/>
    <n v="0"/>
    <n v="177.1"/>
    <n v="97"/>
    <n v="30.11"/>
    <n v="184.7"/>
    <n v="105"/>
    <n v="15.7"/>
    <n v="174.1"/>
    <n v="94"/>
    <n v="7.83"/>
    <n v="8"/>
    <n v="6"/>
    <n v="2.16"/>
    <x v="0"/>
    <x v="0"/>
    <n v="543.9"/>
    <n v="55.8"/>
    <n v="302"/>
    <x v="0"/>
    <x v="1"/>
    <x v="1"/>
    <x v="0"/>
    <x v="0"/>
    <x v="0"/>
  </r>
  <r>
    <x v="30"/>
    <n v="74"/>
    <x v="1"/>
    <x v="0"/>
    <x v="1"/>
    <n v="32"/>
    <n v="174.6"/>
    <n v="107"/>
    <n v="29.68"/>
    <n v="310.60000000000002"/>
    <n v="115"/>
    <n v="26.4"/>
    <n v="234.7"/>
    <n v="92"/>
    <n v="10.56"/>
    <n v="9"/>
    <n v="4"/>
    <n v="2.4300000000000002"/>
    <x v="0"/>
    <x v="0"/>
    <n v="728.90000000000009"/>
    <n v="69.069999999999993"/>
    <n v="318"/>
    <x v="0"/>
    <x v="0"/>
    <x v="0"/>
    <x v="0"/>
    <x v="1"/>
    <x v="0"/>
  </r>
  <r>
    <x v="46"/>
    <n v="124"/>
    <x v="1"/>
    <x v="0"/>
    <x v="0"/>
    <n v="0"/>
    <n v="150.30000000000001"/>
    <n v="101"/>
    <n v="25.55"/>
    <n v="255.9"/>
    <n v="112"/>
    <n v="21.75"/>
    <n v="136.69999999999999"/>
    <n v="62"/>
    <n v="6.15"/>
    <n v="12.5"/>
    <n v="4"/>
    <n v="3.38"/>
    <x v="2"/>
    <x v="0"/>
    <n v="555.40000000000009"/>
    <n v="56.83"/>
    <n v="279"/>
    <x v="2"/>
    <x v="1"/>
    <x v="1"/>
    <x v="0"/>
    <x v="0"/>
    <x v="2"/>
  </r>
  <r>
    <x v="14"/>
    <n v="113"/>
    <x v="0"/>
    <x v="0"/>
    <x v="1"/>
    <n v="20"/>
    <n v="157.80000000000001"/>
    <n v="83"/>
    <n v="26.83"/>
    <n v="161.5"/>
    <n v="56"/>
    <n v="13.73"/>
    <n v="271.5"/>
    <n v="100"/>
    <n v="12.22"/>
    <n v="8.6999999999999993"/>
    <n v="2"/>
    <n v="2.35"/>
    <x v="5"/>
    <x v="1"/>
    <n v="599.5"/>
    <n v="55.129999999999995"/>
    <n v="241"/>
    <x v="1"/>
    <x v="1"/>
    <x v="1"/>
    <x v="0"/>
    <x v="1"/>
    <x v="1"/>
  </r>
  <r>
    <x v="40"/>
    <n v="66"/>
    <x v="2"/>
    <x v="0"/>
    <x v="0"/>
    <n v="0"/>
    <n v="118"/>
    <n v="133"/>
    <n v="20.059999999999999"/>
    <n v="248.1"/>
    <n v="99"/>
    <n v="21.09"/>
    <n v="214.4"/>
    <n v="122"/>
    <n v="9.65"/>
    <n v="5.3"/>
    <n v="5"/>
    <n v="1.43"/>
    <x v="0"/>
    <x v="0"/>
    <n v="585.79999999999995"/>
    <n v="52.230000000000004"/>
    <n v="359"/>
    <x v="0"/>
    <x v="1"/>
    <x v="2"/>
    <x v="0"/>
    <x v="0"/>
    <x v="0"/>
  </r>
  <r>
    <x v="12"/>
    <n v="124"/>
    <x v="1"/>
    <x v="0"/>
    <x v="1"/>
    <n v="30"/>
    <n v="144.5"/>
    <n v="35"/>
    <n v="24.57"/>
    <n v="262.3"/>
    <n v="101"/>
    <n v="22.3"/>
    <n v="226.5"/>
    <n v="82"/>
    <n v="10.19"/>
    <n v="12"/>
    <n v="7"/>
    <n v="3.24"/>
    <x v="2"/>
    <x v="0"/>
    <n v="645.29999999999995"/>
    <n v="60.300000000000004"/>
    <n v="225"/>
    <x v="2"/>
    <x v="1"/>
    <x v="1"/>
    <x v="0"/>
    <x v="1"/>
    <x v="2"/>
  </r>
  <r>
    <x v="41"/>
    <n v="134"/>
    <x v="0"/>
    <x v="0"/>
    <x v="0"/>
    <n v="0"/>
    <n v="183.8"/>
    <n v="111"/>
    <n v="31.25"/>
    <n v="123.5"/>
    <n v="92"/>
    <n v="10.5"/>
    <n v="160.69999999999999"/>
    <n v="105"/>
    <n v="7.23"/>
    <n v="6.1"/>
    <n v="2"/>
    <n v="1.65"/>
    <x v="0"/>
    <x v="0"/>
    <n v="474.1"/>
    <n v="50.63"/>
    <n v="310"/>
    <x v="0"/>
    <x v="2"/>
    <x v="2"/>
    <x v="0"/>
    <x v="0"/>
    <x v="0"/>
  </r>
  <r>
    <x v="40"/>
    <n v="41"/>
    <x v="1"/>
    <x v="0"/>
    <x v="1"/>
    <n v="30"/>
    <n v="191.7"/>
    <n v="109"/>
    <n v="32.590000000000003"/>
    <n v="193"/>
    <n v="86"/>
    <n v="16.41"/>
    <n v="149.4"/>
    <n v="93"/>
    <n v="6.72"/>
    <n v="11.1"/>
    <n v="4"/>
    <n v="3"/>
    <x v="0"/>
    <x v="0"/>
    <n v="545.20000000000005"/>
    <n v="58.72"/>
    <n v="292"/>
    <x v="0"/>
    <x v="1"/>
    <x v="1"/>
    <x v="0"/>
    <x v="1"/>
    <x v="0"/>
  </r>
  <r>
    <x v="3"/>
    <n v="159"/>
    <x v="1"/>
    <x v="0"/>
    <x v="1"/>
    <n v="23"/>
    <n v="153.6"/>
    <n v="93"/>
    <n v="26.11"/>
    <n v="216.9"/>
    <n v="88"/>
    <n v="18.440000000000001"/>
    <n v="161.30000000000001"/>
    <n v="91"/>
    <n v="7.26"/>
    <n v="12.6"/>
    <n v="3"/>
    <n v="3.4"/>
    <x v="2"/>
    <x v="0"/>
    <n v="544.4"/>
    <n v="55.21"/>
    <n v="275"/>
    <x v="2"/>
    <x v="1"/>
    <x v="1"/>
    <x v="0"/>
    <x v="1"/>
    <x v="2"/>
  </r>
  <r>
    <x v="41"/>
    <n v="87"/>
    <x v="0"/>
    <x v="1"/>
    <x v="1"/>
    <n v="36"/>
    <n v="171.2"/>
    <n v="138"/>
    <n v="29.1"/>
    <n v="185.8"/>
    <n v="102"/>
    <n v="15.79"/>
    <n v="227.6"/>
    <n v="97"/>
    <n v="10.24"/>
    <n v="10.8"/>
    <n v="3"/>
    <n v="2.92"/>
    <x v="0"/>
    <x v="0"/>
    <n v="595.4"/>
    <n v="58.05"/>
    <n v="340"/>
    <x v="0"/>
    <x v="1"/>
    <x v="1"/>
    <x v="1"/>
    <x v="1"/>
    <x v="0"/>
  </r>
  <r>
    <x v="18"/>
    <n v="132"/>
    <x v="1"/>
    <x v="0"/>
    <x v="0"/>
    <n v="0"/>
    <n v="240.1"/>
    <n v="115"/>
    <n v="40.82"/>
    <n v="180.4"/>
    <n v="91"/>
    <n v="15.33"/>
    <n v="133.4"/>
    <n v="122"/>
    <n v="6"/>
    <n v="8"/>
    <n v="6"/>
    <n v="2.16"/>
    <x v="4"/>
    <x v="0"/>
    <n v="561.9"/>
    <n v="64.31"/>
    <n v="334"/>
    <x v="2"/>
    <x v="1"/>
    <x v="1"/>
    <x v="0"/>
    <x v="0"/>
    <x v="2"/>
  </r>
  <r>
    <x v="19"/>
    <n v="86"/>
    <x v="0"/>
    <x v="0"/>
    <x v="0"/>
    <n v="0"/>
    <n v="83.8"/>
    <n v="121"/>
    <n v="14.25"/>
    <n v="240.2"/>
    <n v="96"/>
    <n v="20.420000000000002"/>
    <n v="158.6"/>
    <n v="108"/>
    <n v="7.14"/>
    <n v="6.7"/>
    <n v="8"/>
    <n v="1.81"/>
    <x v="0"/>
    <x v="0"/>
    <n v="489.3"/>
    <n v="43.620000000000005"/>
    <n v="333"/>
    <x v="0"/>
    <x v="2"/>
    <x v="2"/>
    <x v="0"/>
    <x v="0"/>
    <x v="0"/>
  </r>
  <r>
    <x v="41"/>
    <n v="55"/>
    <x v="1"/>
    <x v="1"/>
    <x v="0"/>
    <n v="0"/>
    <n v="269.60000000000002"/>
    <n v="121"/>
    <n v="45.83"/>
    <n v="171.7"/>
    <n v="91"/>
    <n v="14.59"/>
    <n v="219"/>
    <n v="98"/>
    <n v="9.86"/>
    <n v="8.1999999999999993"/>
    <n v="6"/>
    <n v="2.21"/>
    <x v="0"/>
    <x v="0"/>
    <n v="668.5"/>
    <n v="72.489999999999995"/>
    <n v="316"/>
    <x v="0"/>
    <x v="0"/>
    <x v="0"/>
    <x v="1"/>
    <x v="0"/>
    <x v="0"/>
  </r>
  <r>
    <x v="11"/>
    <n v="101"/>
    <x v="1"/>
    <x v="0"/>
    <x v="0"/>
    <n v="0"/>
    <n v="136.19999999999999"/>
    <n v="92"/>
    <n v="23.15"/>
    <n v="220.9"/>
    <n v="110"/>
    <n v="18.78"/>
    <n v="196.9"/>
    <n v="116"/>
    <n v="8.86"/>
    <n v="13.3"/>
    <n v="7"/>
    <n v="3.59"/>
    <x v="4"/>
    <x v="0"/>
    <n v="567.29999999999995"/>
    <n v="54.379999999999995"/>
    <n v="325"/>
    <x v="2"/>
    <x v="1"/>
    <x v="1"/>
    <x v="0"/>
    <x v="0"/>
    <x v="2"/>
  </r>
  <r>
    <x v="30"/>
    <n v="94"/>
    <x v="0"/>
    <x v="0"/>
    <x v="0"/>
    <n v="0"/>
    <n v="269.2"/>
    <n v="104"/>
    <n v="45.76"/>
    <n v="193.8"/>
    <n v="144"/>
    <n v="16.47"/>
    <n v="257.60000000000002"/>
    <n v="61"/>
    <n v="11.59"/>
    <n v="8.9"/>
    <n v="2"/>
    <n v="2.4"/>
    <x v="4"/>
    <x v="1"/>
    <n v="729.5"/>
    <n v="76.22"/>
    <n v="311"/>
    <x v="2"/>
    <x v="0"/>
    <x v="0"/>
    <x v="0"/>
    <x v="0"/>
    <x v="2"/>
  </r>
  <r>
    <x v="46"/>
    <n v="68"/>
    <x v="0"/>
    <x v="0"/>
    <x v="0"/>
    <n v="0"/>
    <n v="219.6"/>
    <n v="97"/>
    <n v="37.33"/>
    <n v="141.1"/>
    <n v="144"/>
    <n v="11.99"/>
    <n v="205.7"/>
    <n v="101"/>
    <n v="9.26"/>
    <n v="10.8"/>
    <n v="4"/>
    <n v="2.92"/>
    <x v="2"/>
    <x v="0"/>
    <n v="577.19999999999993"/>
    <n v="61.5"/>
    <n v="346"/>
    <x v="2"/>
    <x v="1"/>
    <x v="1"/>
    <x v="0"/>
    <x v="0"/>
    <x v="2"/>
  </r>
  <r>
    <x v="15"/>
    <n v="98"/>
    <x v="0"/>
    <x v="0"/>
    <x v="0"/>
    <n v="0"/>
    <n v="236.2"/>
    <n v="122"/>
    <n v="40.15"/>
    <n v="189.4"/>
    <n v="110"/>
    <n v="16.100000000000001"/>
    <n v="153.6"/>
    <n v="104"/>
    <n v="6.91"/>
    <n v="13.3"/>
    <n v="4"/>
    <n v="3.59"/>
    <x v="3"/>
    <x v="0"/>
    <n v="592.5"/>
    <n v="66.75"/>
    <n v="340"/>
    <x v="0"/>
    <x v="1"/>
    <x v="0"/>
    <x v="0"/>
    <x v="0"/>
    <x v="0"/>
  </r>
  <r>
    <x v="26"/>
    <n v="123"/>
    <x v="0"/>
    <x v="0"/>
    <x v="0"/>
    <n v="0"/>
    <n v="260.89999999999998"/>
    <n v="85"/>
    <n v="44.35"/>
    <n v="168.5"/>
    <n v="103"/>
    <n v="14.32"/>
    <n v="178.3"/>
    <n v="91"/>
    <n v="8.02"/>
    <n v="13.3"/>
    <n v="5"/>
    <n v="3.59"/>
    <x v="4"/>
    <x v="0"/>
    <n v="621"/>
    <n v="70.28"/>
    <n v="284"/>
    <x v="2"/>
    <x v="1"/>
    <x v="0"/>
    <x v="0"/>
    <x v="0"/>
    <x v="2"/>
  </r>
  <r>
    <x v="17"/>
    <n v="111"/>
    <x v="0"/>
    <x v="0"/>
    <x v="0"/>
    <n v="0"/>
    <n v="249.8"/>
    <n v="109"/>
    <n v="42.47"/>
    <n v="242.4"/>
    <n v="106"/>
    <n v="20.6"/>
    <n v="231.8"/>
    <n v="78"/>
    <n v="10.43"/>
    <n v="11.6"/>
    <n v="4"/>
    <n v="3.13"/>
    <x v="3"/>
    <x v="1"/>
    <n v="735.6"/>
    <n v="76.63"/>
    <n v="297"/>
    <x v="0"/>
    <x v="0"/>
    <x v="0"/>
    <x v="0"/>
    <x v="0"/>
    <x v="0"/>
  </r>
  <r>
    <x v="27"/>
    <n v="69"/>
    <x v="2"/>
    <x v="0"/>
    <x v="1"/>
    <n v="27"/>
    <n v="268.8"/>
    <n v="78"/>
    <n v="45.7"/>
    <n v="246.6"/>
    <n v="89"/>
    <n v="20.96"/>
    <n v="271.89999999999998"/>
    <n v="102"/>
    <n v="12.24"/>
    <n v="16.399999999999999"/>
    <n v="3"/>
    <n v="4.43"/>
    <x v="3"/>
    <x v="0"/>
    <n v="803.69999999999993"/>
    <n v="83.330000000000013"/>
    <n v="272"/>
    <x v="0"/>
    <x v="0"/>
    <x v="0"/>
    <x v="0"/>
    <x v="1"/>
    <x v="0"/>
  </r>
  <r>
    <x v="35"/>
    <n v="127"/>
    <x v="1"/>
    <x v="0"/>
    <x v="1"/>
    <n v="27"/>
    <n v="140.1"/>
    <n v="59"/>
    <n v="23.82"/>
    <n v="223.4"/>
    <n v="111"/>
    <n v="18.989999999999998"/>
    <n v="257.89999999999998"/>
    <n v="73"/>
    <n v="11.61"/>
    <n v="3.8"/>
    <n v="10"/>
    <n v="1.03"/>
    <x v="0"/>
    <x v="0"/>
    <n v="625.19999999999993"/>
    <n v="55.449999999999996"/>
    <n v="253"/>
    <x v="0"/>
    <x v="1"/>
    <x v="1"/>
    <x v="0"/>
    <x v="1"/>
    <x v="0"/>
  </r>
  <r>
    <x v="24"/>
    <n v="105"/>
    <x v="1"/>
    <x v="0"/>
    <x v="0"/>
    <n v="0"/>
    <n v="193.7"/>
    <n v="108"/>
    <n v="32.93"/>
    <n v="183.2"/>
    <n v="124"/>
    <n v="15.57"/>
    <n v="293.7"/>
    <n v="72"/>
    <n v="13.22"/>
    <n v="10.8"/>
    <n v="5"/>
    <n v="2.92"/>
    <x v="0"/>
    <x v="0"/>
    <n v="681.39999999999986"/>
    <n v="64.64"/>
    <n v="309"/>
    <x v="0"/>
    <x v="0"/>
    <x v="1"/>
    <x v="0"/>
    <x v="0"/>
    <x v="0"/>
  </r>
  <r>
    <x v="8"/>
    <n v="75"/>
    <x v="1"/>
    <x v="0"/>
    <x v="0"/>
    <n v="0"/>
    <n v="224.7"/>
    <n v="116"/>
    <n v="38.200000000000003"/>
    <n v="192"/>
    <n v="79"/>
    <n v="16.32"/>
    <n v="212.2"/>
    <n v="98"/>
    <n v="9.5500000000000007"/>
    <n v="11.3"/>
    <n v="11"/>
    <n v="3.05"/>
    <x v="4"/>
    <x v="0"/>
    <n v="640.19999999999993"/>
    <n v="67.12"/>
    <n v="304"/>
    <x v="2"/>
    <x v="1"/>
    <x v="0"/>
    <x v="0"/>
    <x v="0"/>
    <x v="2"/>
  </r>
  <r>
    <x v="26"/>
    <n v="126"/>
    <x v="1"/>
    <x v="0"/>
    <x v="0"/>
    <n v="0"/>
    <n v="190.9"/>
    <n v="143"/>
    <n v="32.450000000000003"/>
    <n v="149.69999999999999"/>
    <n v="72"/>
    <n v="12.72"/>
    <n v="191.4"/>
    <n v="87"/>
    <n v="8.61"/>
    <n v="13"/>
    <n v="3"/>
    <n v="3.51"/>
    <x v="0"/>
    <x v="0"/>
    <n v="545"/>
    <n v="57.290000000000006"/>
    <n v="305"/>
    <x v="0"/>
    <x v="1"/>
    <x v="1"/>
    <x v="0"/>
    <x v="0"/>
    <x v="0"/>
  </r>
  <r>
    <x v="24"/>
    <n v="41"/>
    <x v="1"/>
    <x v="0"/>
    <x v="0"/>
    <n v="0"/>
    <n v="232.1"/>
    <n v="74"/>
    <n v="39.46"/>
    <n v="327.10000000000002"/>
    <n v="88"/>
    <n v="27.8"/>
    <n v="226.5"/>
    <n v="119"/>
    <n v="10.19"/>
    <n v="10.9"/>
    <n v="2"/>
    <n v="2.94"/>
    <x v="4"/>
    <x v="1"/>
    <n v="796.6"/>
    <n v="80.39"/>
    <n v="283"/>
    <x v="2"/>
    <x v="0"/>
    <x v="0"/>
    <x v="0"/>
    <x v="0"/>
    <x v="2"/>
  </r>
  <r>
    <x v="35"/>
    <n v="113"/>
    <x v="1"/>
    <x v="0"/>
    <x v="0"/>
    <n v="0"/>
    <n v="90.6"/>
    <n v="130"/>
    <n v="15.4"/>
    <n v="170.6"/>
    <n v="100"/>
    <n v="14.5"/>
    <n v="137.4"/>
    <n v="74"/>
    <n v="6.18"/>
    <n v="5.4"/>
    <n v="9"/>
    <n v="1.46"/>
    <x v="0"/>
    <x v="0"/>
    <n v="404"/>
    <n v="37.54"/>
    <n v="313"/>
    <x v="0"/>
    <x v="2"/>
    <x v="2"/>
    <x v="0"/>
    <x v="0"/>
    <x v="0"/>
  </r>
  <r>
    <x v="2"/>
    <n v="78"/>
    <x v="2"/>
    <x v="0"/>
    <x v="0"/>
    <n v="0"/>
    <n v="152.9"/>
    <n v="81"/>
    <n v="25.99"/>
    <n v="256.60000000000002"/>
    <n v="82"/>
    <n v="21.81"/>
    <n v="173.6"/>
    <n v="112"/>
    <n v="7.81"/>
    <n v="5.3"/>
    <n v="6"/>
    <n v="1.43"/>
    <x v="2"/>
    <x v="0"/>
    <n v="588.4"/>
    <n v="57.039999999999992"/>
    <n v="281"/>
    <x v="2"/>
    <x v="1"/>
    <x v="1"/>
    <x v="0"/>
    <x v="0"/>
    <x v="2"/>
  </r>
  <r>
    <x v="18"/>
    <n v="110"/>
    <x v="1"/>
    <x v="0"/>
    <x v="0"/>
    <n v="0"/>
    <n v="241.2"/>
    <n v="105"/>
    <n v="41"/>
    <n v="174.3"/>
    <n v="85"/>
    <n v="14.82"/>
    <n v="245.3"/>
    <n v="59"/>
    <n v="11.04"/>
    <n v="8.5"/>
    <n v="4"/>
    <n v="2.2999999999999998"/>
    <x v="2"/>
    <x v="0"/>
    <n v="669.3"/>
    <n v="69.16"/>
    <n v="253"/>
    <x v="2"/>
    <x v="0"/>
    <x v="0"/>
    <x v="0"/>
    <x v="0"/>
    <x v="2"/>
  </r>
  <r>
    <x v="19"/>
    <n v="112"/>
    <x v="1"/>
    <x v="1"/>
    <x v="1"/>
    <n v="16"/>
    <n v="200.3"/>
    <n v="72"/>
    <n v="34.049999999999997"/>
    <n v="197.8"/>
    <n v="91"/>
    <n v="16.809999999999999"/>
    <n v="151.1"/>
    <n v="92"/>
    <n v="6.8"/>
    <n v="10.4"/>
    <n v="3"/>
    <n v="2.81"/>
    <x v="0"/>
    <x v="0"/>
    <n v="559.6"/>
    <n v="60.47"/>
    <n v="258"/>
    <x v="0"/>
    <x v="1"/>
    <x v="1"/>
    <x v="1"/>
    <x v="1"/>
    <x v="0"/>
  </r>
  <r>
    <x v="7"/>
    <n v="104"/>
    <x v="2"/>
    <x v="0"/>
    <x v="0"/>
    <n v="0"/>
    <n v="97.2"/>
    <n v="88"/>
    <n v="16.52"/>
    <n v="155.6"/>
    <n v="85"/>
    <n v="13.23"/>
    <n v="261.60000000000002"/>
    <n v="105"/>
    <n v="11.77"/>
    <n v="12.4"/>
    <n v="5"/>
    <n v="3.35"/>
    <x v="3"/>
    <x v="0"/>
    <n v="526.80000000000007"/>
    <n v="44.870000000000005"/>
    <n v="283"/>
    <x v="0"/>
    <x v="2"/>
    <x v="2"/>
    <x v="0"/>
    <x v="0"/>
    <x v="0"/>
  </r>
  <r>
    <x v="44"/>
    <n v="127"/>
    <x v="2"/>
    <x v="0"/>
    <x v="0"/>
    <n v="0"/>
    <n v="224.3"/>
    <n v="112"/>
    <n v="38.130000000000003"/>
    <n v="185.7"/>
    <n v="103"/>
    <n v="15.78"/>
    <n v="159.4"/>
    <n v="83"/>
    <n v="7.17"/>
    <n v="10"/>
    <n v="1"/>
    <n v="2.7"/>
    <x v="2"/>
    <x v="0"/>
    <n v="579.4"/>
    <n v="63.78"/>
    <n v="299"/>
    <x v="2"/>
    <x v="1"/>
    <x v="1"/>
    <x v="0"/>
    <x v="0"/>
    <x v="2"/>
  </r>
  <r>
    <x v="19"/>
    <n v="61"/>
    <x v="0"/>
    <x v="0"/>
    <x v="0"/>
    <n v="0"/>
    <n v="267.10000000000002"/>
    <n v="104"/>
    <n v="45.41"/>
    <n v="180.4"/>
    <n v="131"/>
    <n v="15.33"/>
    <n v="230.6"/>
    <n v="106"/>
    <n v="10.38"/>
    <n v="17.3"/>
    <n v="4"/>
    <n v="4.67"/>
    <x v="0"/>
    <x v="1"/>
    <n v="695.4"/>
    <n v="75.789999999999992"/>
    <n v="345"/>
    <x v="0"/>
    <x v="0"/>
    <x v="0"/>
    <x v="0"/>
    <x v="0"/>
    <x v="0"/>
  </r>
  <r>
    <x v="35"/>
    <n v="65"/>
    <x v="1"/>
    <x v="0"/>
    <x v="1"/>
    <n v="29"/>
    <n v="215.5"/>
    <n v="129"/>
    <n v="36.64"/>
    <n v="161.9"/>
    <n v="77"/>
    <n v="13.76"/>
    <n v="128.30000000000001"/>
    <n v="91"/>
    <n v="5.77"/>
    <n v="8.8000000000000007"/>
    <n v="5"/>
    <n v="2.38"/>
    <x v="2"/>
    <x v="0"/>
    <n v="514.5"/>
    <n v="58.55"/>
    <n v="302"/>
    <x v="2"/>
    <x v="2"/>
    <x v="1"/>
    <x v="0"/>
    <x v="1"/>
    <x v="2"/>
  </r>
  <r>
    <x v="34"/>
    <n v="152"/>
    <x v="0"/>
    <x v="0"/>
    <x v="1"/>
    <n v="20"/>
    <n v="239.1"/>
    <n v="105"/>
    <n v="40.65"/>
    <n v="209.1"/>
    <n v="111"/>
    <n v="17.77"/>
    <n v="268.2"/>
    <n v="130"/>
    <n v="12.07"/>
    <n v="13.3"/>
    <n v="3"/>
    <n v="3.59"/>
    <x v="5"/>
    <x v="0"/>
    <n v="729.69999999999993"/>
    <n v="74.08"/>
    <n v="349"/>
    <x v="1"/>
    <x v="0"/>
    <x v="0"/>
    <x v="0"/>
    <x v="1"/>
    <x v="1"/>
  </r>
  <r>
    <x v="35"/>
    <n v="63"/>
    <x v="1"/>
    <x v="1"/>
    <x v="0"/>
    <n v="0"/>
    <n v="62.9"/>
    <n v="112"/>
    <n v="10.69"/>
    <n v="202.9"/>
    <n v="111"/>
    <n v="17.25"/>
    <n v="259"/>
    <n v="58"/>
    <n v="11.66"/>
    <n v="8.9"/>
    <n v="8"/>
    <n v="2.4"/>
    <x v="0"/>
    <x v="0"/>
    <n v="533.69999999999993"/>
    <n v="42"/>
    <n v="289"/>
    <x v="0"/>
    <x v="2"/>
    <x v="2"/>
    <x v="1"/>
    <x v="0"/>
    <x v="0"/>
  </r>
  <r>
    <x v="49"/>
    <n v="100"/>
    <x v="0"/>
    <x v="0"/>
    <x v="0"/>
    <n v="0"/>
    <n v="210.9"/>
    <n v="85"/>
    <n v="35.85"/>
    <n v="329.3"/>
    <n v="69"/>
    <n v="27.99"/>
    <n v="127.1"/>
    <n v="78"/>
    <n v="5.72"/>
    <n v="9.4"/>
    <n v="5"/>
    <n v="2.54"/>
    <x v="1"/>
    <x v="0"/>
    <n v="676.7"/>
    <n v="72.099999999999994"/>
    <n v="237"/>
    <x v="1"/>
    <x v="0"/>
    <x v="0"/>
    <x v="0"/>
    <x v="0"/>
    <x v="1"/>
  </r>
  <r>
    <x v="27"/>
    <n v="29"/>
    <x v="2"/>
    <x v="0"/>
    <x v="0"/>
    <n v="0"/>
    <n v="313.2"/>
    <n v="103"/>
    <n v="53.24"/>
    <n v="216.3"/>
    <n v="151"/>
    <n v="18.39"/>
    <n v="218.4"/>
    <n v="106"/>
    <n v="9.83"/>
    <n v="12.8"/>
    <n v="4"/>
    <n v="3.46"/>
    <x v="2"/>
    <x v="1"/>
    <n v="760.69999999999993"/>
    <n v="84.92"/>
    <n v="364"/>
    <x v="2"/>
    <x v="0"/>
    <x v="0"/>
    <x v="0"/>
    <x v="0"/>
    <x v="2"/>
  </r>
  <r>
    <x v="40"/>
    <n v="175"/>
    <x v="1"/>
    <x v="0"/>
    <x v="0"/>
    <n v="0"/>
    <n v="132"/>
    <n v="95"/>
    <n v="22.44"/>
    <n v="231.2"/>
    <n v="74"/>
    <n v="19.649999999999999"/>
    <n v="313.39999999999998"/>
    <n v="108"/>
    <n v="14.1"/>
    <n v="8.6999999999999993"/>
    <n v="10"/>
    <n v="2.35"/>
    <x v="0"/>
    <x v="0"/>
    <n v="685.3"/>
    <n v="58.539999999999992"/>
    <n v="287"/>
    <x v="0"/>
    <x v="0"/>
    <x v="1"/>
    <x v="0"/>
    <x v="0"/>
    <x v="0"/>
  </r>
  <r>
    <x v="27"/>
    <n v="98"/>
    <x v="1"/>
    <x v="1"/>
    <x v="1"/>
    <n v="23"/>
    <n v="245.5"/>
    <n v="54"/>
    <n v="41.74"/>
    <n v="292.7"/>
    <n v="83"/>
    <n v="24.88"/>
    <n v="184"/>
    <n v="90"/>
    <n v="8.2799999999999994"/>
    <n v="10.8"/>
    <n v="7"/>
    <n v="2.92"/>
    <x v="0"/>
    <x v="0"/>
    <n v="733"/>
    <n v="77.819999999999993"/>
    <n v="234"/>
    <x v="0"/>
    <x v="0"/>
    <x v="0"/>
    <x v="1"/>
    <x v="1"/>
    <x v="0"/>
  </r>
  <r>
    <x v="8"/>
    <n v="121"/>
    <x v="1"/>
    <x v="0"/>
    <x v="0"/>
    <n v="0"/>
    <n v="134.1"/>
    <n v="112"/>
    <n v="22.8"/>
    <n v="195.1"/>
    <n v="104"/>
    <n v="16.579999999999998"/>
    <n v="159.6"/>
    <n v="139"/>
    <n v="7.18"/>
    <n v="10.5"/>
    <n v="2"/>
    <n v="2.84"/>
    <x v="2"/>
    <x v="0"/>
    <n v="499.29999999999995"/>
    <n v="49.4"/>
    <n v="357"/>
    <x v="2"/>
    <x v="2"/>
    <x v="2"/>
    <x v="0"/>
    <x v="0"/>
    <x v="2"/>
  </r>
  <r>
    <x v="45"/>
    <n v="104"/>
    <x v="1"/>
    <x v="0"/>
    <x v="0"/>
    <n v="0"/>
    <n v="144.5"/>
    <n v="107"/>
    <n v="24.57"/>
    <n v="180.5"/>
    <n v="85"/>
    <n v="15.34"/>
    <n v="226"/>
    <n v="94"/>
    <n v="10.17"/>
    <n v="17"/>
    <n v="6"/>
    <n v="4.59"/>
    <x v="2"/>
    <x v="0"/>
    <n v="568"/>
    <n v="54.67"/>
    <n v="292"/>
    <x v="2"/>
    <x v="1"/>
    <x v="1"/>
    <x v="0"/>
    <x v="0"/>
    <x v="2"/>
  </r>
  <r>
    <x v="19"/>
    <n v="123"/>
    <x v="1"/>
    <x v="0"/>
    <x v="0"/>
    <n v="0"/>
    <n v="150"/>
    <n v="98"/>
    <n v="25.5"/>
    <n v="89.8"/>
    <n v="95"/>
    <n v="7.63"/>
    <n v="326"/>
    <n v="91"/>
    <n v="14.67"/>
    <n v="11.1"/>
    <n v="3"/>
    <n v="3"/>
    <x v="4"/>
    <x v="0"/>
    <n v="576.9"/>
    <n v="50.8"/>
    <n v="287"/>
    <x v="2"/>
    <x v="1"/>
    <x v="2"/>
    <x v="0"/>
    <x v="0"/>
    <x v="2"/>
  </r>
  <r>
    <x v="6"/>
    <n v="61"/>
    <x v="1"/>
    <x v="0"/>
    <x v="1"/>
    <n v="33"/>
    <n v="270.7"/>
    <n v="53"/>
    <n v="46.02"/>
    <n v="200.7"/>
    <n v="116"/>
    <n v="17.059999999999999"/>
    <n v="201.7"/>
    <n v="102"/>
    <n v="9.08"/>
    <n v="10.9"/>
    <n v="3"/>
    <n v="2.94"/>
    <x v="4"/>
    <x v="0"/>
    <n v="683.99999999999989"/>
    <n v="75.099999999999994"/>
    <n v="274"/>
    <x v="2"/>
    <x v="0"/>
    <x v="0"/>
    <x v="0"/>
    <x v="1"/>
    <x v="2"/>
  </r>
  <r>
    <x v="43"/>
    <n v="160"/>
    <x v="1"/>
    <x v="0"/>
    <x v="0"/>
    <n v="0"/>
    <n v="256"/>
    <n v="111"/>
    <n v="43.52"/>
    <n v="187.4"/>
    <n v="61"/>
    <n v="15.93"/>
    <n v="119.1"/>
    <n v="81"/>
    <n v="5.36"/>
    <n v="11.5"/>
    <n v="4"/>
    <n v="3.11"/>
    <x v="4"/>
    <x v="0"/>
    <n v="574"/>
    <n v="67.92"/>
    <n v="257"/>
    <x v="2"/>
    <x v="1"/>
    <x v="0"/>
    <x v="0"/>
    <x v="0"/>
    <x v="2"/>
  </r>
  <r>
    <x v="47"/>
    <n v="153"/>
    <x v="0"/>
    <x v="0"/>
    <x v="0"/>
    <n v="0"/>
    <n v="154.6"/>
    <n v="56"/>
    <n v="26.28"/>
    <n v="263"/>
    <n v="84"/>
    <n v="22.36"/>
    <n v="367.7"/>
    <n v="89"/>
    <n v="16.55"/>
    <n v="15.5"/>
    <n v="2"/>
    <n v="4.1900000000000004"/>
    <x v="0"/>
    <x v="0"/>
    <n v="800.8"/>
    <n v="69.38"/>
    <n v="231"/>
    <x v="0"/>
    <x v="0"/>
    <x v="0"/>
    <x v="0"/>
    <x v="0"/>
    <x v="0"/>
  </r>
  <r>
    <x v="29"/>
    <n v="31"/>
    <x v="2"/>
    <x v="0"/>
    <x v="0"/>
    <n v="0"/>
    <n v="165.4"/>
    <n v="84"/>
    <n v="28.12"/>
    <n v="203.7"/>
    <n v="107"/>
    <n v="17.309999999999999"/>
    <n v="201.7"/>
    <n v="65"/>
    <n v="9.08"/>
    <n v="8.1999999999999993"/>
    <n v="1"/>
    <n v="2.21"/>
    <x v="0"/>
    <x v="0"/>
    <n v="579"/>
    <n v="56.72"/>
    <n v="257"/>
    <x v="0"/>
    <x v="1"/>
    <x v="1"/>
    <x v="0"/>
    <x v="0"/>
    <x v="0"/>
  </r>
  <r>
    <x v="14"/>
    <n v="122"/>
    <x v="1"/>
    <x v="0"/>
    <x v="0"/>
    <n v="0"/>
    <n v="168.3"/>
    <n v="96"/>
    <n v="28.61"/>
    <n v="87.6"/>
    <n v="91"/>
    <n v="7.45"/>
    <n v="247.2"/>
    <n v="87"/>
    <n v="11.12"/>
    <n v="8.4"/>
    <n v="6"/>
    <n v="2.27"/>
    <x v="0"/>
    <x v="0"/>
    <n v="511.5"/>
    <n v="49.45"/>
    <n v="280"/>
    <x v="0"/>
    <x v="2"/>
    <x v="2"/>
    <x v="0"/>
    <x v="0"/>
    <x v="0"/>
  </r>
  <r>
    <x v="1"/>
    <n v="46"/>
    <x v="1"/>
    <x v="0"/>
    <x v="1"/>
    <n v="34"/>
    <n v="191.4"/>
    <n v="102"/>
    <n v="32.54"/>
    <n v="361.8"/>
    <n v="96"/>
    <n v="30.75"/>
    <n v="147.5"/>
    <n v="132"/>
    <n v="6.64"/>
    <n v="7.2"/>
    <n v="2"/>
    <n v="1.94"/>
    <x v="0"/>
    <x v="0"/>
    <n v="707.90000000000009"/>
    <n v="71.87"/>
    <n v="332"/>
    <x v="0"/>
    <x v="0"/>
    <x v="0"/>
    <x v="0"/>
    <x v="1"/>
    <x v="0"/>
  </r>
  <r>
    <x v="29"/>
    <n v="103"/>
    <x v="1"/>
    <x v="0"/>
    <x v="0"/>
    <n v="0"/>
    <n v="158.69999999999999"/>
    <n v="90"/>
    <n v="26.98"/>
    <n v="198.4"/>
    <n v="117"/>
    <n v="16.86"/>
    <n v="181.1"/>
    <n v="76"/>
    <n v="8.15"/>
    <n v="10.5"/>
    <n v="4"/>
    <n v="2.84"/>
    <x v="0"/>
    <x v="0"/>
    <n v="548.70000000000005"/>
    <n v="54.83"/>
    <n v="287"/>
    <x v="0"/>
    <x v="1"/>
    <x v="1"/>
    <x v="0"/>
    <x v="0"/>
    <x v="0"/>
  </r>
  <r>
    <x v="41"/>
    <n v="68"/>
    <x v="1"/>
    <x v="1"/>
    <x v="1"/>
    <n v="29"/>
    <n v="195.5"/>
    <n v="113"/>
    <n v="33.24"/>
    <n v="171.6"/>
    <n v="96"/>
    <n v="14.59"/>
    <n v="204"/>
    <n v="85"/>
    <n v="9.18"/>
    <n v="13.5"/>
    <n v="9"/>
    <n v="3.65"/>
    <x v="0"/>
    <x v="1"/>
    <n v="584.6"/>
    <n v="60.660000000000004"/>
    <n v="303"/>
    <x v="0"/>
    <x v="1"/>
    <x v="1"/>
    <x v="1"/>
    <x v="1"/>
    <x v="0"/>
  </r>
  <r>
    <x v="22"/>
    <n v="149"/>
    <x v="1"/>
    <x v="0"/>
    <x v="1"/>
    <n v="20"/>
    <n v="264.39999999999998"/>
    <n v="102"/>
    <n v="44.95"/>
    <n v="219.6"/>
    <n v="123"/>
    <n v="18.670000000000002"/>
    <n v="200.4"/>
    <n v="89"/>
    <n v="9.02"/>
    <n v="11.3"/>
    <n v="3"/>
    <n v="3.05"/>
    <x v="2"/>
    <x v="0"/>
    <n v="695.69999999999993"/>
    <n v="75.69"/>
    <n v="317"/>
    <x v="2"/>
    <x v="0"/>
    <x v="0"/>
    <x v="0"/>
    <x v="1"/>
    <x v="2"/>
  </r>
  <r>
    <x v="12"/>
    <n v="102"/>
    <x v="0"/>
    <x v="0"/>
    <x v="0"/>
    <n v="0"/>
    <n v="273.2"/>
    <n v="85"/>
    <n v="46.44"/>
    <n v="211.1"/>
    <n v="82"/>
    <n v="17.940000000000001"/>
    <n v="203.7"/>
    <n v="129"/>
    <n v="9.17"/>
    <n v="13.1"/>
    <n v="7"/>
    <n v="3.54"/>
    <x v="2"/>
    <x v="1"/>
    <n v="701.1"/>
    <n v="77.09"/>
    <n v="303"/>
    <x v="2"/>
    <x v="0"/>
    <x v="0"/>
    <x v="0"/>
    <x v="0"/>
    <x v="2"/>
  </r>
  <r>
    <x v="9"/>
    <n v="153"/>
    <x v="2"/>
    <x v="0"/>
    <x v="0"/>
    <n v="0"/>
    <n v="159.5"/>
    <n v="103"/>
    <n v="27.12"/>
    <n v="275.5"/>
    <n v="90"/>
    <n v="23.42"/>
    <n v="176.7"/>
    <n v="126"/>
    <n v="7.95"/>
    <n v="10.1"/>
    <n v="2"/>
    <n v="2.73"/>
    <x v="0"/>
    <x v="1"/>
    <n v="621.80000000000007"/>
    <n v="61.22"/>
    <n v="321"/>
    <x v="0"/>
    <x v="1"/>
    <x v="1"/>
    <x v="0"/>
    <x v="0"/>
    <x v="0"/>
  </r>
  <r>
    <x v="2"/>
    <n v="122"/>
    <x v="2"/>
    <x v="0"/>
    <x v="0"/>
    <n v="0"/>
    <n v="145.6"/>
    <n v="102"/>
    <n v="24.75"/>
    <n v="284.7"/>
    <n v="111"/>
    <n v="24.2"/>
    <n v="228.2"/>
    <n v="91"/>
    <n v="10.27"/>
    <n v="12.2"/>
    <n v="5"/>
    <n v="3.29"/>
    <x v="3"/>
    <x v="0"/>
    <n v="670.7"/>
    <n v="62.51"/>
    <n v="309"/>
    <x v="0"/>
    <x v="0"/>
    <x v="1"/>
    <x v="0"/>
    <x v="0"/>
    <x v="0"/>
  </r>
  <r>
    <x v="28"/>
    <n v="127"/>
    <x v="2"/>
    <x v="1"/>
    <x v="0"/>
    <n v="0"/>
    <n v="247.5"/>
    <n v="99"/>
    <n v="42.08"/>
    <n v="108.5"/>
    <n v="118"/>
    <n v="9.2200000000000006"/>
    <n v="232"/>
    <n v="72"/>
    <n v="10.44"/>
    <n v="10.6"/>
    <n v="3"/>
    <n v="2.86"/>
    <x v="2"/>
    <x v="0"/>
    <n v="598.6"/>
    <n v="64.599999999999994"/>
    <n v="292"/>
    <x v="2"/>
    <x v="1"/>
    <x v="1"/>
    <x v="1"/>
    <x v="0"/>
    <x v="2"/>
  </r>
  <r>
    <x v="2"/>
    <n v="126"/>
    <x v="1"/>
    <x v="1"/>
    <x v="0"/>
    <n v="0"/>
    <n v="239.7"/>
    <n v="87"/>
    <n v="40.75"/>
    <n v="281.7"/>
    <n v="92"/>
    <n v="23.94"/>
    <n v="183.5"/>
    <n v="113"/>
    <n v="8.26"/>
    <n v="11.4"/>
    <n v="1"/>
    <n v="3.08"/>
    <x v="0"/>
    <x v="1"/>
    <n v="716.3"/>
    <n v="76.03"/>
    <n v="293"/>
    <x v="0"/>
    <x v="0"/>
    <x v="0"/>
    <x v="1"/>
    <x v="0"/>
    <x v="0"/>
  </r>
  <r>
    <x v="15"/>
    <n v="90"/>
    <x v="0"/>
    <x v="0"/>
    <x v="0"/>
    <n v="0"/>
    <n v="109.9"/>
    <n v="102"/>
    <n v="18.68"/>
    <n v="220.8"/>
    <n v="114"/>
    <n v="18.77"/>
    <n v="104"/>
    <n v="133"/>
    <n v="4.68"/>
    <n v="10.9"/>
    <n v="6"/>
    <n v="2.94"/>
    <x v="3"/>
    <x v="0"/>
    <n v="445.6"/>
    <n v="45.07"/>
    <n v="355"/>
    <x v="0"/>
    <x v="2"/>
    <x v="2"/>
    <x v="0"/>
    <x v="0"/>
    <x v="0"/>
  </r>
  <r>
    <x v="17"/>
    <n v="37"/>
    <x v="2"/>
    <x v="0"/>
    <x v="0"/>
    <n v="0"/>
    <n v="239.9"/>
    <n v="120"/>
    <n v="40.78"/>
    <n v="261.60000000000002"/>
    <n v="88"/>
    <n v="22.24"/>
    <n v="207.1"/>
    <n v="88"/>
    <n v="9.32"/>
    <n v="8.9"/>
    <n v="4"/>
    <n v="2.4"/>
    <x v="2"/>
    <x v="1"/>
    <n v="717.5"/>
    <n v="74.740000000000009"/>
    <n v="300"/>
    <x v="2"/>
    <x v="0"/>
    <x v="0"/>
    <x v="0"/>
    <x v="0"/>
    <x v="2"/>
  </r>
  <r>
    <x v="15"/>
    <n v="132"/>
    <x v="1"/>
    <x v="0"/>
    <x v="0"/>
    <n v="0"/>
    <n v="197.8"/>
    <n v="66"/>
    <n v="33.630000000000003"/>
    <n v="133.9"/>
    <n v="119"/>
    <n v="11.38"/>
    <n v="177.3"/>
    <n v="94"/>
    <n v="7.98"/>
    <n v="10.9"/>
    <n v="3"/>
    <n v="2.94"/>
    <x v="1"/>
    <x v="1"/>
    <n v="519.90000000000009"/>
    <n v="55.930000000000007"/>
    <n v="282"/>
    <x v="1"/>
    <x v="2"/>
    <x v="1"/>
    <x v="0"/>
    <x v="0"/>
    <x v="1"/>
  </r>
  <r>
    <x v="14"/>
    <n v="38"/>
    <x v="0"/>
    <x v="0"/>
    <x v="1"/>
    <n v="36"/>
    <n v="115.4"/>
    <n v="98"/>
    <n v="19.62"/>
    <n v="166.2"/>
    <n v="83"/>
    <n v="14.13"/>
    <n v="184.7"/>
    <n v="79"/>
    <n v="8.31"/>
    <n v="15.2"/>
    <n v="6"/>
    <n v="4.0999999999999996"/>
    <x v="2"/>
    <x v="0"/>
    <n v="481.5"/>
    <n v="46.16"/>
    <n v="266"/>
    <x v="2"/>
    <x v="2"/>
    <x v="2"/>
    <x v="0"/>
    <x v="1"/>
    <x v="2"/>
  </r>
  <r>
    <x v="7"/>
    <n v="92"/>
    <x v="1"/>
    <x v="0"/>
    <x v="0"/>
    <n v="0"/>
    <n v="197.2"/>
    <n v="113"/>
    <n v="33.520000000000003"/>
    <n v="242.3"/>
    <n v="116"/>
    <n v="20.6"/>
    <n v="192"/>
    <n v="76"/>
    <n v="8.64"/>
    <n v="11"/>
    <n v="5"/>
    <n v="2.97"/>
    <x v="2"/>
    <x v="0"/>
    <n v="642.5"/>
    <n v="65.73"/>
    <n v="310"/>
    <x v="2"/>
    <x v="1"/>
    <x v="1"/>
    <x v="0"/>
    <x v="0"/>
    <x v="2"/>
  </r>
  <r>
    <x v="4"/>
    <n v="111"/>
    <x v="0"/>
    <x v="0"/>
    <x v="1"/>
    <n v="13"/>
    <n v="193.1"/>
    <n v="104"/>
    <n v="32.83"/>
    <n v="111.6"/>
    <n v="98"/>
    <n v="9.49"/>
    <n v="227.4"/>
    <n v="94"/>
    <n v="10.23"/>
    <n v="12.1"/>
    <n v="4"/>
    <n v="3.27"/>
    <x v="0"/>
    <x v="0"/>
    <n v="544.20000000000005"/>
    <n v="55.82"/>
    <n v="300"/>
    <x v="0"/>
    <x v="1"/>
    <x v="1"/>
    <x v="0"/>
    <x v="1"/>
    <x v="0"/>
  </r>
  <r>
    <x v="26"/>
    <n v="121"/>
    <x v="1"/>
    <x v="0"/>
    <x v="1"/>
    <n v="31"/>
    <n v="263.10000000000002"/>
    <n v="70"/>
    <n v="44.73"/>
    <n v="279.3"/>
    <n v="118"/>
    <n v="23.74"/>
    <n v="127.1"/>
    <n v="143"/>
    <n v="5.72"/>
    <n v="9.6999999999999993"/>
    <n v="4"/>
    <n v="2.62"/>
    <x v="5"/>
    <x v="0"/>
    <n v="679.20000000000016"/>
    <n v="76.81"/>
    <n v="335"/>
    <x v="1"/>
    <x v="0"/>
    <x v="0"/>
    <x v="0"/>
    <x v="1"/>
    <x v="1"/>
  </r>
  <r>
    <x v="50"/>
    <n v="131"/>
    <x v="0"/>
    <x v="0"/>
    <x v="0"/>
    <n v="0"/>
    <n v="197"/>
    <n v="79"/>
    <n v="33.49"/>
    <n v="201"/>
    <n v="114"/>
    <n v="17.09"/>
    <n v="151.19999999999999"/>
    <n v="111"/>
    <n v="6.8"/>
    <n v="11.6"/>
    <n v="5"/>
    <n v="3.13"/>
    <x v="0"/>
    <x v="0"/>
    <n v="560.80000000000007"/>
    <n v="60.510000000000005"/>
    <n v="309"/>
    <x v="0"/>
    <x v="1"/>
    <x v="1"/>
    <x v="0"/>
    <x v="0"/>
    <x v="0"/>
  </r>
  <r>
    <x v="40"/>
    <n v="19"/>
    <x v="1"/>
    <x v="0"/>
    <x v="0"/>
    <n v="0"/>
    <n v="201.5"/>
    <n v="123"/>
    <n v="34.26"/>
    <n v="129.19999999999999"/>
    <n v="110"/>
    <n v="10.98"/>
    <n v="220.6"/>
    <n v="98"/>
    <n v="9.93"/>
    <n v="12.9"/>
    <n v="4"/>
    <n v="3.48"/>
    <x v="0"/>
    <x v="0"/>
    <n v="564.19999999999993"/>
    <n v="58.65"/>
    <n v="335"/>
    <x v="0"/>
    <x v="1"/>
    <x v="1"/>
    <x v="0"/>
    <x v="0"/>
    <x v="0"/>
  </r>
  <r>
    <x v="20"/>
    <n v="135"/>
    <x v="1"/>
    <x v="0"/>
    <x v="0"/>
    <n v="0"/>
    <n v="173.4"/>
    <n v="107"/>
    <n v="29.48"/>
    <n v="222"/>
    <n v="84"/>
    <n v="18.87"/>
    <n v="64.2"/>
    <n v="94"/>
    <n v="2.89"/>
    <n v="13.7"/>
    <n v="6"/>
    <n v="3.7"/>
    <x v="0"/>
    <x v="0"/>
    <n v="473.29999999999995"/>
    <n v="54.94"/>
    <n v="291"/>
    <x v="0"/>
    <x v="2"/>
    <x v="1"/>
    <x v="0"/>
    <x v="0"/>
    <x v="0"/>
  </r>
  <r>
    <x v="48"/>
    <n v="129"/>
    <x v="0"/>
    <x v="0"/>
    <x v="0"/>
    <n v="0"/>
    <n v="101.4"/>
    <n v="145"/>
    <n v="17.239999999999998"/>
    <n v="249.1"/>
    <n v="116"/>
    <n v="21.17"/>
    <n v="157.6"/>
    <n v="107"/>
    <n v="7.09"/>
    <n v="7.1"/>
    <n v="6"/>
    <n v="1.92"/>
    <x v="0"/>
    <x v="0"/>
    <n v="515.20000000000005"/>
    <n v="47.42"/>
    <n v="374"/>
    <x v="0"/>
    <x v="2"/>
    <x v="2"/>
    <x v="0"/>
    <x v="0"/>
    <x v="0"/>
  </r>
  <r>
    <x v="11"/>
    <n v="142"/>
    <x v="1"/>
    <x v="0"/>
    <x v="0"/>
    <n v="0"/>
    <n v="232.5"/>
    <n v="74"/>
    <n v="39.53"/>
    <n v="181.8"/>
    <n v="142"/>
    <n v="15.45"/>
    <n v="203.1"/>
    <n v="86"/>
    <n v="9.14"/>
    <n v="10.4"/>
    <n v="6"/>
    <n v="2.81"/>
    <x v="1"/>
    <x v="0"/>
    <n v="627.79999999999995"/>
    <n v="66.930000000000007"/>
    <n v="308"/>
    <x v="1"/>
    <x v="1"/>
    <x v="0"/>
    <x v="0"/>
    <x v="0"/>
    <x v="1"/>
  </r>
  <r>
    <x v="43"/>
    <n v="130"/>
    <x v="1"/>
    <x v="0"/>
    <x v="1"/>
    <n v="45"/>
    <n v="174.5"/>
    <n v="120"/>
    <n v="29.67"/>
    <n v="217.5"/>
    <n v="95"/>
    <n v="18.489999999999998"/>
    <n v="220.3"/>
    <n v="67"/>
    <n v="9.91"/>
    <n v="12.2"/>
    <n v="2"/>
    <n v="3.29"/>
    <x v="0"/>
    <x v="0"/>
    <n v="624.5"/>
    <n v="61.36"/>
    <n v="284"/>
    <x v="0"/>
    <x v="1"/>
    <x v="1"/>
    <x v="0"/>
    <x v="1"/>
    <x v="0"/>
  </r>
  <r>
    <x v="19"/>
    <n v="92"/>
    <x v="1"/>
    <x v="0"/>
    <x v="0"/>
    <n v="0"/>
    <n v="181.4"/>
    <n v="98"/>
    <n v="30.84"/>
    <n v="164.5"/>
    <n v="98"/>
    <n v="13.98"/>
    <n v="171"/>
    <n v="110"/>
    <n v="7.69"/>
    <n v="10.9"/>
    <n v="4"/>
    <n v="2.94"/>
    <x v="2"/>
    <x v="0"/>
    <n v="527.79999999999995"/>
    <n v="55.45"/>
    <n v="310"/>
    <x v="2"/>
    <x v="2"/>
    <x v="1"/>
    <x v="0"/>
    <x v="0"/>
    <x v="2"/>
  </r>
  <r>
    <x v="28"/>
    <n v="146"/>
    <x v="1"/>
    <x v="0"/>
    <x v="1"/>
    <n v="11"/>
    <n v="180.7"/>
    <n v="82"/>
    <n v="30.72"/>
    <n v="173.7"/>
    <n v="90"/>
    <n v="14.76"/>
    <n v="231.5"/>
    <n v="89"/>
    <n v="10.42"/>
    <n v="10.1"/>
    <n v="4"/>
    <n v="2.73"/>
    <x v="2"/>
    <x v="0"/>
    <n v="596"/>
    <n v="58.629999999999995"/>
    <n v="265"/>
    <x v="2"/>
    <x v="1"/>
    <x v="1"/>
    <x v="0"/>
    <x v="1"/>
    <x v="2"/>
  </r>
  <r>
    <x v="44"/>
    <n v="152"/>
    <x v="2"/>
    <x v="1"/>
    <x v="1"/>
    <n v="41"/>
    <n v="146.80000000000001"/>
    <n v="128"/>
    <n v="24.96"/>
    <n v="285.60000000000002"/>
    <n v="96"/>
    <n v="24.28"/>
    <n v="213.6"/>
    <n v="80"/>
    <n v="9.61"/>
    <n v="4.3"/>
    <n v="2"/>
    <n v="1.1599999999999999"/>
    <x v="0"/>
    <x v="1"/>
    <n v="650.29999999999995"/>
    <n v="60.01"/>
    <n v="306"/>
    <x v="0"/>
    <x v="1"/>
    <x v="1"/>
    <x v="1"/>
    <x v="1"/>
    <x v="0"/>
  </r>
  <r>
    <x v="27"/>
    <n v="189"/>
    <x v="1"/>
    <x v="0"/>
    <x v="0"/>
    <n v="0"/>
    <n v="227.8"/>
    <n v="124"/>
    <n v="38.729999999999997"/>
    <n v="169.5"/>
    <n v="112"/>
    <n v="14.41"/>
    <n v="201.1"/>
    <n v="91"/>
    <n v="9.0500000000000007"/>
    <n v="5.6"/>
    <n v="4"/>
    <n v="1.51"/>
    <x v="4"/>
    <x v="0"/>
    <n v="604"/>
    <n v="63.699999999999996"/>
    <n v="331"/>
    <x v="2"/>
    <x v="1"/>
    <x v="1"/>
    <x v="0"/>
    <x v="0"/>
    <x v="2"/>
  </r>
  <r>
    <x v="20"/>
    <n v="95"/>
    <x v="1"/>
    <x v="0"/>
    <x v="1"/>
    <n v="23"/>
    <n v="160.30000000000001"/>
    <n v="87"/>
    <n v="27.25"/>
    <n v="202.4"/>
    <n v="101"/>
    <n v="17.2"/>
    <n v="191.1"/>
    <n v="122"/>
    <n v="8.6"/>
    <n v="7.4"/>
    <n v="3"/>
    <n v="2"/>
    <x v="3"/>
    <x v="0"/>
    <n v="561.20000000000005"/>
    <n v="55.05"/>
    <n v="313"/>
    <x v="0"/>
    <x v="1"/>
    <x v="1"/>
    <x v="0"/>
    <x v="1"/>
    <x v="0"/>
  </r>
  <r>
    <x v="5"/>
    <n v="1"/>
    <x v="0"/>
    <x v="0"/>
    <x v="0"/>
    <n v="0"/>
    <n v="175.2"/>
    <n v="74"/>
    <n v="29.78"/>
    <n v="151.69999999999999"/>
    <n v="79"/>
    <n v="12.89"/>
    <n v="230.5"/>
    <n v="109"/>
    <n v="10.37"/>
    <n v="5.3"/>
    <n v="3"/>
    <n v="1.43"/>
    <x v="0"/>
    <x v="0"/>
    <n v="562.69999999999993"/>
    <n v="54.47"/>
    <n v="265"/>
    <x v="0"/>
    <x v="1"/>
    <x v="1"/>
    <x v="0"/>
    <x v="0"/>
    <x v="0"/>
  </r>
  <r>
    <x v="1"/>
    <n v="141"/>
    <x v="1"/>
    <x v="0"/>
    <x v="1"/>
    <n v="39"/>
    <n v="116.9"/>
    <n v="127"/>
    <n v="19.87"/>
    <n v="276.5"/>
    <n v="88"/>
    <n v="23.5"/>
    <n v="289.89999999999998"/>
    <n v="125"/>
    <n v="13.05"/>
    <n v="12.3"/>
    <n v="2"/>
    <n v="3.32"/>
    <x v="3"/>
    <x v="0"/>
    <n v="695.59999999999991"/>
    <n v="59.740000000000009"/>
    <n v="342"/>
    <x v="0"/>
    <x v="0"/>
    <x v="1"/>
    <x v="0"/>
    <x v="1"/>
    <x v="0"/>
  </r>
  <r>
    <x v="18"/>
    <n v="111"/>
    <x v="2"/>
    <x v="0"/>
    <x v="0"/>
    <n v="0"/>
    <n v="152.19999999999999"/>
    <n v="114"/>
    <n v="25.87"/>
    <n v="137.19999999999999"/>
    <n v="102"/>
    <n v="11.66"/>
    <n v="185.9"/>
    <n v="97"/>
    <n v="8.3699999999999992"/>
    <n v="9.8000000000000007"/>
    <n v="3"/>
    <n v="2.65"/>
    <x v="3"/>
    <x v="0"/>
    <n v="485.09999999999997"/>
    <n v="48.55"/>
    <n v="316"/>
    <x v="0"/>
    <x v="2"/>
    <x v="2"/>
    <x v="0"/>
    <x v="0"/>
    <x v="0"/>
  </r>
  <r>
    <x v="35"/>
    <n v="143"/>
    <x v="0"/>
    <x v="0"/>
    <x v="0"/>
    <n v="0"/>
    <n v="167.8"/>
    <n v="72"/>
    <n v="28.53"/>
    <n v="211"/>
    <n v="99"/>
    <n v="17.940000000000001"/>
    <n v="153.5"/>
    <n v="109"/>
    <n v="6.91"/>
    <n v="10.5"/>
    <n v="6"/>
    <n v="2.84"/>
    <x v="1"/>
    <x v="1"/>
    <n v="542.79999999999995"/>
    <n v="56.22"/>
    <n v="286"/>
    <x v="1"/>
    <x v="1"/>
    <x v="1"/>
    <x v="0"/>
    <x v="0"/>
    <x v="1"/>
  </r>
  <r>
    <x v="22"/>
    <n v="148"/>
    <x v="1"/>
    <x v="0"/>
    <x v="1"/>
    <n v="21"/>
    <n v="262.89999999999998"/>
    <n v="135"/>
    <n v="44.69"/>
    <n v="149.5"/>
    <n v="96"/>
    <n v="12.71"/>
    <n v="140.5"/>
    <n v="109"/>
    <n v="6.32"/>
    <n v="8.1"/>
    <n v="4"/>
    <n v="2.19"/>
    <x v="0"/>
    <x v="0"/>
    <n v="561"/>
    <n v="65.91"/>
    <n v="344"/>
    <x v="0"/>
    <x v="1"/>
    <x v="0"/>
    <x v="0"/>
    <x v="1"/>
    <x v="0"/>
  </r>
  <r>
    <x v="12"/>
    <n v="143"/>
    <x v="0"/>
    <x v="0"/>
    <x v="1"/>
    <n v="22"/>
    <n v="141.80000000000001"/>
    <n v="116"/>
    <n v="24.11"/>
    <n v="167.3"/>
    <n v="99"/>
    <n v="14.22"/>
    <n v="178.1"/>
    <n v="130"/>
    <n v="8.01"/>
    <n v="7.8"/>
    <n v="3"/>
    <n v="2.11"/>
    <x v="0"/>
    <x v="0"/>
    <n v="495.00000000000006"/>
    <n v="48.45"/>
    <n v="348"/>
    <x v="0"/>
    <x v="2"/>
    <x v="2"/>
    <x v="0"/>
    <x v="1"/>
    <x v="0"/>
  </r>
  <r>
    <x v="24"/>
    <n v="90"/>
    <x v="1"/>
    <x v="0"/>
    <x v="0"/>
    <n v="0"/>
    <n v="167.5"/>
    <n v="96"/>
    <n v="28.48"/>
    <n v="139.1"/>
    <n v="104"/>
    <n v="11.82"/>
    <n v="138.4"/>
    <n v="87"/>
    <n v="6.23"/>
    <n v="13"/>
    <n v="1"/>
    <n v="3.51"/>
    <x v="0"/>
    <x v="0"/>
    <n v="458"/>
    <n v="50.040000000000006"/>
    <n v="288"/>
    <x v="0"/>
    <x v="2"/>
    <x v="2"/>
    <x v="0"/>
    <x v="0"/>
    <x v="0"/>
  </r>
  <r>
    <x v="20"/>
    <n v="169"/>
    <x v="0"/>
    <x v="0"/>
    <x v="0"/>
    <n v="0"/>
    <n v="147.19999999999999"/>
    <n v="115"/>
    <n v="25.02"/>
    <n v="161.9"/>
    <n v="123"/>
    <n v="13.76"/>
    <n v="142.1"/>
    <n v="103"/>
    <n v="6.39"/>
    <n v="7.2"/>
    <n v="6"/>
    <n v="1.94"/>
    <x v="4"/>
    <x v="0"/>
    <n v="458.40000000000003"/>
    <n v="47.11"/>
    <n v="347"/>
    <x v="2"/>
    <x v="2"/>
    <x v="2"/>
    <x v="0"/>
    <x v="0"/>
    <x v="2"/>
  </r>
  <r>
    <x v="0"/>
    <n v="53"/>
    <x v="1"/>
    <x v="0"/>
    <x v="0"/>
    <n v="0"/>
    <n v="145.1"/>
    <n v="116"/>
    <n v="24.67"/>
    <n v="233.7"/>
    <n v="82"/>
    <n v="19.86"/>
    <n v="208.7"/>
    <n v="95"/>
    <n v="9.39"/>
    <n v="7.9"/>
    <n v="5"/>
    <n v="2.13"/>
    <x v="2"/>
    <x v="0"/>
    <n v="595.4"/>
    <n v="56.05"/>
    <n v="298"/>
    <x v="2"/>
    <x v="1"/>
    <x v="1"/>
    <x v="0"/>
    <x v="0"/>
    <x v="2"/>
  </r>
  <r>
    <x v="21"/>
    <n v="15"/>
    <x v="1"/>
    <x v="0"/>
    <x v="0"/>
    <n v="0"/>
    <n v="135.19999999999999"/>
    <n v="101"/>
    <n v="22.98"/>
    <n v="152.5"/>
    <n v="79"/>
    <n v="12.96"/>
    <n v="224.8"/>
    <n v="83"/>
    <n v="10.119999999999999"/>
    <n v="8.4"/>
    <n v="5"/>
    <n v="2.27"/>
    <x v="2"/>
    <x v="0"/>
    <n v="520.9"/>
    <n v="48.33"/>
    <n v="268"/>
    <x v="2"/>
    <x v="2"/>
    <x v="2"/>
    <x v="0"/>
    <x v="0"/>
    <x v="2"/>
  </r>
  <r>
    <x v="39"/>
    <n v="123"/>
    <x v="0"/>
    <x v="0"/>
    <x v="1"/>
    <n v="28"/>
    <n v="124.7"/>
    <n v="105"/>
    <n v="21.2"/>
    <n v="250.4"/>
    <n v="78"/>
    <n v="21.28"/>
    <n v="216.4"/>
    <n v="128"/>
    <n v="9.74"/>
    <n v="7.8"/>
    <n v="8"/>
    <n v="2.11"/>
    <x v="0"/>
    <x v="0"/>
    <n v="599.29999999999995"/>
    <n v="54.33"/>
    <n v="319"/>
    <x v="0"/>
    <x v="1"/>
    <x v="1"/>
    <x v="0"/>
    <x v="1"/>
    <x v="0"/>
  </r>
  <r>
    <x v="48"/>
    <n v="95"/>
    <x v="2"/>
    <x v="0"/>
    <x v="0"/>
    <n v="0"/>
    <n v="174"/>
    <n v="57"/>
    <n v="29.58"/>
    <n v="281.10000000000002"/>
    <n v="118"/>
    <n v="23.89"/>
    <n v="197.2"/>
    <n v="94"/>
    <n v="8.8699999999999992"/>
    <n v="9.6999999999999993"/>
    <n v="2"/>
    <n v="2.62"/>
    <x v="3"/>
    <x v="0"/>
    <n v="662"/>
    <n v="64.959999999999994"/>
    <n v="271"/>
    <x v="0"/>
    <x v="0"/>
    <x v="1"/>
    <x v="0"/>
    <x v="0"/>
    <x v="0"/>
  </r>
  <r>
    <x v="18"/>
    <n v="82"/>
    <x v="2"/>
    <x v="0"/>
    <x v="0"/>
    <n v="0"/>
    <n v="265.2"/>
    <n v="122"/>
    <n v="45.08"/>
    <n v="178.7"/>
    <n v="102"/>
    <n v="15.19"/>
    <n v="174.7"/>
    <n v="90"/>
    <n v="7.86"/>
    <n v="10.7"/>
    <n v="9"/>
    <n v="2.89"/>
    <x v="2"/>
    <x v="0"/>
    <n v="629.29999999999995"/>
    <n v="71.02"/>
    <n v="323"/>
    <x v="2"/>
    <x v="1"/>
    <x v="0"/>
    <x v="0"/>
    <x v="0"/>
    <x v="2"/>
  </r>
  <r>
    <x v="35"/>
    <n v="180"/>
    <x v="1"/>
    <x v="0"/>
    <x v="0"/>
    <n v="0"/>
    <n v="143.30000000000001"/>
    <n v="134"/>
    <n v="24.36"/>
    <n v="180.5"/>
    <n v="113"/>
    <n v="15.34"/>
    <n v="184.2"/>
    <n v="87"/>
    <n v="8.2899999999999991"/>
    <n v="10.1"/>
    <n v="4"/>
    <n v="2.73"/>
    <x v="0"/>
    <x v="0"/>
    <n v="518.1"/>
    <n v="50.72"/>
    <n v="338"/>
    <x v="0"/>
    <x v="2"/>
    <x v="2"/>
    <x v="0"/>
    <x v="0"/>
    <x v="0"/>
  </r>
  <r>
    <x v="35"/>
    <n v="125"/>
    <x v="0"/>
    <x v="0"/>
    <x v="0"/>
    <n v="0"/>
    <n v="113"/>
    <n v="108"/>
    <n v="19.21"/>
    <n v="169.2"/>
    <n v="107"/>
    <n v="14.38"/>
    <n v="156.6"/>
    <n v="61"/>
    <n v="7.05"/>
    <n v="9.1999999999999993"/>
    <n v="5"/>
    <n v="2.48"/>
    <x v="2"/>
    <x v="1"/>
    <n v="447.99999999999994"/>
    <n v="43.120000000000005"/>
    <n v="281"/>
    <x v="2"/>
    <x v="2"/>
    <x v="2"/>
    <x v="0"/>
    <x v="0"/>
    <x v="2"/>
  </r>
  <r>
    <x v="25"/>
    <n v="138"/>
    <x v="1"/>
    <x v="1"/>
    <x v="1"/>
    <n v="28"/>
    <n v="211.2"/>
    <n v="117"/>
    <n v="35.9"/>
    <n v="312.5"/>
    <n v="98"/>
    <n v="26.56"/>
    <n v="178"/>
    <n v="118"/>
    <n v="8.01"/>
    <n v="10.7"/>
    <n v="2"/>
    <n v="2.89"/>
    <x v="4"/>
    <x v="1"/>
    <n v="712.40000000000009"/>
    <n v="73.36"/>
    <n v="335"/>
    <x v="2"/>
    <x v="0"/>
    <x v="0"/>
    <x v="1"/>
    <x v="1"/>
    <x v="2"/>
  </r>
  <r>
    <x v="13"/>
    <n v="90"/>
    <x v="0"/>
    <x v="0"/>
    <x v="0"/>
    <n v="0"/>
    <n v="157.9"/>
    <n v="72"/>
    <n v="26.84"/>
    <n v="234"/>
    <n v="93"/>
    <n v="19.89"/>
    <n v="210"/>
    <n v="86"/>
    <n v="9.4499999999999993"/>
    <n v="12.2"/>
    <n v="5"/>
    <n v="3.29"/>
    <x v="2"/>
    <x v="0"/>
    <n v="614.1"/>
    <n v="59.47"/>
    <n v="256"/>
    <x v="2"/>
    <x v="1"/>
    <x v="1"/>
    <x v="0"/>
    <x v="0"/>
    <x v="2"/>
  </r>
  <r>
    <x v="31"/>
    <n v="190"/>
    <x v="0"/>
    <x v="0"/>
    <x v="0"/>
    <n v="0"/>
    <n v="182.2"/>
    <n v="101"/>
    <n v="30.97"/>
    <n v="212.3"/>
    <n v="95"/>
    <n v="18.05"/>
    <n v="233"/>
    <n v="123"/>
    <n v="10.49"/>
    <n v="9.3000000000000007"/>
    <n v="4"/>
    <n v="2.5099999999999998"/>
    <x v="2"/>
    <x v="0"/>
    <n v="636.79999999999995"/>
    <n v="62.019999999999996"/>
    <n v="323"/>
    <x v="2"/>
    <x v="1"/>
    <x v="1"/>
    <x v="0"/>
    <x v="0"/>
    <x v="2"/>
  </r>
  <r>
    <x v="49"/>
    <n v="143"/>
    <x v="2"/>
    <x v="0"/>
    <x v="1"/>
    <n v="33"/>
    <n v="141.4"/>
    <n v="130"/>
    <n v="24.04"/>
    <n v="186.4"/>
    <n v="114"/>
    <n v="15.84"/>
    <n v="210"/>
    <n v="111"/>
    <n v="9.4499999999999993"/>
    <n v="7.7"/>
    <n v="6"/>
    <n v="2.08"/>
    <x v="0"/>
    <x v="0"/>
    <n v="545.5"/>
    <n v="51.41"/>
    <n v="361"/>
    <x v="0"/>
    <x v="1"/>
    <x v="2"/>
    <x v="0"/>
    <x v="1"/>
    <x v="0"/>
  </r>
  <r>
    <x v="41"/>
    <n v="183"/>
    <x v="2"/>
    <x v="0"/>
    <x v="0"/>
    <n v="0"/>
    <n v="108.3"/>
    <n v="87"/>
    <n v="18.41"/>
    <n v="183.6"/>
    <n v="116"/>
    <n v="15.61"/>
    <n v="176.6"/>
    <n v="109"/>
    <n v="7.95"/>
    <n v="13.5"/>
    <n v="2"/>
    <n v="3.65"/>
    <x v="3"/>
    <x v="0"/>
    <n v="482"/>
    <n v="45.620000000000005"/>
    <n v="314"/>
    <x v="0"/>
    <x v="2"/>
    <x v="2"/>
    <x v="0"/>
    <x v="0"/>
    <x v="0"/>
  </r>
  <r>
    <x v="14"/>
    <n v="58"/>
    <x v="1"/>
    <x v="0"/>
    <x v="0"/>
    <n v="0"/>
    <n v="247.2"/>
    <n v="116"/>
    <n v="42.02"/>
    <n v="303.7"/>
    <n v="103"/>
    <n v="25.81"/>
    <n v="105.4"/>
    <n v="94"/>
    <n v="4.74"/>
    <n v="9.3000000000000007"/>
    <n v="2"/>
    <n v="2.5099999999999998"/>
    <x v="2"/>
    <x v="1"/>
    <n v="665.59999999999991"/>
    <n v="75.080000000000013"/>
    <n v="315"/>
    <x v="2"/>
    <x v="0"/>
    <x v="0"/>
    <x v="0"/>
    <x v="0"/>
    <x v="2"/>
  </r>
  <r>
    <x v="48"/>
    <n v="123"/>
    <x v="1"/>
    <x v="0"/>
    <x v="0"/>
    <n v="0"/>
    <n v="166.9"/>
    <n v="98"/>
    <n v="28.37"/>
    <n v="221.8"/>
    <n v="77"/>
    <n v="18.850000000000001"/>
    <n v="243.9"/>
    <n v="114"/>
    <n v="10.98"/>
    <n v="12.8"/>
    <n v="4"/>
    <n v="3.46"/>
    <x v="4"/>
    <x v="0"/>
    <n v="645.4"/>
    <n v="61.660000000000011"/>
    <n v="293"/>
    <x v="2"/>
    <x v="1"/>
    <x v="1"/>
    <x v="0"/>
    <x v="0"/>
    <x v="2"/>
  </r>
  <r>
    <x v="50"/>
    <n v="155"/>
    <x v="2"/>
    <x v="0"/>
    <x v="0"/>
    <n v="0"/>
    <n v="71.2"/>
    <n v="90"/>
    <n v="12.1"/>
    <n v="304.39999999999998"/>
    <n v="119"/>
    <n v="25.87"/>
    <n v="183.3"/>
    <n v="103"/>
    <n v="8.25"/>
    <n v="8.6"/>
    <n v="4"/>
    <n v="2.3199999999999998"/>
    <x v="3"/>
    <x v="0"/>
    <n v="567.5"/>
    <n v="48.54"/>
    <n v="316"/>
    <x v="0"/>
    <x v="1"/>
    <x v="2"/>
    <x v="0"/>
    <x v="0"/>
    <x v="0"/>
  </r>
  <r>
    <x v="10"/>
    <n v="53"/>
    <x v="1"/>
    <x v="0"/>
    <x v="0"/>
    <n v="0"/>
    <n v="164.1"/>
    <n v="106"/>
    <n v="27.9"/>
    <n v="206"/>
    <n v="56"/>
    <n v="17.510000000000002"/>
    <n v="194.7"/>
    <n v="124"/>
    <n v="8.76"/>
    <n v="11.4"/>
    <n v="2"/>
    <n v="3.08"/>
    <x v="0"/>
    <x v="0"/>
    <n v="576.19999999999993"/>
    <n v="57.25"/>
    <n v="288"/>
    <x v="0"/>
    <x v="1"/>
    <x v="1"/>
    <x v="0"/>
    <x v="0"/>
    <x v="0"/>
  </r>
  <r>
    <x v="12"/>
    <n v="101"/>
    <x v="1"/>
    <x v="0"/>
    <x v="0"/>
    <n v="0"/>
    <n v="154.4"/>
    <n v="130"/>
    <n v="26.25"/>
    <n v="217.2"/>
    <n v="101"/>
    <n v="18.46"/>
    <n v="185.4"/>
    <n v="52"/>
    <n v="8.34"/>
    <n v="13.9"/>
    <n v="4"/>
    <n v="3.75"/>
    <x v="0"/>
    <x v="0"/>
    <n v="570.9"/>
    <n v="56.8"/>
    <n v="287"/>
    <x v="0"/>
    <x v="1"/>
    <x v="1"/>
    <x v="0"/>
    <x v="0"/>
    <x v="0"/>
  </r>
  <r>
    <x v="46"/>
    <n v="122"/>
    <x v="0"/>
    <x v="0"/>
    <x v="0"/>
    <n v="0"/>
    <n v="231.2"/>
    <n v="141"/>
    <n v="39.299999999999997"/>
    <n v="267.8"/>
    <n v="136"/>
    <n v="22.76"/>
    <n v="240.3"/>
    <n v="100"/>
    <n v="10.81"/>
    <n v="8.8000000000000007"/>
    <n v="5"/>
    <n v="2.38"/>
    <x v="0"/>
    <x v="1"/>
    <n v="748.09999999999991"/>
    <n v="75.25"/>
    <n v="382"/>
    <x v="0"/>
    <x v="0"/>
    <x v="0"/>
    <x v="0"/>
    <x v="0"/>
    <x v="0"/>
  </r>
  <r>
    <x v="8"/>
    <n v="163"/>
    <x v="1"/>
    <x v="0"/>
    <x v="0"/>
    <n v="0"/>
    <n v="202.9"/>
    <n v="100"/>
    <n v="34.49"/>
    <n v="178.6"/>
    <n v="46"/>
    <n v="15.18"/>
    <n v="203.8"/>
    <n v="116"/>
    <n v="9.17"/>
    <n v="12.8"/>
    <n v="3"/>
    <n v="3.46"/>
    <x v="5"/>
    <x v="0"/>
    <n v="598.09999999999991"/>
    <n v="62.3"/>
    <n v="265"/>
    <x v="1"/>
    <x v="1"/>
    <x v="1"/>
    <x v="0"/>
    <x v="0"/>
    <x v="1"/>
  </r>
  <r>
    <x v="46"/>
    <n v="120"/>
    <x v="1"/>
    <x v="0"/>
    <x v="0"/>
    <n v="0"/>
    <n v="177.2"/>
    <n v="88"/>
    <n v="30.12"/>
    <n v="270.39999999999998"/>
    <n v="99"/>
    <n v="22.98"/>
    <n v="231.5"/>
    <n v="90"/>
    <n v="10.42"/>
    <n v="14"/>
    <n v="2"/>
    <n v="3.78"/>
    <x v="2"/>
    <x v="0"/>
    <n v="693.09999999999991"/>
    <n v="67.3"/>
    <n v="279"/>
    <x v="2"/>
    <x v="0"/>
    <x v="0"/>
    <x v="0"/>
    <x v="0"/>
    <x v="2"/>
  </r>
  <r>
    <x v="48"/>
    <n v="196"/>
    <x v="1"/>
    <x v="0"/>
    <x v="0"/>
    <n v="0"/>
    <n v="133.1"/>
    <n v="80"/>
    <n v="22.63"/>
    <n v="206.5"/>
    <n v="120"/>
    <n v="17.55"/>
    <n v="221.6"/>
    <n v="96"/>
    <n v="9.9700000000000006"/>
    <n v="10.3"/>
    <n v="8"/>
    <n v="2.78"/>
    <x v="0"/>
    <x v="0"/>
    <n v="571.5"/>
    <n v="52.93"/>
    <n v="304"/>
    <x v="0"/>
    <x v="1"/>
    <x v="2"/>
    <x v="0"/>
    <x v="0"/>
    <x v="0"/>
  </r>
  <r>
    <x v="19"/>
    <n v="147"/>
    <x v="1"/>
    <x v="0"/>
    <x v="1"/>
    <n v="38"/>
    <n v="243.4"/>
    <n v="126"/>
    <n v="41.38"/>
    <n v="273.8"/>
    <n v="109"/>
    <n v="23.27"/>
    <n v="282.89999999999998"/>
    <n v="91"/>
    <n v="12.73"/>
    <n v="14.1"/>
    <n v="8"/>
    <n v="3.81"/>
    <x v="2"/>
    <x v="0"/>
    <n v="814.2"/>
    <n v="81.19"/>
    <n v="334"/>
    <x v="2"/>
    <x v="0"/>
    <x v="0"/>
    <x v="0"/>
    <x v="1"/>
    <x v="2"/>
  </r>
  <r>
    <x v="1"/>
    <n v="81"/>
    <x v="0"/>
    <x v="0"/>
    <x v="1"/>
    <n v="46"/>
    <n v="168.3"/>
    <n v="124"/>
    <n v="28.61"/>
    <n v="270.89999999999998"/>
    <n v="103"/>
    <n v="23.03"/>
    <n v="222.5"/>
    <n v="98"/>
    <n v="10.01"/>
    <n v="6.7"/>
    <n v="2"/>
    <n v="1.81"/>
    <x v="1"/>
    <x v="0"/>
    <n v="668.40000000000009"/>
    <n v="63.46"/>
    <n v="327"/>
    <x v="1"/>
    <x v="0"/>
    <x v="1"/>
    <x v="0"/>
    <x v="1"/>
    <x v="1"/>
  </r>
  <r>
    <x v="25"/>
    <n v="165"/>
    <x v="1"/>
    <x v="0"/>
    <x v="1"/>
    <n v="33"/>
    <n v="111.6"/>
    <n v="140"/>
    <n v="18.97"/>
    <n v="213.3"/>
    <n v="111"/>
    <n v="18.13"/>
    <n v="267.60000000000002"/>
    <n v="115"/>
    <n v="12.04"/>
    <n v="16"/>
    <n v="3"/>
    <n v="4.32"/>
    <x v="3"/>
    <x v="0"/>
    <n v="608.5"/>
    <n v="53.459999999999994"/>
    <n v="369"/>
    <x v="0"/>
    <x v="1"/>
    <x v="2"/>
    <x v="0"/>
    <x v="1"/>
    <x v="0"/>
  </r>
  <r>
    <x v="48"/>
    <n v="115"/>
    <x v="1"/>
    <x v="0"/>
    <x v="0"/>
    <n v="0"/>
    <n v="206.2"/>
    <n v="113"/>
    <n v="35.049999999999997"/>
    <n v="176.4"/>
    <n v="102"/>
    <n v="14.99"/>
    <n v="297.10000000000002"/>
    <n v="119"/>
    <n v="13.37"/>
    <n v="11"/>
    <n v="7"/>
    <n v="2.97"/>
    <x v="0"/>
    <x v="0"/>
    <n v="690.7"/>
    <n v="66.38"/>
    <n v="341"/>
    <x v="0"/>
    <x v="0"/>
    <x v="0"/>
    <x v="0"/>
    <x v="0"/>
    <x v="0"/>
  </r>
  <r>
    <x v="26"/>
    <n v="90"/>
    <x v="0"/>
    <x v="0"/>
    <x v="1"/>
    <n v="27"/>
    <n v="156.69999999999999"/>
    <n v="51"/>
    <n v="26.64"/>
    <n v="236.5"/>
    <n v="118"/>
    <n v="20.100000000000001"/>
    <n v="123.2"/>
    <n v="111"/>
    <n v="5.54"/>
    <n v="12.6"/>
    <n v="6"/>
    <n v="3.4"/>
    <x v="2"/>
    <x v="0"/>
    <n v="529"/>
    <n v="55.68"/>
    <n v="286"/>
    <x v="2"/>
    <x v="2"/>
    <x v="1"/>
    <x v="0"/>
    <x v="1"/>
    <x v="2"/>
  </r>
  <r>
    <x v="48"/>
    <n v="37"/>
    <x v="1"/>
    <x v="0"/>
    <x v="0"/>
    <n v="0"/>
    <n v="221"/>
    <n v="126"/>
    <n v="37.57"/>
    <n v="204.5"/>
    <n v="110"/>
    <n v="17.38"/>
    <n v="118"/>
    <n v="98"/>
    <n v="5.31"/>
    <n v="6.8"/>
    <n v="3"/>
    <n v="1.84"/>
    <x v="1"/>
    <x v="0"/>
    <n v="550.29999999999995"/>
    <n v="62.099999999999994"/>
    <n v="337"/>
    <x v="1"/>
    <x v="1"/>
    <x v="1"/>
    <x v="0"/>
    <x v="0"/>
    <x v="1"/>
  </r>
  <r>
    <x v="31"/>
    <n v="76"/>
    <x v="2"/>
    <x v="0"/>
    <x v="0"/>
    <n v="0"/>
    <n v="165.7"/>
    <n v="94"/>
    <n v="28.17"/>
    <n v="257.39999999999998"/>
    <n v="80"/>
    <n v="21.88"/>
    <n v="170.8"/>
    <n v="114"/>
    <n v="7.69"/>
    <n v="10"/>
    <n v="4"/>
    <n v="2.7"/>
    <x v="0"/>
    <x v="0"/>
    <n v="603.9"/>
    <n v="60.44"/>
    <n v="292"/>
    <x v="0"/>
    <x v="1"/>
    <x v="1"/>
    <x v="0"/>
    <x v="0"/>
    <x v="0"/>
  </r>
  <r>
    <x v="12"/>
    <n v="109"/>
    <x v="2"/>
    <x v="0"/>
    <x v="0"/>
    <n v="0"/>
    <n v="154.80000000000001"/>
    <n v="82"/>
    <n v="26.32"/>
    <n v="287.7"/>
    <n v="109"/>
    <n v="24.45"/>
    <n v="208.4"/>
    <n v="80"/>
    <n v="9.3800000000000008"/>
    <n v="5.9"/>
    <n v="9"/>
    <n v="1.59"/>
    <x v="4"/>
    <x v="0"/>
    <n v="656.8"/>
    <n v="61.74"/>
    <n v="280"/>
    <x v="2"/>
    <x v="0"/>
    <x v="1"/>
    <x v="0"/>
    <x v="0"/>
    <x v="2"/>
  </r>
  <r>
    <x v="4"/>
    <n v="105"/>
    <x v="2"/>
    <x v="0"/>
    <x v="0"/>
    <n v="0"/>
    <n v="125.4"/>
    <n v="116"/>
    <n v="21.32"/>
    <n v="261.5"/>
    <n v="95"/>
    <n v="22.23"/>
    <n v="241.6"/>
    <n v="104"/>
    <n v="10.87"/>
    <n v="11.4"/>
    <n v="9"/>
    <n v="3.08"/>
    <x v="2"/>
    <x v="0"/>
    <n v="639.9"/>
    <n v="57.5"/>
    <n v="324"/>
    <x v="2"/>
    <x v="1"/>
    <x v="1"/>
    <x v="0"/>
    <x v="0"/>
    <x v="2"/>
  </r>
  <r>
    <x v="6"/>
    <n v="74"/>
    <x v="1"/>
    <x v="0"/>
    <x v="0"/>
    <n v="0"/>
    <n v="124.8"/>
    <n v="114"/>
    <n v="21.22"/>
    <n v="133"/>
    <n v="121"/>
    <n v="11.31"/>
    <n v="160.30000000000001"/>
    <n v="85"/>
    <n v="7.21"/>
    <n v="10.6"/>
    <n v="7"/>
    <n v="2.86"/>
    <x v="4"/>
    <x v="0"/>
    <n v="428.70000000000005"/>
    <n v="42.6"/>
    <n v="327"/>
    <x v="2"/>
    <x v="2"/>
    <x v="2"/>
    <x v="0"/>
    <x v="0"/>
    <x v="2"/>
  </r>
  <r>
    <x v="22"/>
    <n v="76"/>
    <x v="1"/>
    <x v="0"/>
    <x v="0"/>
    <n v="0"/>
    <n v="179.2"/>
    <n v="85"/>
    <n v="30.46"/>
    <n v="222.9"/>
    <n v="66"/>
    <n v="18.95"/>
    <n v="188.2"/>
    <n v="113"/>
    <n v="8.4700000000000006"/>
    <n v="12.4"/>
    <n v="2"/>
    <n v="3.35"/>
    <x v="3"/>
    <x v="0"/>
    <n v="602.69999999999993"/>
    <n v="61.230000000000004"/>
    <n v="266"/>
    <x v="0"/>
    <x v="1"/>
    <x v="1"/>
    <x v="0"/>
    <x v="0"/>
    <x v="0"/>
  </r>
  <r>
    <x v="34"/>
    <n v="116"/>
    <x v="1"/>
    <x v="0"/>
    <x v="0"/>
    <n v="0"/>
    <n v="245.9"/>
    <n v="73"/>
    <n v="41.8"/>
    <n v="240.1"/>
    <n v="87"/>
    <n v="20.41"/>
    <n v="158.69999999999999"/>
    <n v="89"/>
    <n v="7.14"/>
    <n v="8.9"/>
    <n v="5"/>
    <n v="2.4"/>
    <x v="4"/>
    <x v="0"/>
    <n v="653.6"/>
    <n v="71.75"/>
    <n v="254"/>
    <x v="2"/>
    <x v="1"/>
    <x v="0"/>
    <x v="0"/>
    <x v="0"/>
    <x v="2"/>
  </r>
  <r>
    <x v="37"/>
    <n v="138"/>
    <x v="2"/>
    <x v="0"/>
    <x v="0"/>
    <n v="0"/>
    <n v="205.9"/>
    <n v="96"/>
    <n v="35"/>
    <n v="257.10000000000002"/>
    <n v="94"/>
    <n v="21.85"/>
    <n v="209"/>
    <n v="63"/>
    <n v="9.4"/>
    <n v="12.1"/>
    <n v="8"/>
    <n v="3.27"/>
    <x v="3"/>
    <x v="0"/>
    <n v="684.1"/>
    <n v="69.52000000000001"/>
    <n v="261"/>
    <x v="0"/>
    <x v="0"/>
    <x v="0"/>
    <x v="0"/>
    <x v="0"/>
    <x v="0"/>
  </r>
  <r>
    <x v="39"/>
    <n v="102"/>
    <x v="1"/>
    <x v="0"/>
    <x v="0"/>
    <n v="0"/>
    <n v="186.8"/>
    <n v="92"/>
    <n v="31.76"/>
    <n v="173.7"/>
    <n v="123"/>
    <n v="14.76"/>
    <n v="250.9"/>
    <n v="131"/>
    <n v="11.29"/>
    <n v="9.6999999999999993"/>
    <n v="4"/>
    <n v="2.62"/>
    <x v="2"/>
    <x v="0"/>
    <n v="621.1"/>
    <n v="60.430000000000007"/>
    <n v="350"/>
    <x v="2"/>
    <x v="1"/>
    <x v="1"/>
    <x v="0"/>
    <x v="0"/>
    <x v="2"/>
  </r>
  <r>
    <x v="37"/>
    <n v="164"/>
    <x v="2"/>
    <x v="0"/>
    <x v="0"/>
    <n v="0"/>
    <n v="192.1"/>
    <n v="95"/>
    <n v="32.659999999999997"/>
    <n v="249.8"/>
    <n v="94"/>
    <n v="21.23"/>
    <n v="132.6"/>
    <n v="100"/>
    <n v="5.97"/>
    <n v="7.3"/>
    <n v="3"/>
    <n v="1.97"/>
    <x v="4"/>
    <x v="0"/>
    <n v="581.79999999999995"/>
    <n v="61.83"/>
    <n v="292"/>
    <x v="2"/>
    <x v="1"/>
    <x v="1"/>
    <x v="0"/>
    <x v="0"/>
    <x v="2"/>
  </r>
  <r>
    <x v="10"/>
    <n v="125"/>
    <x v="1"/>
    <x v="0"/>
    <x v="0"/>
    <n v="0"/>
    <n v="240.7"/>
    <n v="82"/>
    <n v="40.92"/>
    <n v="269.39999999999998"/>
    <n v="85"/>
    <n v="22.9"/>
    <n v="187.1"/>
    <n v="74"/>
    <n v="8.42"/>
    <n v="10.1"/>
    <n v="3"/>
    <n v="2.73"/>
    <x v="3"/>
    <x v="1"/>
    <n v="707.3"/>
    <n v="74.97"/>
    <n v="244"/>
    <x v="0"/>
    <x v="0"/>
    <x v="0"/>
    <x v="0"/>
    <x v="0"/>
    <x v="0"/>
  </r>
  <r>
    <x v="3"/>
    <n v="209"/>
    <x v="2"/>
    <x v="0"/>
    <x v="0"/>
    <n v="0"/>
    <n v="255.1"/>
    <n v="124"/>
    <n v="43.37"/>
    <n v="230.6"/>
    <n v="110"/>
    <n v="19.600000000000001"/>
    <n v="218"/>
    <n v="69"/>
    <n v="9.81"/>
    <n v="8.5"/>
    <n v="5"/>
    <n v="2.2999999999999998"/>
    <x v="4"/>
    <x v="1"/>
    <n v="712.2"/>
    <n v="75.08"/>
    <n v="308"/>
    <x v="2"/>
    <x v="0"/>
    <x v="0"/>
    <x v="0"/>
    <x v="0"/>
    <x v="2"/>
  </r>
  <r>
    <x v="23"/>
    <n v="116"/>
    <x v="0"/>
    <x v="0"/>
    <x v="1"/>
    <n v="24"/>
    <n v="183.6"/>
    <n v="138"/>
    <n v="31.21"/>
    <n v="203.8"/>
    <n v="90"/>
    <n v="17.32"/>
    <n v="166.9"/>
    <n v="89"/>
    <n v="7.51"/>
    <n v="6"/>
    <n v="3"/>
    <n v="1.62"/>
    <x v="2"/>
    <x v="0"/>
    <n v="560.29999999999995"/>
    <n v="57.66"/>
    <n v="320"/>
    <x v="2"/>
    <x v="1"/>
    <x v="1"/>
    <x v="0"/>
    <x v="1"/>
    <x v="2"/>
  </r>
  <r>
    <x v="43"/>
    <n v="189"/>
    <x v="1"/>
    <x v="0"/>
    <x v="1"/>
    <n v="30"/>
    <n v="155.19999999999999"/>
    <n v="116"/>
    <n v="26.38"/>
    <n v="195.5"/>
    <n v="50"/>
    <n v="16.62"/>
    <n v="170.1"/>
    <n v="108"/>
    <n v="7.65"/>
    <n v="15.4"/>
    <n v="6"/>
    <n v="4.16"/>
    <x v="0"/>
    <x v="0"/>
    <n v="536.19999999999993"/>
    <n v="54.81"/>
    <n v="280"/>
    <x v="0"/>
    <x v="1"/>
    <x v="1"/>
    <x v="0"/>
    <x v="1"/>
    <x v="0"/>
  </r>
  <r>
    <x v="33"/>
    <n v="84"/>
    <x v="2"/>
    <x v="0"/>
    <x v="0"/>
    <n v="0"/>
    <n v="203.4"/>
    <n v="125"/>
    <n v="34.58"/>
    <n v="182.9"/>
    <n v="88"/>
    <n v="15.55"/>
    <n v="213.7"/>
    <n v="121"/>
    <n v="9.6199999999999992"/>
    <n v="13.8"/>
    <n v="2"/>
    <n v="3.73"/>
    <x v="0"/>
    <x v="0"/>
    <n v="613.79999999999995"/>
    <n v="63.48"/>
    <n v="336"/>
    <x v="0"/>
    <x v="1"/>
    <x v="1"/>
    <x v="0"/>
    <x v="0"/>
    <x v="0"/>
  </r>
  <r>
    <x v="42"/>
    <n v="182"/>
    <x v="1"/>
    <x v="0"/>
    <x v="0"/>
    <n v="0"/>
    <n v="279.10000000000002"/>
    <n v="124"/>
    <n v="47.45"/>
    <n v="180.5"/>
    <n v="108"/>
    <n v="15.34"/>
    <n v="217.5"/>
    <n v="104"/>
    <n v="9.7899999999999991"/>
    <n v="9.5"/>
    <n v="11"/>
    <n v="2.57"/>
    <x v="2"/>
    <x v="1"/>
    <n v="686.6"/>
    <n v="75.150000000000006"/>
    <n v="347"/>
    <x v="2"/>
    <x v="0"/>
    <x v="0"/>
    <x v="0"/>
    <x v="0"/>
    <x v="2"/>
  </r>
  <r>
    <x v="4"/>
    <n v="171"/>
    <x v="2"/>
    <x v="0"/>
    <x v="0"/>
    <n v="0"/>
    <n v="189.8"/>
    <n v="122"/>
    <n v="32.270000000000003"/>
    <n v="173.7"/>
    <n v="85"/>
    <n v="14.76"/>
    <n v="257.10000000000002"/>
    <n v="84"/>
    <n v="11.57"/>
    <n v="10.3"/>
    <n v="1"/>
    <n v="2.78"/>
    <x v="3"/>
    <x v="0"/>
    <n v="630.9"/>
    <n v="61.38"/>
    <n v="292"/>
    <x v="0"/>
    <x v="1"/>
    <x v="1"/>
    <x v="0"/>
    <x v="0"/>
    <x v="0"/>
  </r>
  <r>
    <x v="36"/>
    <n v="90"/>
    <x v="1"/>
    <x v="0"/>
    <x v="0"/>
    <n v="0"/>
    <n v="198.5"/>
    <n v="124"/>
    <n v="33.75"/>
    <n v="266.60000000000002"/>
    <n v="100"/>
    <n v="22.66"/>
    <n v="243.3"/>
    <n v="80"/>
    <n v="10.95"/>
    <n v="8"/>
    <n v="7"/>
    <n v="2.16"/>
    <x v="2"/>
    <x v="0"/>
    <n v="716.40000000000009"/>
    <n v="69.52"/>
    <n v="311"/>
    <x v="2"/>
    <x v="0"/>
    <x v="0"/>
    <x v="0"/>
    <x v="0"/>
    <x v="2"/>
  </r>
  <r>
    <x v="22"/>
    <n v="117"/>
    <x v="2"/>
    <x v="0"/>
    <x v="0"/>
    <n v="0"/>
    <n v="158.69999999999999"/>
    <n v="84"/>
    <n v="26.98"/>
    <n v="181.7"/>
    <n v="91"/>
    <n v="15.44"/>
    <n v="177.3"/>
    <n v="67"/>
    <n v="7.98"/>
    <n v="7.7"/>
    <n v="10"/>
    <n v="2.08"/>
    <x v="2"/>
    <x v="0"/>
    <n v="525.40000000000009"/>
    <n v="52.480000000000004"/>
    <n v="252"/>
    <x v="2"/>
    <x v="2"/>
    <x v="2"/>
    <x v="0"/>
    <x v="0"/>
    <x v="2"/>
  </r>
  <r>
    <x v="30"/>
    <n v="186"/>
    <x v="2"/>
    <x v="0"/>
    <x v="0"/>
    <n v="0"/>
    <n v="137.80000000000001"/>
    <n v="97"/>
    <n v="23.43"/>
    <n v="187.7"/>
    <n v="118"/>
    <n v="15.95"/>
    <n v="146.4"/>
    <n v="85"/>
    <n v="6.59"/>
    <n v="8.6999999999999993"/>
    <n v="6"/>
    <n v="2.35"/>
    <x v="0"/>
    <x v="0"/>
    <n v="480.59999999999997"/>
    <n v="48.32"/>
    <n v="306"/>
    <x v="0"/>
    <x v="2"/>
    <x v="2"/>
    <x v="0"/>
    <x v="0"/>
    <x v="0"/>
  </r>
  <r>
    <x v="5"/>
    <n v="55"/>
    <x v="0"/>
    <x v="0"/>
    <x v="1"/>
    <n v="39"/>
    <n v="139.30000000000001"/>
    <n v="101"/>
    <n v="23.68"/>
    <n v="178.3"/>
    <n v="117"/>
    <n v="15.16"/>
    <n v="246.5"/>
    <n v="104"/>
    <n v="11.09"/>
    <n v="8.1"/>
    <n v="1"/>
    <n v="2.19"/>
    <x v="4"/>
    <x v="0"/>
    <n v="572.20000000000005"/>
    <n v="52.12"/>
    <n v="323"/>
    <x v="2"/>
    <x v="1"/>
    <x v="2"/>
    <x v="0"/>
    <x v="1"/>
    <x v="2"/>
  </r>
  <r>
    <x v="9"/>
    <n v="74"/>
    <x v="0"/>
    <x v="0"/>
    <x v="0"/>
    <n v="0"/>
    <n v="177.4"/>
    <n v="136"/>
    <n v="30.16"/>
    <n v="240.3"/>
    <n v="104"/>
    <n v="20.43"/>
    <n v="237.3"/>
    <n v="133"/>
    <n v="10.68"/>
    <n v="12"/>
    <n v="3"/>
    <n v="3.24"/>
    <x v="3"/>
    <x v="0"/>
    <n v="667"/>
    <n v="64.510000000000005"/>
    <n v="376"/>
    <x v="0"/>
    <x v="0"/>
    <x v="1"/>
    <x v="0"/>
    <x v="0"/>
    <x v="0"/>
  </r>
  <r>
    <x v="1"/>
    <n v="130"/>
    <x v="0"/>
    <x v="0"/>
    <x v="0"/>
    <n v="0"/>
    <n v="115.6"/>
    <n v="129"/>
    <n v="19.649999999999999"/>
    <n v="167.8"/>
    <n v="104"/>
    <n v="14.26"/>
    <n v="141.80000000000001"/>
    <n v="124"/>
    <n v="6.38"/>
    <n v="12.6"/>
    <n v="9"/>
    <n v="3.4"/>
    <x v="0"/>
    <x v="0"/>
    <n v="437.8"/>
    <n v="43.69"/>
    <n v="366"/>
    <x v="0"/>
    <x v="2"/>
    <x v="2"/>
    <x v="0"/>
    <x v="0"/>
    <x v="0"/>
  </r>
  <r>
    <x v="39"/>
    <n v="80"/>
    <x v="0"/>
    <x v="0"/>
    <x v="0"/>
    <n v="0"/>
    <n v="51.5"/>
    <n v="90"/>
    <n v="8.76"/>
    <n v="164"/>
    <n v="98"/>
    <n v="13.94"/>
    <n v="169.4"/>
    <n v="80"/>
    <n v="7.62"/>
    <n v="9.5"/>
    <n v="4"/>
    <n v="2.57"/>
    <x v="4"/>
    <x v="0"/>
    <n v="394.4"/>
    <n v="32.89"/>
    <n v="272"/>
    <x v="2"/>
    <x v="2"/>
    <x v="2"/>
    <x v="0"/>
    <x v="0"/>
    <x v="2"/>
  </r>
  <r>
    <x v="27"/>
    <n v="120"/>
    <x v="1"/>
    <x v="0"/>
    <x v="0"/>
    <n v="0"/>
    <n v="131.69999999999999"/>
    <n v="99"/>
    <n v="22.39"/>
    <n v="163.1"/>
    <n v="109"/>
    <n v="13.86"/>
    <n v="201.1"/>
    <n v="116"/>
    <n v="9.0500000000000007"/>
    <n v="10.7"/>
    <n v="3"/>
    <n v="2.89"/>
    <x v="0"/>
    <x v="0"/>
    <n v="506.59999999999997"/>
    <n v="48.19"/>
    <n v="327"/>
    <x v="0"/>
    <x v="2"/>
    <x v="2"/>
    <x v="0"/>
    <x v="0"/>
    <x v="0"/>
  </r>
  <r>
    <x v="23"/>
    <n v="84"/>
    <x v="0"/>
    <x v="0"/>
    <x v="1"/>
    <n v="30"/>
    <n v="106.5"/>
    <n v="65"/>
    <n v="18.11"/>
    <n v="225.7"/>
    <n v="108"/>
    <n v="19.18"/>
    <n v="188.6"/>
    <n v="61"/>
    <n v="8.49"/>
    <n v="5.7"/>
    <n v="3"/>
    <n v="1.54"/>
    <x v="2"/>
    <x v="0"/>
    <n v="526.5"/>
    <n v="47.32"/>
    <n v="237"/>
    <x v="2"/>
    <x v="2"/>
    <x v="2"/>
    <x v="0"/>
    <x v="1"/>
    <x v="2"/>
  </r>
  <r>
    <x v="42"/>
    <n v="134"/>
    <x v="2"/>
    <x v="0"/>
    <x v="1"/>
    <n v="34"/>
    <n v="247.2"/>
    <n v="105"/>
    <n v="42.02"/>
    <n v="225.5"/>
    <n v="133"/>
    <n v="19.170000000000002"/>
    <n v="186.3"/>
    <n v="76"/>
    <n v="8.3800000000000008"/>
    <n v="6.1"/>
    <n v="5"/>
    <n v="1.65"/>
    <x v="2"/>
    <x v="1"/>
    <n v="665.1"/>
    <n v="71.22"/>
    <n v="319"/>
    <x v="2"/>
    <x v="0"/>
    <x v="0"/>
    <x v="0"/>
    <x v="1"/>
    <x v="2"/>
  </r>
  <r>
    <x v="11"/>
    <n v="68"/>
    <x v="1"/>
    <x v="0"/>
    <x v="0"/>
    <n v="0"/>
    <n v="158.80000000000001"/>
    <n v="119"/>
    <n v="27"/>
    <n v="211.8"/>
    <n v="105"/>
    <n v="18"/>
    <n v="198.1"/>
    <n v="101"/>
    <n v="8.91"/>
    <n v="10.3"/>
    <n v="3"/>
    <n v="2.78"/>
    <x v="0"/>
    <x v="0"/>
    <n v="579"/>
    <n v="56.69"/>
    <n v="328"/>
    <x v="0"/>
    <x v="1"/>
    <x v="1"/>
    <x v="0"/>
    <x v="0"/>
    <x v="0"/>
  </r>
  <r>
    <x v="43"/>
    <n v="119"/>
    <x v="0"/>
    <x v="0"/>
    <x v="0"/>
    <n v="0"/>
    <n v="239.1"/>
    <n v="88"/>
    <n v="40.65"/>
    <n v="243.5"/>
    <n v="79"/>
    <n v="20.7"/>
    <n v="230.9"/>
    <n v="92"/>
    <n v="10.39"/>
    <n v="10.9"/>
    <n v="3"/>
    <n v="2.94"/>
    <x v="4"/>
    <x v="1"/>
    <n v="724.4"/>
    <n v="74.680000000000007"/>
    <n v="262"/>
    <x v="2"/>
    <x v="0"/>
    <x v="0"/>
    <x v="0"/>
    <x v="0"/>
    <x v="2"/>
  </r>
  <r>
    <x v="30"/>
    <n v="166"/>
    <x v="1"/>
    <x v="1"/>
    <x v="1"/>
    <n v="28"/>
    <n v="175.8"/>
    <n v="126"/>
    <n v="29.89"/>
    <n v="253.6"/>
    <n v="76"/>
    <n v="21.56"/>
    <n v="128.5"/>
    <n v="72"/>
    <n v="5.78"/>
    <n v="11.4"/>
    <n v="5"/>
    <n v="3.08"/>
    <x v="0"/>
    <x v="0"/>
    <n v="569.29999999999995"/>
    <n v="60.31"/>
    <n v="279"/>
    <x v="0"/>
    <x v="1"/>
    <x v="1"/>
    <x v="1"/>
    <x v="1"/>
    <x v="0"/>
  </r>
  <r>
    <x v="23"/>
    <n v="90"/>
    <x v="1"/>
    <x v="0"/>
    <x v="1"/>
    <n v="42"/>
    <n v="193.3"/>
    <n v="66"/>
    <n v="32.86"/>
    <n v="263.3"/>
    <n v="85"/>
    <n v="22.38"/>
    <n v="214.4"/>
    <n v="97"/>
    <n v="9.65"/>
    <n v="11.1"/>
    <n v="4"/>
    <n v="3"/>
    <x v="3"/>
    <x v="0"/>
    <n v="682.1"/>
    <n v="67.89"/>
    <n v="252"/>
    <x v="0"/>
    <x v="0"/>
    <x v="0"/>
    <x v="0"/>
    <x v="1"/>
    <x v="0"/>
  </r>
  <r>
    <x v="16"/>
    <n v="82"/>
    <x v="1"/>
    <x v="0"/>
    <x v="1"/>
    <n v="33"/>
    <n v="137.80000000000001"/>
    <n v="95"/>
    <n v="23.43"/>
    <n v="235.5"/>
    <n v="128"/>
    <n v="20.02"/>
    <n v="268.10000000000002"/>
    <n v="70"/>
    <n v="12.06"/>
    <n v="11"/>
    <n v="6"/>
    <n v="2.97"/>
    <x v="2"/>
    <x v="0"/>
    <n v="652.40000000000009"/>
    <n v="58.48"/>
    <n v="299"/>
    <x v="2"/>
    <x v="1"/>
    <x v="1"/>
    <x v="0"/>
    <x v="1"/>
    <x v="2"/>
  </r>
  <r>
    <x v="7"/>
    <n v="130"/>
    <x v="1"/>
    <x v="0"/>
    <x v="0"/>
    <n v="0"/>
    <n v="263.7"/>
    <n v="113"/>
    <n v="44.83"/>
    <n v="186.5"/>
    <n v="103"/>
    <n v="15.85"/>
    <n v="195.3"/>
    <n v="99"/>
    <n v="8.7899999999999991"/>
    <n v="18.3"/>
    <n v="6"/>
    <n v="4.9400000000000004"/>
    <x v="0"/>
    <x v="1"/>
    <n v="663.8"/>
    <n v="74.41"/>
    <n v="321"/>
    <x v="0"/>
    <x v="0"/>
    <x v="0"/>
    <x v="0"/>
    <x v="0"/>
    <x v="0"/>
  </r>
  <r>
    <x v="26"/>
    <n v="130"/>
    <x v="0"/>
    <x v="0"/>
    <x v="0"/>
    <n v="0"/>
    <n v="252"/>
    <n v="101"/>
    <n v="42.84"/>
    <n v="170.2"/>
    <n v="105"/>
    <n v="14.47"/>
    <n v="209.2"/>
    <n v="64"/>
    <n v="9.41"/>
    <n v="5.7"/>
    <n v="5"/>
    <n v="1.54"/>
    <x v="3"/>
    <x v="0"/>
    <n v="637.1"/>
    <n v="68.260000000000005"/>
    <n v="275"/>
    <x v="0"/>
    <x v="1"/>
    <x v="0"/>
    <x v="0"/>
    <x v="0"/>
    <x v="0"/>
  </r>
  <r>
    <x v="35"/>
    <n v="155"/>
    <x v="0"/>
    <x v="1"/>
    <x v="0"/>
    <n v="0"/>
    <n v="163.1"/>
    <n v="94"/>
    <n v="27.73"/>
    <n v="291.7"/>
    <n v="108"/>
    <n v="24.79"/>
    <n v="96.4"/>
    <n v="111"/>
    <n v="4.34"/>
    <n v="11.2"/>
    <n v="3"/>
    <n v="3.02"/>
    <x v="3"/>
    <x v="0"/>
    <n v="562.4"/>
    <n v="59.879999999999995"/>
    <n v="316"/>
    <x v="0"/>
    <x v="1"/>
    <x v="1"/>
    <x v="1"/>
    <x v="0"/>
    <x v="0"/>
  </r>
  <r>
    <x v="25"/>
    <n v="81"/>
    <x v="1"/>
    <x v="0"/>
    <x v="0"/>
    <n v="0"/>
    <n v="324.7"/>
    <n v="48"/>
    <n v="55.2"/>
    <n v="236.4"/>
    <n v="82"/>
    <n v="20.09"/>
    <n v="187.6"/>
    <n v="78"/>
    <n v="8.44"/>
    <n v="13.1"/>
    <n v="5"/>
    <n v="3.54"/>
    <x v="3"/>
    <x v="1"/>
    <n v="761.80000000000007"/>
    <n v="87.27000000000001"/>
    <n v="213"/>
    <x v="0"/>
    <x v="0"/>
    <x v="0"/>
    <x v="0"/>
    <x v="0"/>
    <x v="0"/>
  </r>
  <r>
    <x v="31"/>
    <n v="75"/>
    <x v="0"/>
    <x v="0"/>
    <x v="0"/>
    <n v="0"/>
    <n v="203.3"/>
    <n v="70"/>
    <n v="34.56"/>
    <n v="228.9"/>
    <n v="97"/>
    <n v="19.46"/>
    <n v="222.2"/>
    <n v="118"/>
    <n v="10"/>
    <n v="14.3"/>
    <n v="3"/>
    <n v="3.86"/>
    <x v="0"/>
    <x v="0"/>
    <n v="668.7"/>
    <n v="67.88"/>
    <n v="288"/>
    <x v="0"/>
    <x v="0"/>
    <x v="0"/>
    <x v="0"/>
    <x v="0"/>
    <x v="0"/>
  </r>
  <r>
    <x v="24"/>
    <n v="178"/>
    <x v="1"/>
    <x v="0"/>
    <x v="1"/>
    <n v="35"/>
    <n v="175.4"/>
    <n v="88"/>
    <n v="29.82"/>
    <n v="190"/>
    <n v="65"/>
    <n v="16.149999999999999"/>
    <n v="138.69999999999999"/>
    <n v="94"/>
    <n v="6.24"/>
    <n v="10.5"/>
    <n v="3"/>
    <n v="2.84"/>
    <x v="2"/>
    <x v="0"/>
    <n v="514.59999999999991"/>
    <n v="55.05"/>
    <n v="250"/>
    <x v="2"/>
    <x v="2"/>
    <x v="1"/>
    <x v="0"/>
    <x v="1"/>
    <x v="2"/>
  </r>
  <r>
    <x v="3"/>
    <n v="112"/>
    <x v="1"/>
    <x v="0"/>
    <x v="0"/>
    <n v="0"/>
    <n v="266"/>
    <n v="97"/>
    <n v="45.22"/>
    <n v="214.6"/>
    <n v="94"/>
    <n v="18.239999999999998"/>
    <n v="306.2"/>
    <n v="100"/>
    <n v="13.78"/>
    <n v="14.2"/>
    <n v="2"/>
    <n v="3.83"/>
    <x v="2"/>
    <x v="1"/>
    <n v="801"/>
    <n v="81.069999999999993"/>
    <n v="293"/>
    <x v="2"/>
    <x v="0"/>
    <x v="0"/>
    <x v="0"/>
    <x v="0"/>
    <x v="2"/>
  </r>
  <r>
    <x v="16"/>
    <n v="100"/>
    <x v="2"/>
    <x v="0"/>
    <x v="0"/>
    <n v="0"/>
    <n v="78.7"/>
    <n v="98"/>
    <n v="13.38"/>
    <n v="225.6"/>
    <n v="102"/>
    <n v="19.18"/>
    <n v="150.4"/>
    <n v="106"/>
    <n v="6.77"/>
    <n v="14"/>
    <n v="8"/>
    <n v="3.78"/>
    <x v="3"/>
    <x v="0"/>
    <n v="468.70000000000005"/>
    <n v="43.11"/>
    <n v="314"/>
    <x v="0"/>
    <x v="2"/>
    <x v="2"/>
    <x v="0"/>
    <x v="0"/>
    <x v="0"/>
  </r>
  <r>
    <x v="44"/>
    <n v="104"/>
    <x v="1"/>
    <x v="0"/>
    <x v="0"/>
    <n v="0"/>
    <n v="225.9"/>
    <n v="123"/>
    <n v="38.4"/>
    <n v="162.80000000000001"/>
    <n v="106"/>
    <n v="13.84"/>
    <n v="272.10000000000002"/>
    <n v="85"/>
    <n v="12.24"/>
    <n v="10.1"/>
    <n v="4"/>
    <n v="2.73"/>
    <x v="0"/>
    <x v="0"/>
    <n v="670.90000000000009"/>
    <n v="67.210000000000008"/>
    <n v="318"/>
    <x v="0"/>
    <x v="0"/>
    <x v="0"/>
    <x v="0"/>
    <x v="0"/>
    <x v="0"/>
  </r>
  <r>
    <x v="2"/>
    <n v="160"/>
    <x v="0"/>
    <x v="0"/>
    <x v="0"/>
    <n v="0"/>
    <n v="216.8"/>
    <n v="77"/>
    <n v="36.86"/>
    <n v="207.3"/>
    <n v="117"/>
    <n v="17.62"/>
    <n v="228.6"/>
    <n v="117"/>
    <n v="10.29"/>
    <n v="5.6"/>
    <n v="2"/>
    <n v="1.51"/>
    <x v="0"/>
    <x v="0"/>
    <n v="658.30000000000007"/>
    <n v="66.28"/>
    <n v="313"/>
    <x v="0"/>
    <x v="0"/>
    <x v="0"/>
    <x v="0"/>
    <x v="0"/>
    <x v="0"/>
  </r>
  <r>
    <x v="44"/>
    <n v="87"/>
    <x v="1"/>
    <x v="0"/>
    <x v="0"/>
    <n v="0"/>
    <n v="58"/>
    <n v="125"/>
    <n v="9.86"/>
    <n v="67.5"/>
    <n v="116"/>
    <n v="5.74"/>
    <n v="185.9"/>
    <n v="136"/>
    <n v="8.3699999999999992"/>
    <n v="11.5"/>
    <n v="3"/>
    <n v="3.11"/>
    <x v="3"/>
    <x v="0"/>
    <n v="322.89999999999998"/>
    <n v="27.08"/>
    <n v="380"/>
    <x v="0"/>
    <x v="2"/>
    <x v="2"/>
    <x v="0"/>
    <x v="0"/>
    <x v="0"/>
  </r>
  <r>
    <x v="24"/>
    <n v="81"/>
    <x v="1"/>
    <x v="0"/>
    <x v="0"/>
    <n v="0"/>
    <n v="173.2"/>
    <n v="80"/>
    <n v="29.44"/>
    <n v="236.2"/>
    <n v="94"/>
    <n v="20.079999999999998"/>
    <n v="240.2"/>
    <n v="84"/>
    <n v="10.81"/>
    <n v="11.8"/>
    <n v="6"/>
    <n v="3.19"/>
    <x v="2"/>
    <x v="0"/>
    <n v="661.39999999999986"/>
    <n v="63.519999999999996"/>
    <n v="264"/>
    <x v="2"/>
    <x v="0"/>
    <x v="1"/>
    <x v="0"/>
    <x v="0"/>
    <x v="2"/>
  </r>
  <r>
    <x v="40"/>
    <n v="28"/>
    <x v="1"/>
    <x v="0"/>
    <x v="0"/>
    <n v="0"/>
    <n v="236.8"/>
    <n v="102"/>
    <n v="40.26"/>
    <n v="167.1"/>
    <n v="87"/>
    <n v="14.2"/>
    <n v="280.2"/>
    <n v="115"/>
    <n v="12.61"/>
    <n v="9.6999999999999993"/>
    <n v="3"/>
    <n v="2.62"/>
    <x v="4"/>
    <x v="0"/>
    <n v="693.8"/>
    <n v="69.69"/>
    <n v="307"/>
    <x v="2"/>
    <x v="0"/>
    <x v="0"/>
    <x v="0"/>
    <x v="0"/>
    <x v="2"/>
  </r>
  <r>
    <x v="9"/>
    <n v="95"/>
    <x v="0"/>
    <x v="0"/>
    <x v="0"/>
    <n v="0"/>
    <n v="237.3"/>
    <n v="83"/>
    <n v="40.340000000000003"/>
    <n v="154"/>
    <n v="65"/>
    <n v="13.09"/>
    <n v="237"/>
    <n v="105"/>
    <n v="10.67"/>
    <n v="11.2"/>
    <n v="6"/>
    <n v="3.02"/>
    <x v="0"/>
    <x v="0"/>
    <n v="639.5"/>
    <n v="67.12"/>
    <n v="259"/>
    <x v="0"/>
    <x v="1"/>
    <x v="0"/>
    <x v="0"/>
    <x v="0"/>
    <x v="0"/>
  </r>
  <r>
    <x v="42"/>
    <n v="35"/>
    <x v="0"/>
    <x v="0"/>
    <x v="0"/>
    <n v="0"/>
    <n v="158.6"/>
    <n v="67"/>
    <n v="26.96"/>
    <n v="130.4"/>
    <n v="96"/>
    <n v="11.08"/>
    <n v="229.8"/>
    <n v="80"/>
    <n v="10.34"/>
    <n v="6.9"/>
    <n v="5"/>
    <n v="1.86"/>
    <x v="2"/>
    <x v="0"/>
    <n v="525.69999999999993"/>
    <n v="50.24"/>
    <n v="248"/>
    <x v="2"/>
    <x v="2"/>
    <x v="2"/>
    <x v="0"/>
    <x v="0"/>
    <x v="2"/>
  </r>
  <r>
    <x v="28"/>
    <n v="134"/>
    <x v="2"/>
    <x v="0"/>
    <x v="0"/>
    <n v="0"/>
    <n v="296"/>
    <n v="93"/>
    <n v="50.32"/>
    <n v="226.4"/>
    <n v="117"/>
    <n v="19.239999999999998"/>
    <n v="246.8"/>
    <n v="98"/>
    <n v="11.11"/>
    <n v="12.3"/>
    <n v="10"/>
    <n v="3.32"/>
    <x v="3"/>
    <x v="1"/>
    <n v="781.5"/>
    <n v="83.990000000000009"/>
    <n v="318"/>
    <x v="0"/>
    <x v="0"/>
    <x v="0"/>
    <x v="0"/>
    <x v="0"/>
    <x v="0"/>
  </r>
  <r>
    <x v="47"/>
    <n v="185"/>
    <x v="1"/>
    <x v="0"/>
    <x v="1"/>
    <n v="19"/>
    <n v="157.30000000000001"/>
    <n v="123"/>
    <n v="26.74"/>
    <n v="257.7"/>
    <n v="94"/>
    <n v="21.9"/>
    <n v="190.4"/>
    <n v="107"/>
    <n v="8.57"/>
    <n v="9.6"/>
    <n v="6"/>
    <n v="2.59"/>
    <x v="3"/>
    <x v="0"/>
    <n v="615"/>
    <n v="59.8"/>
    <n v="330"/>
    <x v="0"/>
    <x v="1"/>
    <x v="1"/>
    <x v="0"/>
    <x v="1"/>
    <x v="0"/>
  </r>
  <r>
    <x v="45"/>
    <n v="85"/>
    <x v="0"/>
    <x v="0"/>
    <x v="0"/>
    <n v="0"/>
    <n v="144.4"/>
    <n v="88"/>
    <n v="24.55"/>
    <n v="264.60000000000002"/>
    <n v="105"/>
    <n v="22.49"/>
    <n v="185.4"/>
    <n v="94"/>
    <n v="8.34"/>
    <n v="9.9"/>
    <n v="3"/>
    <n v="2.67"/>
    <x v="0"/>
    <x v="0"/>
    <n v="604.29999999999995"/>
    <n v="58.05"/>
    <n v="290"/>
    <x v="0"/>
    <x v="1"/>
    <x v="1"/>
    <x v="0"/>
    <x v="0"/>
    <x v="0"/>
  </r>
  <r>
    <x v="48"/>
    <n v="148"/>
    <x v="1"/>
    <x v="0"/>
    <x v="1"/>
    <n v="36"/>
    <n v="77.599999999999994"/>
    <n v="141"/>
    <n v="13.19"/>
    <n v="207"/>
    <n v="60"/>
    <n v="17.600000000000001"/>
    <n v="255.7"/>
    <n v="115"/>
    <n v="11.51"/>
    <n v="10.9"/>
    <n v="2"/>
    <n v="2.94"/>
    <x v="0"/>
    <x v="0"/>
    <n v="551.19999999999993"/>
    <n v="45.239999999999995"/>
    <n v="318"/>
    <x v="0"/>
    <x v="1"/>
    <x v="2"/>
    <x v="0"/>
    <x v="1"/>
    <x v="0"/>
  </r>
  <r>
    <x v="34"/>
    <n v="134"/>
    <x v="0"/>
    <x v="0"/>
    <x v="1"/>
    <n v="32"/>
    <n v="80.3"/>
    <n v="94"/>
    <n v="13.65"/>
    <n v="199.9"/>
    <n v="124"/>
    <n v="16.989999999999998"/>
    <n v="170.8"/>
    <n v="117"/>
    <n v="7.69"/>
    <n v="16.600000000000001"/>
    <n v="3"/>
    <n v="4.4800000000000004"/>
    <x v="3"/>
    <x v="0"/>
    <n v="467.6"/>
    <n v="42.81"/>
    <n v="338"/>
    <x v="0"/>
    <x v="2"/>
    <x v="2"/>
    <x v="0"/>
    <x v="1"/>
    <x v="0"/>
  </r>
  <r>
    <x v="13"/>
    <n v="80"/>
    <x v="0"/>
    <x v="0"/>
    <x v="1"/>
    <n v="36"/>
    <n v="190.3"/>
    <n v="115"/>
    <n v="32.35"/>
    <n v="256.60000000000002"/>
    <n v="78"/>
    <n v="21.81"/>
    <n v="214.9"/>
    <n v="145"/>
    <n v="9.67"/>
    <n v="3.8"/>
    <n v="4"/>
    <n v="1.03"/>
    <x v="0"/>
    <x v="0"/>
    <n v="665.6"/>
    <n v="64.86"/>
    <n v="342"/>
    <x v="0"/>
    <x v="0"/>
    <x v="1"/>
    <x v="0"/>
    <x v="1"/>
    <x v="0"/>
  </r>
  <r>
    <x v="20"/>
    <n v="165"/>
    <x v="2"/>
    <x v="0"/>
    <x v="0"/>
    <n v="0"/>
    <n v="209.4"/>
    <n v="67"/>
    <n v="35.6"/>
    <n v="273.8"/>
    <n v="89"/>
    <n v="23.27"/>
    <n v="150.19999999999999"/>
    <n v="88"/>
    <n v="6.76"/>
    <n v="12.8"/>
    <n v="1"/>
    <n v="3.46"/>
    <x v="3"/>
    <x v="0"/>
    <n v="646.20000000000005"/>
    <n v="69.09"/>
    <n v="245"/>
    <x v="0"/>
    <x v="1"/>
    <x v="0"/>
    <x v="0"/>
    <x v="0"/>
    <x v="0"/>
  </r>
  <r>
    <x v="30"/>
    <n v="65"/>
    <x v="1"/>
    <x v="0"/>
    <x v="1"/>
    <n v="34"/>
    <n v="208.8"/>
    <n v="119"/>
    <n v="35.5"/>
    <n v="142.1"/>
    <n v="106"/>
    <n v="12.08"/>
    <n v="214.6"/>
    <n v="87"/>
    <n v="9.66"/>
    <n v="12.5"/>
    <n v="4"/>
    <n v="3.38"/>
    <x v="1"/>
    <x v="0"/>
    <n v="578"/>
    <n v="60.62"/>
    <n v="316"/>
    <x v="1"/>
    <x v="1"/>
    <x v="1"/>
    <x v="0"/>
    <x v="1"/>
    <x v="1"/>
  </r>
  <r>
    <x v="33"/>
    <n v="104"/>
    <x v="1"/>
    <x v="0"/>
    <x v="0"/>
    <n v="0"/>
    <n v="113.6"/>
    <n v="87"/>
    <n v="19.309999999999999"/>
    <n v="158.6"/>
    <n v="98"/>
    <n v="13.48"/>
    <n v="187.7"/>
    <n v="87"/>
    <n v="8.4499999999999993"/>
    <n v="10.5"/>
    <n v="6"/>
    <n v="2.84"/>
    <x v="2"/>
    <x v="0"/>
    <n v="470.4"/>
    <n v="44.08"/>
    <n v="278"/>
    <x v="2"/>
    <x v="2"/>
    <x v="2"/>
    <x v="0"/>
    <x v="0"/>
    <x v="2"/>
  </r>
  <r>
    <x v="37"/>
    <n v="44"/>
    <x v="1"/>
    <x v="0"/>
    <x v="0"/>
    <n v="0"/>
    <n v="202.6"/>
    <n v="89"/>
    <n v="34.44"/>
    <n v="163"/>
    <n v="96"/>
    <n v="13.86"/>
    <n v="268.10000000000002"/>
    <n v="151"/>
    <n v="12.06"/>
    <n v="8.3000000000000007"/>
    <n v="3"/>
    <n v="2.2400000000000002"/>
    <x v="3"/>
    <x v="0"/>
    <n v="642"/>
    <n v="62.599999999999994"/>
    <n v="339"/>
    <x v="0"/>
    <x v="1"/>
    <x v="1"/>
    <x v="0"/>
    <x v="0"/>
    <x v="0"/>
  </r>
  <r>
    <x v="20"/>
    <n v="162"/>
    <x v="1"/>
    <x v="0"/>
    <x v="0"/>
    <n v="0"/>
    <n v="135.19999999999999"/>
    <n v="98"/>
    <n v="22.98"/>
    <n v="242"/>
    <n v="107"/>
    <n v="20.57"/>
    <n v="246.9"/>
    <n v="96"/>
    <n v="11.11"/>
    <n v="10.199999999999999"/>
    <n v="2"/>
    <n v="2.75"/>
    <x v="2"/>
    <x v="0"/>
    <n v="634.30000000000007"/>
    <n v="57.41"/>
    <n v="303"/>
    <x v="2"/>
    <x v="1"/>
    <x v="1"/>
    <x v="0"/>
    <x v="0"/>
    <x v="2"/>
  </r>
  <r>
    <x v="18"/>
    <n v="96"/>
    <x v="1"/>
    <x v="0"/>
    <x v="0"/>
    <n v="0"/>
    <n v="276.89999999999998"/>
    <n v="105"/>
    <n v="47.07"/>
    <n v="246.9"/>
    <n v="94"/>
    <n v="20.99"/>
    <n v="254.4"/>
    <n v="107"/>
    <n v="11.45"/>
    <n v="10.3"/>
    <n v="3"/>
    <n v="2.78"/>
    <x v="0"/>
    <x v="1"/>
    <n v="788.49999999999989"/>
    <n v="82.289999999999992"/>
    <n v="309"/>
    <x v="0"/>
    <x v="0"/>
    <x v="0"/>
    <x v="0"/>
    <x v="0"/>
    <x v="0"/>
  </r>
  <r>
    <x v="1"/>
    <n v="72"/>
    <x v="2"/>
    <x v="0"/>
    <x v="0"/>
    <n v="0"/>
    <n v="287.39999999999998"/>
    <n v="116"/>
    <n v="48.86"/>
    <n v="235.3"/>
    <n v="126"/>
    <n v="20"/>
    <n v="292.10000000000002"/>
    <n v="114"/>
    <n v="13.14"/>
    <n v="5"/>
    <n v="3"/>
    <n v="1.35"/>
    <x v="1"/>
    <x v="1"/>
    <n v="819.80000000000007"/>
    <n v="83.35"/>
    <n v="359"/>
    <x v="1"/>
    <x v="0"/>
    <x v="0"/>
    <x v="0"/>
    <x v="0"/>
    <x v="1"/>
  </r>
  <r>
    <x v="19"/>
    <n v="31"/>
    <x v="1"/>
    <x v="0"/>
    <x v="0"/>
    <n v="0"/>
    <n v="97.5"/>
    <n v="129"/>
    <n v="16.579999999999998"/>
    <n v="260.39999999999998"/>
    <n v="78"/>
    <n v="22.13"/>
    <n v="88.7"/>
    <n v="100"/>
    <n v="3.99"/>
    <n v="7"/>
    <n v="5"/>
    <n v="1.89"/>
    <x v="0"/>
    <x v="0"/>
    <n v="453.59999999999997"/>
    <n v="44.589999999999996"/>
    <n v="312"/>
    <x v="0"/>
    <x v="2"/>
    <x v="2"/>
    <x v="0"/>
    <x v="0"/>
    <x v="0"/>
  </r>
  <r>
    <x v="22"/>
    <n v="72"/>
    <x v="1"/>
    <x v="0"/>
    <x v="0"/>
    <n v="0"/>
    <n v="166.5"/>
    <n v="102"/>
    <n v="28.31"/>
    <n v="261"/>
    <n v="103"/>
    <n v="22.19"/>
    <n v="262.7"/>
    <n v="85"/>
    <n v="11.82"/>
    <n v="13.3"/>
    <n v="5"/>
    <n v="3.59"/>
    <x v="3"/>
    <x v="0"/>
    <n v="703.5"/>
    <n v="65.91"/>
    <n v="295"/>
    <x v="0"/>
    <x v="0"/>
    <x v="0"/>
    <x v="0"/>
    <x v="0"/>
    <x v="0"/>
  </r>
  <r>
    <x v="45"/>
    <n v="136"/>
    <x v="0"/>
    <x v="0"/>
    <x v="0"/>
    <n v="0"/>
    <n v="102.1"/>
    <n v="75"/>
    <n v="17.36"/>
    <n v="219.5"/>
    <n v="97"/>
    <n v="18.66"/>
    <n v="73.7"/>
    <n v="92"/>
    <n v="3.32"/>
    <n v="9.8000000000000007"/>
    <n v="5"/>
    <n v="2.65"/>
    <x v="3"/>
    <x v="0"/>
    <n v="405.1"/>
    <n v="41.989999999999995"/>
    <n v="269"/>
    <x v="0"/>
    <x v="2"/>
    <x v="2"/>
    <x v="0"/>
    <x v="0"/>
    <x v="0"/>
  </r>
  <r>
    <x v="25"/>
    <n v="82"/>
    <x v="1"/>
    <x v="0"/>
    <x v="1"/>
    <n v="19"/>
    <n v="146.5"/>
    <n v="73"/>
    <n v="24.91"/>
    <n v="246.4"/>
    <n v="65"/>
    <n v="20.94"/>
    <n v="199"/>
    <n v="114"/>
    <n v="8.9600000000000009"/>
    <n v="4.0999999999999996"/>
    <n v="4"/>
    <n v="1.1100000000000001"/>
    <x v="0"/>
    <x v="0"/>
    <n v="596"/>
    <n v="55.92"/>
    <n v="256"/>
    <x v="0"/>
    <x v="1"/>
    <x v="1"/>
    <x v="0"/>
    <x v="1"/>
    <x v="0"/>
  </r>
  <r>
    <x v="10"/>
    <n v="155"/>
    <x v="0"/>
    <x v="1"/>
    <x v="0"/>
    <n v="0"/>
    <n v="250.8"/>
    <n v="146"/>
    <n v="42.64"/>
    <n v="152.5"/>
    <n v="105"/>
    <n v="12.96"/>
    <n v="148.1"/>
    <n v="104"/>
    <n v="6.66"/>
    <n v="10"/>
    <n v="5"/>
    <n v="2.7"/>
    <x v="2"/>
    <x v="0"/>
    <n v="561.4"/>
    <n v="64.960000000000008"/>
    <n v="360"/>
    <x v="2"/>
    <x v="1"/>
    <x v="1"/>
    <x v="1"/>
    <x v="0"/>
    <x v="2"/>
  </r>
  <r>
    <x v="50"/>
    <n v="136"/>
    <x v="1"/>
    <x v="0"/>
    <x v="0"/>
    <n v="0"/>
    <n v="163.4"/>
    <n v="83"/>
    <n v="27.78"/>
    <n v="249.3"/>
    <n v="119"/>
    <n v="21.19"/>
    <n v="249.7"/>
    <n v="90"/>
    <n v="11.24"/>
    <n v="9.8000000000000007"/>
    <n v="4"/>
    <n v="2.65"/>
    <x v="8"/>
    <x v="0"/>
    <n v="672.2"/>
    <n v="62.86"/>
    <n v="296"/>
    <x v="1"/>
    <x v="0"/>
    <x v="1"/>
    <x v="0"/>
    <x v="0"/>
    <x v="1"/>
  </r>
  <r>
    <x v="26"/>
    <n v="57"/>
    <x v="1"/>
    <x v="0"/>
    <x v="0"/>
    <n v="0"/>
    <n v="161"/>
    <n v="113"/>
    <n v="27.37"/>
    <n v="208"/>
    <n v="134"/>
    <n v="17.68"/>
    <n v="208.1"/>
    <n v="81"/>
    <n v="9.36"/>
    <n v="8.4"/>
    <n v="4"/>
    <n v="2.27"/>
    <x v="4"/>
    <x v="0"/>
    <n v="585.5"/>
    <n v="56.68"/>
    <n v="332"/>
    <x v="2"/>
    <x v="1"/>
    <x v="1"/>
    <x v="0"/>
    <x v="0"/>
    <x v="2"/>
  </r>
  <r>
    <x v="24"/>
    <n v="112"/>
    <x v="1"/>
    <x v="0"/>
    <x v="0"/>
    <n v="0"/>
    <n v="81.599999999999994"/>
    <n v="94"/>
    <n v="13.87"/>
    <n v="268.10000000000002"/>
    <n v="112"/>
    <n v="22.79"/>
    <n v="140.80000000000001"/>
    <n v="75"/>
    <n v="6.34"/>
    <n v="8.6"/>
    <n v="18"/>
    <n v="2.3199999999999998"/>
    <x v="0"/>
    <x v="0"/>
    <n v="499.10000000000008"/>
    <n v="45.32"/>
    <n v="299"/>
    <x v="0"/>
    <x v="2"/>
    <x v="2"/>
    <x v="0"/>
    <x v="0"/>
    <x v="0"/>
  </r>
  <r>
    <x v="31"/>
    <n v="95"/>
    <x v="0"/>
    <x v="0"/>
    <x v="0"/>
    <n v="0"/>
    <n v="128.6"/>
    <n v="115"/>
    <n v="21.86"/>
    <n v="216.2"/>
    <n v="88"/>
    <n v="18.38"/>
    <n v="255.3"/>
    <n v="96"/>
    <n v="11.49"/>
    <n v="6.3"/>
    <n v="2"/>
    <n v="1.7"/>
    <x v="6"/>
    <x v="1"/>
    <n v="606.39999999999986"/>
    <n v="53.43"/>
    <n v="301"/>
    <x v="1"/>
    <x v="1"/>
    <x v="2"/>
    <x v="0"/>
    <x v="0"/>
    <x v="1"/>
  </r>
  <r>
    <x v="7"/>
    <n v="113"/>
    <x v="1"/>
    <x v="0"/>
    <x v="1"/>
    <n v="30"/>
    <n v="183.8"/>
    <n v="102"/>
    <n v="31.25"/>
    <n v="183.4"/>
    <n v="123"/>
    <n v="15.59"/>
    <n v="235"/>
    <n v="52"/>
    <n v="10.58"/>
    <n v="11.6"/>
    <n v="7"/>
    <n v="3.13"/>
    <x v="3"/>
    <x v="0"/>
    <n v="613.80000000000007"/>
    <n v="60.55"/>
    <n v="284"/>
    <x v="0"/>
    <x v="1"/>
    <x v="1"/>
    <x v="0"/>
    <x v="1"/>
    <x v="0"/>
  </r>
  <r>
    <x v="9"/>
    <n v="103"/>
    <x v="1"/>
    <x v="0"/>
    <x v="0"/>
    <n v="0"/>
    <n v="180.2"/>
    <n v="134"/>
    <n v="30.63"/>
    <n v="97.7"/>
    <n v="85"/>
    <n v="8.3000000000000007"/>
    <n v="181.7"/>
    <n v="134"/>
    <n v="8.18"/>
    <n v="8.4"/>
    <n v="3"/>
    <n v="2.27"/>
    <x v="0"/>
    <x v="0"/>
    <n v="467.99999999999994"/>
    <n v="49.379999999999995"/>
    <n v="356"/>
    <x v="0"/>
    <x v="2"/>
    <x v="2"/>
    <x v="0"/>
    <x v="0"/>
    <x v="0"/>
  </r>
  <r>
    <x v="3"/>
    <n v="149"/>
    <x v="1"/>
    <x v="0"/>
    <x v="1"/>
    <n v="20"/>
    <n v="147.80000000000001"/>
    <n v="132"/>
    <n v="25.13"/>
    <n v="276.8"/>
    <n v="94"/>
    <n v="23.53"/>
    <n v="149.9"/>
    <n v="110"/>
    <n v="6.75"/>
    <n v="10.199999999999999"/>
    <n v="6"/>
    <n v="2.75"/>
    <x v="3"/>
    <x v="0"/>
    <n v="584.70000000000005"/>
    <n v="58.16"/>
    <n v="342"/>
    <x v="0"/>
    <x v="1"/>
    <x v="1"/>
    <x v="0"/>
    <x v="1"/>
    <x v="0"/>
  </r>
  <r>
    <x v="38"/>
    <n v="116"/>
    <x v="0"/>
    <x v="0"/>
    <x v="0"/>
    <n v="0"/>
    <n v="110.9"/>
    <n v="54"/>
    <n v="18.850000000000001"/>
    <n v="213.4"/>
    <n v="82"/>
    <n v="18.14"/>
    <n v="186.2"/>
    <n v="116"/>
    <n v="8.3800000000000008"/>
    <n v="7.9"/>
    <n v="2"/>
    <n v="2.13"/>
    <x v="2"/>
    <x v="0"/>
    <n v="518.4"/>
    <n v="47.5"/>
    <n v="254"/>
    <x v="2"/>
    <x v="2"/>
    <x v="2"/>
    <x v="0"/>
    <x v="0"/>
    <x v="2"/>
  </r>
  <r>
    <x v="19"/>
    <n v="95"/>
    <x v="2"/>
    <x v="0"/>
    <x v="0"/>
    <n v="0"/>
    <n v="58.2"/>
    <n v="96"/>
    <n v="9.89"/>
    <n v="202.1"/>
    <n v="126"/>
    <n v="17.18"/>
    <n v="210.5"/>
    <n v="97"/>
    <n v="9.4700000000000006"/>
    <n v="10.4"/>
    <n v="5"/>
    <n v="2.81"/>
    <x v="3"/>
    <x v="0"/>
    <n v="481.2"/>
    <n v="39.35"/>
    <n v="324"/>
    <x v="0"/>
    <x v="2"/>
    <x v="2"/>
    <x v="0"/>
    <x v="0"/>
    <x v="0"/>
  </r>
  <r>
    <x v="37"/>
    <n v="201"/>
    <x v="2"/>
    <x v="0"/>
    <x v="0"/>
    <n v="0"/>
    <n v="212.7"/>
    <n v="72"/>
    <n v="36.159999999999997"/>
    <n v="225.2"/>
    <n v="90"/>
    <n v="19.14"/>
    <n v="195.1"/>
    <n v="99"/>
    <n v="8.7799999999999994"/>
    <n v="7"/>
    <n v="6"/>
    <n v="1.89"/>
    <x v="0"/>
    <x v="0"/>
    <n v="640"/>
    <n v="65.97"/>
    <n v="267"/>
    <x v="0"/>
    <x v="1"/>
    <x v="0"/>
    <x v="0"/>
    <x v="0"/>
    <x v="0"/>
  </r>
  <r>
    <x v="4"/>
    <n v="150"/>
    <x v="1"/>
    <x v="0"/>
    <x v="0"/>
    <n v="0"/>
    <n v="214"/>
    <n v="117"/>
    <n v="36.380000000000003"/>
    <n v="192.4"/>
    <n v="89"/>
    <n v="16.350000000000001"/>
    <n v="242.6"/>
    <n v="99"/>
    <n v="10.92"/>
    <n v="7.9"/>
    <n v="4"/>
    <n v="2.13"/>
    <x v="0"/>
    <x v="0"/>
    <n v="656.9"/>
    <n v="65.78"/>
    <n v="309"/>
    <x v="0"/>
    <x v="0"/>
    <x v="0"/>
    <x v="0"/>
    <x v="0"/>
    <x v="0"/>
  </r>
  <r>
    <x v="6"/>
    <n v="108"/>
    <x v="0"/>
    <x v="1"/>
    <x v="0"/>
    <n v="0"/>
    <n v="115.1"/>
    <n v="114"/>
    <n v="19.57"/>
    <n v="211.3"/>
    <n v="70"/>
    <n v="17.96"/>
    <n v="136.1"/>
    <n v="85"/>
    <n v="6.12"/>
    <n v="13.8"/>
    <n v="3"/>
    <n v="3.73"/>
    <x v="2"/>
    <x v="1"/>
    <n v="476.3"/>
    <n v="47.38"/>
    <n v="272"/>
    <x v="2"/>
    <x v="2"/>
    <x v="2"/>
    <x v="1"/>
    <x v="0"/>
    <x v="2"/>
  </r>
  <r>
    <x v="21"/>
    <n v="101"/>
    <x v="1"/>
    <x v="1"/>
    <x v="0"/>
    <n v="0"/>
    <n v="156.4"/>
    <n v="116"/>
    <n v="26.59"/>
    <n v="130.4"/>
    <n v="114"/>
    <n v="11.08"/>
    <n v="207.3"/>
    <n v="109"/>
    <n v="9.33"/>
    <n v="7.3"/>
    <n v="5"/>
    <n v="1.97"/>
    <x v="0"/>
    <x v="0"/>
    <n v="501.40000000000003"/>
    <n v="48.97"/>
    <n v="344"/>
    <x v="0"/>
    <x v="2"/>
    <x v="2"/>
    <x v="1"/>
    <x v="0"/>
    <x v="0"/>
  </r>
  <r>
    <x v="22"/>
    <n v="182"/>
    <x v="1"/>
    <x v="0"/>
    <x v="1"/>
    <n v="24"/>
    <n v="128.1"/>
    <n v="104"/>
    <n v="21.78"/>
    <n v="143.4"/>
    <n v="127"/>
    <n v="12.19"/>
    <n v="191"/>
    <n v="98"/>
    <n v="8.59"/>
    <n v="11.6"/>
    <n v="3"/>
    <n v="3.13"/>
    <x v="0"/>
    <x v="0"/>
    <n v="474.1"/>
    <n v="45.69"/>
    <n v="332"/>
    <x v="0"/>
    <x v="2"/>
    <x v="2"/>
    <x v="0"/>
    <x v="1"/>
    <x v="0"/>
  </r>
  <r>
    <x v="11"/>
    <n v="128"/>
    <x v="0"/>
    <x v="0"/>
    <x v="0"/>
    <n v="0"/>
    <n v="227.9"/>
    <n v="130"/>
    <n v="38.74"/>
    <n v="302.60000000000002"/>
    <n v="71"/>
    <n v="25.72"/>
    <n v="191.5"/>
    <n v="82"/>
    <n v="8.6199999999999992"/>
    <n v="5.5"/>
    <n v="7"/>
    <n v="1.49"/>
    <x v="0"/>
    <x v="1"/>
    <n v="727.5"/>
    <n v="74.569999999999993"/>
    <n v="290"/>
    <x v="0"/>
    <x v="0"/>
    <x v="0"/>
    <x v="0"/>
    <x v="0"/>
    <x v="0"/>
  </r>
  <r>
    <x v="8"/>
    <n v="113"/>
    <x v="0"/>
    <x v="0"/>
    <x v="1"/>
    <n v="34"/>
    <n v="44.9"/>
    <n v="63"/>
    <n v="7.63"/>
    <n v="134.19999999999999"/>
    <n v="82"/>
    <n v="11.41"/>
    <n v="168.4"/>
    <n v="118"/>
    <n v="7.58"/>
    <n v="13.3"/>
    <n v="3"/>
    <n v="3.59"/>
    <x v="0"/>
    <x v="0"/>
    <n v="360.8"/>
    <n v="30.209999999999997"/>
    <n v="266"/>
    <x v="0"/>
    <x v="2"/>
    <x v="2"/>
    <x v="0"/>
    <x v="1"/>
    <x v="0"/>
  </r>
  <r>
    <x v="35"/>
    <n v="76"/>
    <x v="1"/>
    <x v="0"/>
    <x v="0"/>
    <n v="0"/>
    <n v="171.1"/>
    <n v="78"/>
    <n v="29.09"/>
    <n v="257.2"/>
    <n v="83"/>
    <n v="21.86"/>
    <n v="91.6"/>
    <n v="92"/>
    <n v="4.12"/>
    <n v="16.2"/>
    <n v="3"/>
    <n v="4.37"/>
    <x v="0"/>
    <x v="0"/>
    <n v="536.1"/>
    <n v="59.44"/>
    <n v="256"/>
    <x v="0"/>
    <x v="1"/>
    <x v="1"/>
    <x v="0"/>
    <x v="0"/>
    <x v="0"/>
  </r>
  <r>
    <x v="43"/>
    <n v="204"/>
    <x v="2"/>
    <x v="0"/>
    <x v="0"/>
    <n v="0"/>
    <n v="205.2"/>
    <n v="145"/>
    <n v="34.880000000000003"/>
    <n v="154.80000000000001"/>
    <n v="95"/>
    <n v="13.16"/>
    <n v="191.4"/>
    <n v="77"/>
    <n v="8.61"/>
    <n v="14.1"/>
    <n v="5"/>
    <n v="3.81"/>
    <x v="4"/>
    <x v="0"/>
    <n v="565.5"/>
    <n v="60.46"/>
    <n v="322"/>
    <x v="2"/>
    <x v="1"/>
    <x v="1"/>
    <x v="0"/>
    <x v="0"/>
    <x v="2"/>
  </r>
  <r>
    <x v="20"/>
    <n v="32"/>
    <x v="1"/>
    <x v="0"/>
    <x v="1"/>
    <n v="31"/>
    <n v="232.8"/>
    <n v="97"/>
    <n v="39.58"/>
    <n v="183.5"/>
    <n v="111"/>
    <n v="15.6"/>
    <n v="206.8"/>
    <n v="111"/>
    <n v="9.31"/>
    <n v="13"/>
    <n v="2"/>
    <n v="3.51"/>
    <x v="3"/>
    <x v="0"/>
    <n v="636.1"/>
    <n v="68"/>
    <n v="321"/>
    <x v="0"/>
    <x v="1"/>
    <x v="0"/>
    <x v="0"/>
    <x v="1"/>
    <x v="0"/>
  </r>
  <r>
    <x v="15"/>
    <n v="103"/>
    <x v="1"/>
    <x v="0"/>
    <x v="1"/>
    <n v="37"/>
    <n v="153.5"/>
    <n v="78"/>
    <n v="26.1"/>
    <n v="241.9"/>
    <n v="108"/>
    <n v="20.56"/>
    <n v="244.7"/>
    <n v="110"/>
    <n v="11.01"/>
    <n v="10.6"/>
    <n v="3"/>
    <n v="2.86"/>
    <x v="0"/>
    <x v="0"/>
    <n v="650.69999999999993"/>
    <n v="60.53"/>
    <n v="299"/>
    <x v="0"/>
    <x v="1"/>
    <x v="1"/>
    <x v="0"/>
    <x v="1"/>
    <x v="0"/>
  </r>
  <r>
    <x v="37"/>
    <n v="148"/>
    <x v="2"/>
    <x v="0"/>
    <x v="0"/>
    <n v="0"/>
    <n v="203"/>
    <n v="92"/>
    <n v="34.51"/>
    <n v="150.9"/>
    <n v="125"/>
    <n v="12.83"/>
    <n v="245.5"/>
    <n v="131"/>
    <n v="11.05"/>
    <n v="14.6"/>
    <n v="9"/>
    <n v="3.94"/>
    <x v="0"/>
    <x v="0"/>
    <n v="614"/>
    <n v="62.33"/>
    <n v="357"/>
    <x v="0"/>
    <x v="1"/>
    <x v="1"/>
    <x v="0"/>
    <x v="0"/>
    <x v="0"/>
  </r>
  <r>
    <x v="15"/>
    <n v="57"/>
    <x v="1"/>
    <x v="0"/>
    <x v="0"/>
    <n v="0"/>
    <n v="85.9"/>
    <n v="92"/>
    <n v="14.6"/>
    <n v="193.9"/>
    <n v="127"/>
    <n v="16.48"/>
    <n v="231.5"/>
    <n v="93"/>
    <n v="10.42"/>
    <n v="10.1"/>
    <n v="2"/>
    <n v="2.73"/>
    <x v="3"/>
    <x v="0"/>
    <n v="521.4"/>
    <n v="44.230000000000004"/>
    <n v="314"/>
    <x v="0"/>
    <x v="2"/>
    <x v="2"/>
    <x v="0"/>
    <x v="0"/>
    <x v="0"/>
  </r>
  <r>
    <x v="14"/>
    <n v="64"/>
    <x v="1"/>
    <x v="1"/>
    <x v="0"/>
    <n v="0"/>
    <n v="146.69999999999999"/>
    <n v="83"/>
    <n v="24.94"/>
    <n v="148.30000000000001"/>
    <n v="91"/>
    <n v="12.61"/>
    <n v="238.6"/>
    <n v="69"/>
    <n v="10.74"/>
    <n v="12.5"/>
    <n v="3"/>
    <n v="3.38"/>
    <x v="4"/>
    <x v="0"/>
    <n v="546.1"/>
    <n v="51.67"/>
    <n v="246"/>
    <x v="2"/>
    <x v="1"/>
    <x v="2"/>
    <x v="1"/>
    <x v="0"/>
    <x v="2"/>
  </r>
  <r>
    <x v="39"/>
    <n v="70"/>
    <x v="1"/>
    <x v="0"/>
    <x v="0"/>
    <n v="0"/>
    <n v="152.80000000000001"/>
    <n v="145"/>
    <n v="25.98"/>
    <n v="183.6"/>
    <n v="102"/>
    <n v="15.61"/>
    <n v="151.80000000000001"/>
    <n v="75"/>
    <n v="6.83"/>
    <n v="10.5"/>
    <n v="2"/>
    <n v="2.84"/>
    <x v="0"/>
    <x v="0"/>
    <n v="498.7"/>
    <n v="51.260000000000005"/>
    <n v="324"/>
    <x v="0"/>
    <x v="2"/>
    <x v="2"/>
    <x v="0"/>
    <x v="0"/>
    <x v="0"/>
  </r>
  <r>
    <x v="13"/>
    <n v="142"/>
    <x v="0"/>
    <x v="0"/>
    <x v="0"/>
    <n v="0"/>
    <n v="216.8"/>
    <n v="134"/>
    <n v="36.86"/>
    <n v="187.8"/>
    <n v="106"/>
    <n v="15.96"/>
    <n v="138.1"/>
    <n v="108"/>
    <n v="6.21"/>
    <n v="8.3000000000000007"/>
    <n v="2"/>
    <n v="2.2400000000000002"/>
    <x v="3"/>
    <x v="0"/>
    <n v="551"/>
    <n v="61.269999999999996"/>
    <n v="350"/>
    <x v="0"/>
    <x v="1"/>
    <x v="1"/>
    <x v="0"/>
    <x v="0"/>
    <x v="0"/>
  </r>
  <r>
    <x v="16"/>
    <n v="88"/>
    <x v="1"/>
    <x v="0"/>
    <x v="0"/>
    <n v="0"/>
    <n v="172.8"/>
    <n v="81"/>
    <n v="29.38"/>
    <n v="193.4"/>
    <n v="90"/>
    <n v="16.440000000000001"/>
    <n v="89.6"/>
    <n v="107"/>
    <n v="4.03"/>
    <n v="12.8"/>
    <n v="5"/>
    <n v="3.46"/>
    <x v="2"/>
    <x v="0"/>
    <n v="468.60000000000008"/>
    <n v="53.31"/>
    <n v="283"/>
    <x v="2"/>
    <x v="2"/>
    <x v="2"/>
    <x v="0"/>
    <x v="0"/>
    <x v="2"/>
  </r>
  <r>
    <x v="41"/>
    <n v="131"/>
    <x v="2"/>
    <x v="0"/>
    <x v="0"/>
    <n v="0"/>
    <n v="263.39999999999998"/>
    <n v="123"/>
    <n v="44.78"/>
    <n v="151.9"/>
    <n v="74"/>
    <n v="12.91"/>
    <n v="218.5"/>
    <n v="101"/>
    <n v="9.83"/>
    <n v="10.7"/>
    <n v="2"/>
    <n v="2.89"/>
    <x v="2"/>
    <x v="0"/>
    <n v="644.5"/>
    <n v="70.41"/>
    <n v="300"/>
    <x v="2"/>
    <x v="1"/>
    <x v="0"/>
    <x v="0"/>
    <x v="0"/>
    <x v="2"/>
  </r>
  <r>
    <x v="15"/>
    <n v="130"/>
    <x v="0"/>
    <x v="0"/>
    <x v="0"/>
    <n v="0"/>
    <n v="271.8"/>
    <n v="129"/>
    <n v="46.21"/>
    <n v="237.2"/>
    <n v="128"/>
    <n v="20.16"/>
    <n v="210.1"/>
    <n v="91"/>
    <n v="9.4499999999999993"/>
    <n v="8.6999999999999993"/>
    <n v="2"/>
    <n v="2.35"/>
    <x v="1"/>
    <x v="1"/>
    <n v="727.80000000000007"/>
    <n v="78.17"/>
    <n v="350"/>
    <x v="1"/>
    <x v="0"/>
    <x v="0"/>
    <x v="0"/>
    <x v="0"/>
    <x v="1"/>
  </r>
  <r>
    <x v="25"/>
    <n v="166"/>
    <x v="2"/>
    <x v="0"/>
    <x v="0"/>
    <n v="0"/>
    <n v="199.6"/>
    <n v="93"/>
    <n v="33.93"/>
    <n v="214.3"/>
    <n v="99"/>
    <n v="18.22"/>
    <n v="196.8"/>
    <n v="110"/>
    <n v="8.86"/>
    <n v="7.2"/>
    <n v="5"/>
    <n v="1.94"/>
    <x v="4"/>
    <x v="0"/>
    <n v="617.90000000000009"/>
    <n v="62.949999999999996"/>
    <n v="307"/>
    <x v="2"/>
    <x v="1"/>
    <x v="1"/>
    <x v="0"/>
    <x v="0"/>
    <x v="2"/>
  </r>
  <r>
    <x v="27"/>
    <n v="130"/>
    <x v="2"/>
    <x v="0"/>
    <x v="0"/>
    <n v="0"/>
    <n v="203.9"/>
    <n v="63"/>
    <n v="34.659999999999997"/>
    <n v="191.8"/>
    <n v="93"/>
    <n v="16.3"/>
    <n v="132.5"/>
    <n v="125"/>
    <n v="5.96"/>
    <n v="12.1"/>
    <n v="4"/>
    <n v="3.27"/>
    <x v="4"/>
    <x v="0"/>
    <n v="540.30000000000007"/>
    <n v="60.19"/>
    <n v="285"/>
    <x v="2"/>
    <x v="1"/>
    <x v="1"/>
    <x v="0"/>
    <x v="0"/>
    <x v="2"/>
  </r>
  <r>
    <x v="3"/>
    <n v="111"/>
    <x v="2"/>
    <x v="0"/>
    <x v="0"/>
    <n v="0"/>
    <n v="78.3"/>
    <n v="119"/>
    <n v="13.31"/>
    <n v="198.2"/>
    <n v="94"/>
    <n v="16.850000000000001"/>
    <n v="248.5"/>
    <n v="94"/>
    <n v="11.18"/>
    <n v="12.1"/>
    <n v="4"/>
    <n v="3.27"/>
    <x v="0"/>
    <x v="0"/>
    <n v="537.1"/>
    <n v="44.61"/>
    <n v="311"/>
    <x v="0"/>
    <x v="1"/>
    <x v="2"/>
    <x v="0"/>
    <x v="0"/>
    <x v="0"/>
  </r>
  <r>
    <x v="1"/>
    <n v="100"/>
    <x v="1"/>
    <x v="0"/>
    <x v="1"/>
    <n v="32"/>
    <n v="125.2"/>
    <n v="123"/>
    <n v="21.28"/>
    <n v="230.9"/>
    <n v="101"/>
    <n v="19.63"/>
    <n v="192"/>
    <n v="106"/>
    <n v="8.64"/>
    <n v="12.6"/>
    <n v="9"/>
    <n v="3.4"/>
    <x v="4"/>
    <x v="0"/>
    <n v="560.70000000000005"/>
    <n v="52.95"/>
    <n v="339"/>
    <x v="2"/>
    <x v="1"/>
    <x v="2"/>
    <x v="0"/>
    <x v="1"/>
    <x v="2"/>
  </r>
  <r>
    <x v="40"/>
    <n v="57"/>
    <x v="1"/>
    <x v="0"/>
    <x v="0"/>
    <n v="0"/>
    <n v="221.1"/>
    <n v="101"/>
    <n v="37.590000000000003"/>
    <n v="236.7"/>
    <n v="65"/>
    <n v="20.12"/>
    <n v="252.3"/>
    <n v="137"/>
    <n v="11.35"/>
    <n v="9.5"/>
    <n v="1"/>
    <n v="2.57"/>
    <x v="3"/>
    <x v="0"/>
    <n v="719.59999999999991"/>
    <n v="71.63"/>
    <n v="304"/>
    <x v="0"/>
    <x v="0"/>
    <x v="0"/>
    <x v="0"/>
    <x v="0"/>
    <x v="0"/>
  </r>
  <r>
    <x v="36"/>
    <n v="139"/>
    <x v="0"/>
    <x v="0"/>
    <x v="0"/>
    <n v="0"/>
    <n v="139"/>
    <n v="110"/>
    <n v="23.63"/>
    <n v="132.9"/>
    <n v="93"/>
    <n v="11.3"/>
    <n v="272"/>
    <n v="120"/>
    <n v="12.24"/>
    <n v="12.1"/>
    <n v="1"/>
    <n v="3.27"/>
    <x v="3"/>
    <x v="0"/>
    <n v="556"/>
    <n v="50.44"/>
    <n v="324"/>
    <x v="0"/>
    <x v="1"/>
    <x v="2"/>
    <x v="0"/>
    <x v="0"/>
    <x v="0"/>
  </r>
  <r>
    <x v="25"/>
    <n v="113"/>
    <x v="1"/>
    <x v="0"/>
    <x v="0"/>
    <n v="0"/>
    <n v="159.80000000000001"/>
    <n v="143"/>
    <n v="27.17"/>
    <n v="210.1"/>
    <n v="93"/>
    <n v="17.86"/>
    <n v="175.1"/>
    <n v="86"/>
    <n v="7.88"/>
    <n v="13.1"/>
    <n v="7"/>
    <n v="3.54"/>
    <x v="2"/>
    <x v="0"/>
    <n v="558.1"/>
    <n v="56.45"/>
    <n v="329"/>
    <x v="2"/>
    <x v="1"/>
    <x v="1"/>
    <x v="0"/>
    <x v="0"/>
    <x v="2"/>
  </r>
  <r>
    <x v="42"/>
    <n v="108"/>
    <x v="1"/>
    <x v="0"/>
    <x v="0"/>
    <n v="0"/>
    <n v="239.3"/>
    <n v="102"/>
    <n v="40.68"/>
    <n v="223.4"/>
    <n v="127"/>
    <n v="18.989999999999998"/>
    <n v="251.4"/>
    <n v="104"/>
    <n v="11.31"/>
    <n v="10.6"/>
    <n v="6"/>
    <n v="2.86"/>
    <x v="3"/>
    <x v="0"/>
    <n v="724.7"/>
    <n v="73.84"/>
    <n v="339"/>
    <x v="0"/>
    <x v="0"/>
    <x v="0"/>
    <x v="0"/>
    <x v="0"/>
    <x v="0"/>
  </r>
  <r>
    <x v="12"/>
    <n v="100"/>
    <x v="1"/>
    <x v="0"/>
    <x v="0"/>
    <n v="0"/>
    <n v="113.3"/>
    <n v="96"/>
    <n v="19.260000000000002"/>
    <n v="197.9"/>
    <n v="89"/>
    <n v="16.82"/>
    <n v="284.5"/>
    <n v="93"/>
    <n v="12.8"/>
    <n v="11.7"/>
    <n v="2"/>
    <n v="3.16"/>
    <x v="1"/>
    <x v="1"/>
    <n v="607.40000000000009"/>
    <n v="52.040000000000006"/>
    <n v="280"/>
    <x v="1"/>
    <x v="1"/>
    <x v="2"/>
    <x v="0"/>
    <x v="0"/>
    <x v="1"/>
  </r>
  <r>
    <x v="44"/>
    <n v="120"/>
    <x v="2"/>
    <x v="0"/>
    <x v="0"/>
    <n v="0"/>
    <n v="192.6"/>
    <n v="123"/>
    <n v="32.74"/>
    <n v="206.4"/>
    <n v="105"/>
    <n v="17.54"/>
    <n v="283.2"/>
    <n v="93"/>
    <n v="12.74"/>
    <n v="10.8"/>
    <n v="3"/>
    <n v="2.92"/>
    <x v="0"/>
    <x v="0"/>
    <n v="693"/>
    <n v="65.94"/>
    <n v="324"/>
    <x v="0"/>
    <x v="0"/>
    <x v="0"/>
    <x v="0"/>
    <x v="0"/>
    <x v="0"/>
  </r>
  <r>
    <x v="42"/>
    <n v="107"/>
    <x v="0"/>
    <x v="0"/>
    <x v="1"/>
    <n v="36"/>
    <n v="96.3"/>
    <n v="83"/>
    <n v="16.37"/>
    <n v="179.6"/>
    <n v="91"/>
    <n v="15.27"/>
    <n v="166.3"/>
    <n v="121"/>
    <n v="7.48"/>
    <n v="10.3"/>
    <n v="2"/>
    <n v="2.78"/>
    <x v="0"/>
    <x v="0"/>
    <n v="452.5"/>
    <n v="41.900000000000006"/>
    <n v="297"/>
    <x v="0"/>
    <x v="2"/>
    <x v="2"/>
    <x v="0"/>
    <x v="1"/>
    <x v="0"/>
  </r>
  <r>
    <x v="1"/>
    <n v="104"/>
    <x v="0"/>
    <x v="0"/>
    <x v="0"/>
    <n v="0"/>
    <n v="280.39999999999998"/>
    <n v="127"/>
    <n v="47.67"/>
    <n v="179.4"/>
    <n v="79"/>
    <n v="15.25"/>
    <n v="150.6"/>
    <n v="77"/>
    <n v="6.78"/>
    <n v="15.2"/>
    <n v="6"/>
    <n v="4.0999999999999996"/>
    <x v="5"/>
    <x v="0"/>
    <n v="625.6"/>
    <n v="73.8"/>
    <n v="289"/>
    <x v="1"/>
    <x v="1"/>
    <x v="0"/>
    <x v="0"/>
    <x v="0"/>
    <x v="1"/>
  </r>
  <r>
    <x v="24"/>
    <n v="62"/>
    <x v="1"/>
    <x v="0"/>
    <x v="0"/>
    <n v="0"/>
    <n v="245.3"/>
    <n v="91"/>
    <n v="41.7"/>
    <n v="122.9"/>
    <n v="130"/>
    <n v="10.45"/>
    <n v="228.4"/>
    <n v="102"/>
    <n v="10.28"/>
    <n v="8.5"/>
    <n v="4"/>
    <n v="2.2999999999999998"/>
    <x v="1"/>
    <x v="0"/>
    <n v="605.1"/>
    <n v="64.73"/>
    <n v="327"/>
    <x v="1"/>
    <x v="1"/>
    <x v="1"/>
    <x v="0"/>
    <x v="0"/>
    <x v="1"/>
  </r>
  <r>
    <x v="12"/>
    <n v="34"/>
    <x v="1"/>
    <x v="0"/>
    <x v="1"/>
    <n v="14"/>
    <n v="151.5"/>
    <n v="100"/>
    <n v="25.76"/>
    <n v="248.7"/>
    <n v="126"/>
    <n v="21.14"/>
    <n v="199.8"/>
    <n v="120"/>
    <n v="8.99"/>
    <n v="10.7"/>
    <n v="5"/>
    <n v="2.89"/>
    <x v="2"/>
    <x v="0"/>
    <n v="610.70000000000005"/>
    <n v="58.78"/>
    <n v="351"/>
    <x v="2"/>
    <x v="1"/>
    <x v="1"/>
    <x v="0"/>
    <x v="1"/>
    <x v="2"/>
  </r>
  <r>
    <x v="24"/>
    <n v="183"/>
    <x v="1"/>
    <x v="0"/>
    <x v="0"/>
    <n v="0"/>
    <n v="190"/>
    <n v="100"/>
    <n v="32.299999999999997"/>
    <n v="246.6"/>
    <n v="78"/>
    <n v="20.96"/>
    <n v="304.2"/>
    <n v="107"/>
    <n v="13.69"/>
    <n v="9.5"/>
    <n v="4"/>
    <n v="2.57"/>
    <x v="0"/>
    <x v="0"/>
    <n v="750.3"/>
    <n v="69.52"/>
    <n v="289"/>
    <x v="0"/>
    <x v="0"/>
    <x v="0"/>
    <x v="0"/>
    <x v="0"/>
    <x v="0"/>
  </r>
  <r>
    <x v="41"/>
    <n v="123"/>
    <x v="0"/>
    <x v="0"/>
    <x v="0"/>
    <n v="0"/>
    <n v="114.8"/>
    <n v="94"/>
    <n v="19.52"/>
    <n v="150"/>
    <n v="104"/>
    <n v="12.75"/>
    <n v="268.60000000000002"/>
    <n v="119"/>
    <n v="12.09"/>
    <n v="9.6"/>
    <n v="4"/>
    <n v="2.59"/>
    <x v="2"/>
    <x v="0"/>
    <n v="543.00000000000011"/>
    <n v="46.95"/>
    <n v="321"/>
    <x v="2"/>
    <x v="1"/>
    <x v="2"/>
    <x v="0"/>
    <x v="0"/>
    <x v="2"/>
  </r>
  <r>
    <x v="1"/>
    <n v="64"/>
    <x v="0"/>
    <x v="0"/>
    <x v="0"/>
    <n v="0"/>
    <n v="113.8"/>
    <n v="97"/>
    <n v="19.350000000000001"/>
    <n v="192.3"/>
    <n v="97"/>
    <n v="16.350000000000001"/>
    <n v="214.9"/>
    <n v="89"/>
    <n v="9.67"/>
    <n v="10.4"/>
    <n v="1"/>
    <n v="2.81"/>
    <x v="4"/>
    <x v="0"/>
    <n v="531.4"/>
    <n v="48.180000000000007"/>
    <n v="284"/>
    <x v="2"/>
    <x v="2"/>
    <x v="2"/>
    <x v="0"/>
    <x v="0"/>
    <x v="2"/>
  </r>
  <r>
    <x v="46"/>
    <n v="27"/>
    <x v="1"/>
    <x v="0"/>
    <x v="0"/>
    <n v="0"/>
    <n v="227.4"/>
    <n v="67"/>
    <n v="38.659999999999997"/>
    <n v="248"/>
    <n v="115"/>
    <n v="21.08"/>
    <n v="61.4"/>
    <n v="109"/>
    <n v="2.76"/>
    <n v="7.8"/>
    <n v="6"/>
    <n v="2.11"/>
    <x v="0"/>
    <x v="0"/>
    <n v="544.59999999999991"/>
    <n v="64.609999999999985"/>
    <n v="297"/>
    <x v="0"/>
    <x v="1"/>
    <x v="1"/>
    <x v="0"/>
    <x v="0"/>
    <x v="0"/>
  </r>
  <r>
    <x v="23"/>
    <n v="123"/>
    <x v="0"/>
    <x v="0"/>
    <x v="0"/>
    <n v="0"/>
    <n v="224"/>
    <n v="99"/>
    <n v="38.08"/>
    <n v="210.7"/>
    <n v="80"/>
    <n v="17.91"/>
    <n v="231.9"/>
    <n v="75"/>
    <n v="10.44"/>
    <n v="2.1"/>
    <n v="5"/>
    <n v="0.56999999999999995"/>
    <x v="3"/>
    <x v="0"/>
    <n v="668.7"/>
    <n v="67"/>
    <n v="259"/>
    <x v="0"/>
    <x v="0"/>
    <x v="0"/>
    <x v="0"/>
    <x v="0"/>
    <x v="0"/>
  </r>
  <r>
    <x v="24"/>
    <n v="84"/>
    <x v="0"/>
    <x v="0"/>
    <x v="1"/>
    <n v="41"/>
    <n v="153.9"/>
    <n v="102"/>
    <n v="26.16"/>
    <n v="140.69999999999999"/>
    <n v="117"/>
    <n v="11.96"/>
    <n v="217.7"/>
    <n v="101"/>
    <n v="9.8000000000000007"/>
    <n v="12.8"/>
    <n v="5"/>
    <n v="3.46"/>
    <x v="0"/>
    <x v="0"/>
    <n v="525.09999999999991"/>
    <n v="51.38"/>
    <n v="325"/>
    <x v="0"/>
    <x v="2"/>
    <x v="2"/>
    <x v="0"/>
    <x v="1"/>
    <x v="0"/>
  </r>
  <r>
    <x v="0"/>
    <n v="91"/>
    <x v="1"/>
    <x v="0"/>
    <x v="0"/>
    <n v="0"/>
    <n v="190.5"/>
    <n v="128"/>
    <n v="32.39"/>
    <n v="205.5"/>
    <n v="103"/>
    <n v="17.47"/>
    <n v="130.69999999999999"/>
    <n v="63"/>
    <n v="5.88"/>
    <n v="13.8"/>
    <n v="5"/>
    <n v="3.73"/>
    <x v="3"/>
    <x v="0"/>
    <n v="540.5"/>
    <n v="59.47"/>
    <n v="299"/>
    <x v="0"/>
    <x v="1"/>
    <x v="1"/>
    <x v="0"/>
    <x v="0"/>
    <x v="0"/>
  </r>
  <r>
    <x v="14"/>
    <n v="95"/>
    <x v="2"/>
    <x v="0"/>
    <x v="0"/>
    <n v="0"/>
    <n v="157.30000000000001"/>
    <n v="116"/>
    <n v="26.74"/>
    <n v="197.5"/>
    <n v="77"/>
    <n v="16.79"/>
    <n v="128.19999999999999"/>
    <n v="111"/>
    <n v="5.77"/>
    <n v="8.4"/>
    <n v="4"/>
    <n v="2.27"/>
    <x v="2"/>
    <x v="0"/>
    <n v="491.4"/>
    <n v="51.569999999999993"/>
    <n v="308"/>
    <x v="2"/>
    <x v="2"/>
    <x v="2"/>
    <x v="0"/>
    <x v="0"/>
    <x v="2"/>
  </r>
  <r>
    <x v="44"/>
    <n v="73"/>
    <x v="1"/>
    <x v="0"/>
    <x v="0"/>
    <n v="0"/>
    <n v="240.3"/>
    <n v="130"/>
    <n v="40.85"/>
    <n v="162.5"/>
    <n v="83"/>
    <n v="13.81"/>
    <n v="231.9"/>
    <n v="136"/>
    <n v="10.44"/>
    <n v="11.9"/>
    <n v="3"/>
    <n v="3.21"/>
    <x v="3"/>
    <x v="0"/>
    <n v="646.6"/>
    <n v="68.31"/>
    <n v="352"/>
    <x v="0"/>
    <x v="1"/>
    <x v="0"/>
    <x v="0"/>
    <x v="0"/>
    <x v="0"/>
  </r>
  <r>
    <x v="44"/>
    <n v="58"/>
    <x v="0"/>
    <x v="0"/>
    <x v="1"/>
    <n v="39"/>
    <n v="211.9"/>
    <n v="40"/>
    <n v="36.020000000000003"/>
    <n v="274.39999999999998"/>
    <n v="76"/>
    <n v="23.32"/>
    <n v="210.5"/>
    <n v="139"/>
    <n v="9.4700000000000006"/>
    <n v="5.4"/>
    <n v="4"/>
    <n v="1.46"/>
    <x v="0"/>
    <x v="0"/>
    <n v="702.19999999999993"/>
    <n v="70.27000000000001"/>
    <n v="259"/>
    <x v="0"/>
    <x v="0"/>
    <x v="0"/>
    <x v="0"/>
    <x v="1"/>
    <x v="0"/>
  </r>
  <r>
    <x v="49"/>
    <n v="88"/>
    <x v="1"/>
    <x v="0"/>
    <x v="0"/>
    <n v="0"/>
    <n v="113.7"/>
    <n v="67"/>
    <n v="19.329999999999998"/>
    <n v="165.1"/>
    <n v="127"/>
    <n v="14.03"/>
    <n v="141.5"/>
    <n v="142"/>
    <n v="6.37"/>
    <n v="10.8"/>
    <n v="3"/>
    <n v="2.92"/>
    <x v="0"/>
    <x v="0"/>
    <n v="431.1"/>
    <n v="42.65"/>
    <n v="339"/>
    <x v="0"/>
    <x v="2"/>
    <x v="2"/>
    <x v="0"/>
    <x v="0"/>
    <x v="0"/>
  </r>
  <r>
    <x v="19"/>
    <n v="67"/>
    <x v="1"/>
    <x v="0"/>
    <x v="1"/>
    <n v="41"/>
    <n v="174.7"/>
    <n v="86"/>
    <n v="29.7"/>
    <n v="160.6"/>
    <n v="93"/>
    <n v="13.65"/>
    <n v="155.30000000000001"/>
    <n v="108"/>
    <n v="6.99"/>
    <n v="13.4"/>
    <n v="1"/>
    <n v="3.62"/>
    <x v="3"/>
    <x v="0"/>
    <n v="503.99999999999994"/>
    <n v="53.959999999999994"/>
    <n v="288"/>
    <x v="0"/>
    <x v="2"/>
    <x v="1"/>
    <x v="0"/>
    <x v="1"/>
    <x v="0"/>
  </r>
  <r>
    <x v="18"/>
    <n v="152"/>
    <x v="2"/>
    <x v="0"/>
    <x v="0"/>
    <n v="0"/>
    <n v="161.4"/>
    <n v="84"/>
    <n v="27.44"/>
    <n v="163.6"/>
    <n v="88"/>
    <n v="13.91"/>
    <n v="153.19999999999999"/>
    <n v="121"/>
    <n v="6.89"/>
    <n v="11.8"/>
    <n v="5"/>
    <n v="3.19"/>
    <x v="0"/>
    <x v="0"/>
    <n v="490"/>
    <n v="51.430000000000007"/>
    <n v="298"/>
    <x v="0"/>
    <x v="2"/>
    <x v="2"/>
    <x v="0"/>
    <x v="0"/>
    <x v="0"/>
  </r>
  <r>
    <x v="45"/>
    <n v="142"/>
    <x v="2"/>
    <x v="0"/>
    <x v="1"/>
    <n v="40"/>
    <n v="230.7"/>
    <n v="101"/>
    <n v="39.22"/>
    <n v="256.8"/>
    <n v="88"/>
    <n v="21.83"/>
    <n v="263.89999999999998"/>
    <n v="92"/>
    <n v="11.88"/>
    <n v="6.4"/>
    <n v="3"/>
    <n v="1.73"/>
    <x v="0"/>
    <x v="0"/>
    <n v="757.8"/>
    <n v="74.66"/>
    <n v="284"/>
    <x v="0"/>
    <x v="0"/>
    <x v="0"/>
    <x v="0"/>
    <x v="1"/>
    <x v="0"/>
  </r>
  <r>
    <x v="7"/>
    <n v="105"/>
    <x v="0"/>
    <x v="0"/>
    <x v="0"/>
    <n v="0"/>
    <n v="232.6"/>
    <n v="96"/>
    <n v="39.54"/>
    <n v="253.4"/>
    <n v="117"/>
    <n v="21.54"/>
    <n v="154"/>
    <n v="101"/>
    <n v="6.93"/>
    <n v="10.5"/>
    <n v="9"/>
    <n v="2.84"/>
    <x v="0"/>
    <x v="0"/>
    <n v="650.5"/>
    <n v="70.849999999999994"/>
    <n v="323"/>
    <x v="0"/>
    <x v="1"/>
    <x v="0"/>
    <x v="0"/>
    <x v="0"/>
    <x v="0"/>
  </r>
  <r>
    <x v="39"/>
    <n v="93"/>
    <x v="0"/>
    <x v="0"/>
    <x v="1"/>
    <n v="22"/>
    <n v="306.2"/>
    <n v="123"/>
    <n v="52.05"/>
    <n v="189.7"/>
    <n v="83"/>
    <n v="16.12"/>
    <n v="240.3"/>
    <n v="107"/>
    <n v="10.81"/>
    <n v="11.7"/>
    <n v="2"/>
    <n v="3.16"/>
    <x v="3"/>
    <x v="0"/>
    <n v="747.90000000000009"/>
    <n v="82.14"/>
    <n v="315"/>
    <x v="0"/>
    <x v="0"/>
    <x v="0"/>
    <x v="0"/>
    <x v="1"/>
    <x v="0"/>
  </r>
  <r>
    <x v="14"/>
    <n v="79"/>
    <x v="1"/>
    <x v="0"/>
    <x v="0"/>
    <n v="0"/>
    <n v="236.8"/>
    <n v="135"/>
    <n v="40.26"/>
    <n v="186.4"/>
    <n v="87"/>
    <n v="15.84"/>
    <n v="126.9"/>
    <n v="112"/>
    <n v="5.71"/>
    <n v="10.4"/>
    <n v="5"/>
    <n v="2.81"/>
    <x v="2"/>
    <x v="0"/>
    <n v="560.5"/>
    <n v="64.62"/>
    <n v="339"/>
    <x v="2"/>
    <x v="1"/>
    <x v="1"/>
    <x v="0"/>
    <x v="0"/>
    <x v="2"/>
  </r>
  <r>
    <x v="3"/>
    <n v="88"/>
    <x v="0"/>
    <x v="0"/>
    <x v="0"/>
    <n v="0"/>
    <n v="153.5"/>
    <n v="94"/>
    <n v="26.1"/>
    <n v="251.7"/>
    <n v="118"/>
    <n v="21.39"/>
    <n v="182.2"/>
    <n v="99"/>
    <n v="8.1999999999999993"/>
    <n v="8.5"/>
    <n v="6"/>
    <n v="2.2999999999999998"/>
    <x v="0"/>
    <x v="0"/>
    <n v="595.9"/>
    <n v="57.99"/>
    <n v="317"/>
    <x v="0"/>
    <x v="1"/>
    <x v="1"/>
    <x v="0"/>
    <x v="0"/>
    <x v="0"/>
  </r>
  <r>
    <x v="31"/>
    <n v="110"/>
    <x v="0"/>
    <x v="0"/>
    <x v="0"/>
    <n v="0"/>
    <n v="159.5"/>
    <n v="145"/>
    <n v="27.12"/>
    <n v="202.3"/>
    <n v="101"/>
    <n v="17.2"/>
    <n v="256"/>
    <n v="96"/>
    <n v="11.52"/>
    <n v="16.7"/>
    <n v="2"/>
    <n v="4.51"/>
    <x v="2"/>
    <x v="0"/>
    <n v="634.5"/>
    <n v="60.350000000000009"/>
    <n v="344"/>
    <x v="2"/>
    <x v="1"/>
    <x v="1"/>
    <x v="0"/>
    <x v="0"/>
    <x v="2"/>
  </r>
  <r>
    <x v="2"/>
    <n v="209"/>
    <x v="1"/>
    <x v="0"/>
    <x v="0"/>
    <n v="0"/>
    <n v="153.69999999999999"/>
    <n v="105"/>
    <n v="26.13"/>
    <n v="188.6"/>
    <n v="87"/>
    <n v="16.03"/>
    <n v="200.8"/>
    <n v="95"/>
    <n v="9.0399999999999991"/>
    <n v="10.7"/>
    <n v="2"/>
    <n v="2.89"/>
    <x v="3"/>
    <x v="0"/>
    <n v="553.79999999999995"/>
    <n v="54.09"/>
    <n v="289"/>
    <x v="0"/>
    <x v="1"/>
    <x v="1"/>
    <x v="0"/>
    <x v="0"/>
    <x v="0"/>
  </r>
  <r>
    <x v="25"/>
    <n v="27"/>
    <x v="2"/>
    <x v="0"/>
    <x v="0"/>
    <n v="0"/>
    <n v="232.1"/>
    <n v="81"/>
    <n v="39.46"/>
    <n v="210.8"/>
    <n v="101"/>
    <n v="17.920000000000002"/>
    <n v="165.4"/>
    <n v="87"/>
    <n v="7.44"/>
    <n v="15"/>
    <n v="6"/>
    <n v="4.05"/>
    <x v="5"/>
    <x v="0"/>
    <n v="623.29999999999995"/>
    <n v="68.87"/>
    <n v="275"/>
    <x v="1"/>
    <x v="1"/>
    <x v="0"/>
    <x v="0"/>
    <x v="0"/>
    <x v="1"/>
  </r>
  <r>
    <x v="41"/>
    <n v="117"/>
    <x v="1"/>
    <x v="0"/>
    <x v="0"/>
    <n v="0"/>
    <n v="201.9"/>
    <n v="86"/>
    <n v="34.32"/>
    <n v="212.3"/>
    <n v="96"/>
    <n v="18.05"/>
    <n v="176.9"/>
    <n v="98"/>
    <n v="7.96"/>
    <n v="7.8"/>
    <n v="10"/>
    <n v="2.11"/>
    <x v="0"/>
    <x v="0"/>
    <n v="598.9"/>
    <n v="62.44"/>
    <n v="290"/>
    <x v="0"/>
    <x v="1"/>
    <x v="1"/>
    <x v="0"/>
    <x v="0"/>
    <x v="0"/>
  </r>
  <r>
    <x v="13"/>
    <n v="87"/>
    <x v="0"/>
    <x v="0"/>
    <x v="0"/>
    <n v="0"/>
    <n v="186.9"/>
    <n v="79"/>
    <n v="31.77"/>
    <n v="182.6"/>
    <n v="105"/>
    <n v="15.52"/>
    <n v="143.1"/>
    <n v="90"/>
    <n v="6.44"/>
    <n v="4.2"/>
    <n v="14"/>
    <n v="1.1299999999999999"/>
    <x v="0"/>
    <x v="0"/>
    <n v="516.80000000000007"/>
    <n v="54.86"/>
    <n v="288"/>
    <x v="0"/>
    <x v="2"/>
    <x v="1"/>
    <x v="0"/>
    <x v="0"/>
    <x v="0"/>
  </r>
  <r>
    <x v="34"/>
    <n v="129"/>
    <x v="2"/>
    <x v="0"/>
    <x v="1"/>
    <n v="27"/>
    <n v="196.6"/>
    <n v="89"/>
    <n v="33.42"/>
    <n v="180.6"/>
    <n v="95"/>
    <n v="15.35"/>
    <n v="245"/>
    <n v="83"/>
    <n v="11.03"/>
    <n v="6.6"/>
    <n v="5"/>
    <n v="1.78"/>
    <x v="0"/>
    <x v="0"/>
    <n v="628.80000000000007"/>
    <n v="61.58"/>
    <n v="272"/>
    <x v="0"/>
    <x v="1"/>
    <x v="1"/>
    <x v="0"/>
    <x v="1"/>
    <x v="0"/>
  </r>
  <r>
    <x v="9"/>
    <n v="142"/>
    <x v="2"/>
    <x v="0"/>
    <x v="0"/>
    <n v="0"/>
    <n v="232.1"/>
    <n v="102"/>
    <n v="39.46"/>
    <n v="168.2"/>
    <n v="110"/>
    <n v="14.3"/>
    <n v="197.3"/>
    <n v="120"/>
    <n v="8.8800000000000008"/>
    <n v="9.9"/>
    <n v="3"/>
    <n v="2.67"/>
    <x v="0"/>
    <x v="0"/>
    <n v="607.49999999999989"/>
    <n v="65.31"/>
    <n v="335"/>
    <x v="0"/>
    <x v="1"/>
    <x v="1"/>
    <x v="0"/>
    <x v="0"/>
    <x v="0"/>
  </r>
  <r>
    <x v="33"/>
    <n v="112"/>
    <x v="1"/>
    <x v="0"/>
    <x v="0"/>
    <n v="0"/>
    <n v="166"/>
    <n v="79"/>
    <n v="28.22"/>
    <n v="74.599999999999994"/>
    <n v="100"/>
    <n v="6.34"/>
    <n v="247.9"/>
    <n v="74"/>
    <n v="11.16"/>
    <n v="6.3"/>
    <n v="7"/>
    <n v="1.7"/>
    <x v="3"/>
    <x v="0"/>
    <n v="494.8"/>
    <n v="47.42"/>
    <n v="260"/>
    <x v="0"/>
    <x v="2"/>
    <x v="2"/>
    <x v="0"/>
    <x v="0"/>
    <x v="0"/>
  </r>
  <r>
    <x v="16"/>
    <n v="97"/>
    <x v="0"/>
    <x v="0"/>
    <x v="1"/>
    <n v="25"/>
    <n v="141"/>
    <n v="101"/>
    <n v="23.97"/>
    <n v="212"/>
    <n v="85"/>
    <n v="18.02"/>
    <n v="175.2"/>
    <n v="138"/>
    <n v="7.88"/>
    <n v="4.9000000000000004"/>
    <n v="2"/>
    <n v="1.32"/>
    <x v="4"/>
    <x v="0"/>
    <n v="533.1"/>
    <n v="51.19"/>
    <n v="326"/>
    <x v="2"/>
    <x v="2"/>
    <x v="2"/>
    <x v="0"/>
    <x v="1"/>
    <x v="2"/>
  </r>
  <r>
    <x v="30"/>
    <n v="101"/>
    <x v="1"/>
    <x v="0"/>
    <x v="0"/>
    <n v="0"/>
    <n v="231.3"/>
    <n v="87"/>
    <n v="39.32"/>
    <n v="224.7"/>
    <n v="88"/>
    <n v="19.100000000000001"/>
    <n v="214.6"/>
    <n v="69"/>
    <n v="9.66"/>
    <n v="7.2"/>
    <n v="7"/>
    <n v="1.94"/>
    <x v="0"/>
    <x v="0"/>
    <n v="677.80000000000007"/>
    <n v="70.02000000000001"/>
    <n v="251"/>
    <x v="0"/>
    <x v="0"/>
    <x v="0"/>
    <x v="0"/>
    <x v="0"/>
    <x v="0"/>
  </r>
  <r>
    <x v="30"/>
    <n v="127"/>
    <x v="1"/>
    <x v="0"/>
    <x v="1"/>
    <n v="24"/>
    <n v="154.80000000000001"/>
    <n v="69"/>
    <n v="26.32"/>
    <n v="177.2"/>
    <n v="105"/>
    <n v="15.06"/>
    <n v="207.6"/>
    <n v="102"/>
    <n v="9.34"/>
    <n v="9"/>
    <n v="4"/>
    <n v="2.4300000000000002"/>
    <x v="0"/>
    <x v="0"/>
    <n v="548.6"/>
    <n v="53.15"/>
    <n v="280"/>
    <x v="0"/>
    <x v="1"/>
    <x v="2"/>
    <x v="0"/>
    <x v="1"/>
    <x v="0"/>
  </r>
  <r>
    <x v="28"/>
    <n v="148"/>
    <x v="0"/>
    <x v="0"/>
    <x v="0"/>
    <n v="0"/>
    <n v="243"/>
    <n v="115"/>
    <n v="41.31"/>
    <n v="191.8"/>
    <n v="91"/>
    <n v="16.3"/>
    <n v="117.8"/>
    <n v="93"/>
    <n v="5.3"/>
    <n v="13.4"/>
    <n v="5"/>
    <n v="3.62"/>
    <x v="2"/>
    <x v="0"/>
    <n v="566"/>
    <n v="66.53"/>
    <n v="304"/>
    <x v="2"/>
    <x v="1"/>
    <x v="0"/>
    <x v="0"/>
    <x v="0"/>
    <x v="2"/>
  </r>
  <r>
    <x v="33"/>
    <n v="138"/>
    <x v="2"/>
    <x v="0"/>
    <x v="1"/>
    <n v="33"/>
    <n v="155.19999999999999"/>
    <n v="139"/>
    <n v="26.38"/>
    <n v="268.3"/>
    <n v="79"/>
    <n v="22.81"/>
    <n v="186.4"/>
    <n v="71"/>
    <n v="8.39"/>
    <n v="9.6999999999999993"/>
    <n v="4"/>
    <n v="2.62"/>
    <x v="4"/>
    <x v="0"/>
    <n v="619.6"/>
    <n v="60.2"/>
    <n v="293"/>
    <x v="2"/>
    <x v="1"/>
    <x v="1"/>
    <x v="0"/>
    <x v="1"/>
    <x v="2"/>
  </r>
  <r>
    <x v="18"/>
    <n v="84"/>
    <x v="1"/>
    <x v="0"/>
    <x v="0"/>
    <n v="0"/>
    <n v="289.10000000000002"/>
    <n v="100"/>
    <n v="49.15"/>
    <n v="233.8"/>
    <n v="97"/>
    <n v="19.87"/>
    <n v="223.5"/>
    <n v="148"/>
    <n v="10.06"/>
    <n v="12.7"/>
    <n v="2"/>
    <n v="3.43"/>
    <x v="2"/>
    <x v="1"/>
    <n v="759.10000000000014"/>
    <n v="82.509999999999991"/>
    <n v="347"/>
    <x v="2"/>
    <x v="0"/>
    <x v="0"/>
    <x v="0"/>
    <x v="0"/>
    <x v="2"/>
  </r>
  <r>
    <x v="43"/>
    <n v="133"/>
    <x v="2"/>
    <x v="0"/>
    <x v="0"/>
    <n v="0"/>
    <n v="295"/>
    <n v="141"/>
    <n v="50.15"/>
    <n v="223.6"/>
    <n v="101"/>
    <n v="19.010000000000002"/>
    <n v="229.4"/>
    <n v="109"/>
    <n v="10.32"/>
    <n v="12.9"/>
    <n v="4"/>
    <n v="3.48"/>
    <x v="2"/>
    <x v="1"/>
    <n v="760.9"/>
    <n v="82.960000000000008"/>
    <n v="355"/>
    <x v="2"/>
    <x v="0"/>
    <x v="0"/>
    <x v="0"/>
    <x v="0"/>
    <x v="2"/>
  </r>
  <r>
    <x v="2"/>
    <n v="120"/>
    <x v="2"/>
    <x v="0"/>
    <x v="1"/>
    <n v="27"/>
    <n v="128.5"/>
    <n v="115"/>
    <n v="21.85"/>
    <n v="163.69999999999999"/>
    <n v="91"/>
    <n v="13.91"/>
    <n v="242.9"/>
    <n v="121"/>
    <n v="10.93"/>
    <n v="0"/>
    <n v="0"/>
    <n v="0"/>
    <x v="0"/>
    <x v="0"/>
    <n v="535.1"/>
    <n v="46.69"/>
    <n v="327"/>
    <x v="0"/>
    <x v="1"/>
    <x v="2"/>
    <x v="2"/>
    <x v="1"/>
    <x v="0"/>
  </r>
  <r>
    <x v="9"/>
    <n v="87"/>
    <x v="1"/>
    <x v="0"/>
    <x v="0"/>
    <n v="0"/>
    <n v="238"/>
    <n v="97"/>
    <n v="40.46"/>
    <n v="164.5"/>
    <n v="97"/>
    <n v="13.98"/>
    <n v="282.5"/>
    <n v="132"/>
    <n v="12.71"/>
    <n v="10.6"/>
    <n v="6"/>
    <n v="2.86"/>
    <x v="2"/>
    <x v="0"/>
    <n v="695.6"/>
    <n v="70.010000000000005"/>
    <n v="332"/>
    <x v="2"/>
    <x v="0"/>
    <x v="0"/>
    <x v="0"/>
    <x v="0"/>
    <x v="2"/>
  </r>
  <r>
    <x v="5"/>
    <n v="99"/>
    <x v="2"/>
    <x v="0"/>
    <x v="0"/>
    <n v="0"/>
    <n v="238.4"/>
    <n v="96"/>
    <n v="40.53"/>
    <n v="246.5"/>
    <n v="130"/>
    <n v="20.95"/>
    <n v="198.4"/>
    <n v="117"/>
    <n v="8.93"/>
    <n v="12.4"/>
    <n v="4"/>
    <n v="3.35"/>
    <x v="4"/>
    <x v="0"/>
    <n v="695.69999999999993"/>
    <n v="73.759999999999991"/>
    <n v="347"/>
    <x v="2"/>
    <x v="0"/>
    <x v="0"/>
    <x v="0"/>
    <x v="0"/>
    <x v="2"/>
  </r>
  <r>
    <x v="16"/>
    <n v="48"/>
    <x v="1"/>
    <x v="0"/>
    <x v="1"/>
    <n v="27"/>
    <n v="141.1"/>
    <n v="109"/>
    <n v="23.99"/>
    <n v="224.7"/>
    <n v="94"/>
    <n v="19.100000000000001"/>
    <n v="174.3"/>
    <n v="122"/>
    <n v="7.84"/>
    <n v="13.2"/>
    <n v="2"/>
    <n v="3.56"/>
    <x v="0"/>
    <x v="0"/>
    <n v="553.29999999999995"/>
    <n v="54.489999999999995"/>
    <n v="327"/>
    <x v="0"/>
    <x v="1"/>
    <x v="1"/>
    <x v="0"/>
    <x v="1"/>
    <x v="0"/>
  </r>
  <r>
    <x v="30"/>
    <n v="57"/>
    <x v="1"/>
    <x v="0"/>
    <x v="0"/>
    <n v="0"/>
    <n v="158.1"/>
    <n v="117"/>
    <n v="26.88"/>
    <n v="115.2"/>
    <n v="149"/>
    <n v="9.7899999999999991"/>
    <n v="182.4"/>
    <n v="92"/>
    <n v="8.2100000000000009"/>
    <n v="11.8"/>
    <n v="7"/>
    <n v="3.19"/>
    <x v="3"/>
    <x v="0"/>
    <n v="467.50000000000006"/>
    <n v="48.069999999999993"/>
    <n v="365"/>
    <x v="0"/>
    <x v="2"/>
    <x v="2"/>
    <x v="0"/>
    <x v="0"/>
    <x v="0"/>
  </r>
  <r>
    <x v="17"/>
    <n v="127"/>
    <x v="2"/>
    <x v="0"/>
    <x v="0"/>
    <n v="0"/>
    <n v="107.9"/>
    <n v="128"/>
    <n v="18.34"/>
    <n v="187"/>
    <n v="77"/>
    <n v="15.9"/>
    <n v="218.5"/>
    <n v="95"/>
    <n v="9.83"/>
    <n v="0"/>
    <n v="0"/>
    <n v="0"/>
    <x v="3"/>
    <x v="0"/>
    <n v="513.4"/>
    <n v="44.07"/>
    <n v="300"/>
    <x v="0"/>
    <x v="2"/>
    <x v="2"/>
    <x v="2"/>
    <x v="0"/>
    <x v="0"/>
  </r>
  <r>
    <x v="1"/>
    <n v="114"/>
    <x v="0"/>
    <x v="0"/>
    <x v="0"/>
    <n v="0"/>
    <n v="203.8"/>
    <n v="85"/>
    <n v="34.65"/>
    <n v="87.8"/>
    <n v="110"/>
    <n v="7.46"/>
    <n v="166.2"/>
    <n v="122"/>
    <n v="7.48"/>
    <n v="11.7"/>
    <n v="4"/>
    <n v="3.16"/>
    <x v="0"/>
    <x v="0"/>
    <n v="469.5"/>
    <n v="52.75"/>
    <n v="321"/>
    <x v="0"/>
    <x v="2"/>
    <x v="2"/>
    <x v="0"/>
    <x v="0"/>
    <x v="0"/>
  </r>
  <r>
    <x v="17"/>
    <n v="84"/>
    <x v="1"/>
    <x v="0"/>
    <x v="0"/>
    <n v="0"/>
    <n v="280"/>
    <n v="113"/>
    <n v="47.6"/>
    <n v="202.2"/>
    <n v="90"/>
    <n v="17.190000000000001"/>
    <n v="156.80000000000001"/>
    <n v="103"/>
    <n v="7.06"/>
    <n v="10.4"/>
    <n v="4"/>
    <n v="2.81"/>
    <x v="3"/>
    <x v="1"/>
    <n v="649.4"/>
    <n v="74.66"/>
    <n v="310"/>
    <x v="0"/>
    <x v="1"/>
    <x v="0"/>
    <x v="0"/>
    <x v="0"/>
    <x v="0"/>
  </r>
  <r>
    <x v="9"/>
    <n v="114"/>
    <x v="1"/>
    <x v="0"/>
    <x v="1"/>
    <n v="26"/>
    <n v="137.1"/>
    <n v="88"/>
    <n v="23.31"/>
    <n v="155.69999999999999"/>
    <n v="125"/>
    <n v="13.23"/>
    <n v="247.6"/>
    <n v="94"/>
    <n v="11.14"/>
    <n v="11.5"/>
    <n v="7"/>
    <n v="3.11"/>
    <x v="2"/>
    <x v="0"/>
    <n v="551.9"/>
    <n v="50.79"/>
    <n v="314"/>
    <x v="2"/>
    <x v="1"/>
    <x v="2"/>
    <x v="0"/>
    <x v="1"/>
    <x v="2"/>
  </r>
  <r>
    <x v="22"/>
    <n v="106"/>
    <x v="0"/>
    <x v="0"/>
    <x v="1"/>
    <n v="29"/>
    <n v="83.6"/>
    <n v="131"/>
    <n v="14.21"/>
    <n v="203.9"/>
    <n v="131"/>
    <n v="17.329999999999998"/>
    <n v="229.5"/>
    <n v="73"/>
    <n v="10.33"/>
    <n v="8.1"/>
    <n v="3"/>
    <n v="2.19"/>
    <x v="0"/>
    <x v="0"/>
    <n v="525.1"/>
    <n v="44.06"/>
    <n v="338"/>
    <x v="0"/>
    <x v="2"/>
    <x v="2"/>
    <x v="0"/>
    <x v="1"/>
    <x v="0"/>
  </r>
  <r>
    <x v="11"/>
    <n v="60"/>
    <x v="1"/>
    <x v="0"/>
    <x v="0"/>
    <n v="0"/>
    <n v="193.9"/>
    <n v="118"/>
    <n v="32.96"/>
    <n v="85"/>
    <n v="110"/>
    <n v="7.23"/>
    <n v="210.1"/>
    <n v="134"/>
    <n v="9.4499999999999993"/>
    <n v="13.2"/>
    <n v="8"/>
    <n v="3.56"/>
    <x v="4"/>
    <x v="0"/>
    <n v="502.2"/>
    <n v="53.2"/>
    <n v="370"/>
    <x v="2"/>
    <x v="2"/>
    <x v="2"/>
    <x v="0"/>
    <x v="0"/>
    <x v="2"/>
  </r>
  <r>
    <x v="44"/>
    <n v="159"/>
    <x v="1"/>
    <x v="0"/>
    <x v="0"/>
    <n v="0"/>
    <n v="169.8"/>
    <n v="114"/>
    <n v="28.87"/>
    <n v="197.7"/>
    <n v="105"/>
    <n v="16.8"/>
    <n v="193.7"/>
    <n v="82"/>
    <n v="8.7200000000000006"/>
    <n v="11.6"/>
    <n v="4"/>
    <n v="3.13"/>
    <x v="0"/>
    <x v="0"/>
    <n v="572.80000000000007"/>
    <n v="57.52"/>
    <n v="305"/>
    <x v="0"/>
    <x v="1"/>
    <x v="1"/>
    <x v="0"/>
    <x v="0"/>
    <x v="0"/>
  </r>
  <r>
    <x v="34"/>
    <n v="184"/>
    <x v="2"/>
    <x v="1"/>
    <x v="0"/>
    <n v="0"/>
    <n v="213.8"/>
    <n v="105"/>
    <n v="36.35"/>
    <n v="159.6"/>
    <n v="84"/>
    <n v="13.57"/>
    <n v="139.19999999999999"/>
    <n v="137"/>
    <n v="6.26"/>
    <n v="5"/>
    <n v="10"/>
    <n v="1.35"/>
    <x v="2"/>
    <x v="0"/>
    <n v="517.59999999999991"/>
    <n v="57.53"/>
    <n v="336"/>
    <x v="2"/>
    <x v="2"/>
    <x v="1"/>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3FA98-0024-4755-9133-A82EDD3D4C3A}" name="CHARGES VS CHUR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29"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25"/>
  </rowFields>
  <rowItems count="4">
    <i>
      <x/>
    </i>
    <i>
      <x v="1"/>
    </i>
    <i>
      <x v="2"/>
    </i>
    <i t="grand">
      <x/>
    </i>
  </rowItems>
  <colFields count="1">
    <field x="19"/>
  </colFields>
  <colItems count="3">
    <i>
      <x/>
    </i>
    <i>
      <x v="1"/>
    </i>
    <i t="grand">
      <x/>
    </i>
  </colItems>
  <dataFields count="1">
    <dataField name="Count of Account length" fld="1" subtotal="count" showDataAs="percentOfRow" baseField="25" baseItem="1" numFmtId="10"/>
  </dataFields>
  <chartFormats count="2">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6D6295-1421-4C8E-8EB6-864AAD5F54EB}" name="CUSTOMER SERVICE CALLS DISTRIBUTION"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10:C19"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3"/>
        <item x="0"/>
        <item x="2"/>
        <item x="4"/>
        <item x="1"/>
        <item x="5"/>
        <item x="6"/>
        <item x="8"/>
        <item x="7"/>
        <item t="default"/>
      </items>
      <autoSortScope>
        <pivotArea dataOnly="0" outline="0" fieldPosition="0">
          <references count="1">
            <reference field="4294967294" count="1" selected="0">
              <x v="0"/>
            </reference>
          </references>
        </pivotArea>
      </autoSortScope>
    </pivotField>
    <pivotField axis="axisCol" showAll="0">
      <items count="3">
        <item h="1" x="0"/>
        <item x="1"/>
        <item t="default"/>
      </items>
    </pivotField>
    <pivotField showAll="0"/>
    <pivotField showAll="0"/>
    <pivotField showAll="0"/>
    <pivotField showAll="0"/>
    <pivotField showAll="0"/>
    <pivotField showAll="0"/>
    <pivotField showAll="0"/>
    <pivotField showAll="0"/>
    <pivotField showAll="0"/>
  </pivotFields>
  <rowFields count="1">
    <field x="18"/>
  </rowFields>
  <rowItems count="8">
    <i>
      <x v="2"/>
    </i>
    <i>
      <x v="1"/>
    </i>
    <i>
      <x/>
    </i>
    <i>
      <x v="4"/>
    </i>
    <i>
      <x v="5"/>
    </i>
    <i>
      <x v="3"/>
    </i>
    <i>
      <x v="6"/>
    </i>
    <i t="grand">
      <x/>
    </i>
  </rowItems>
  <colFields count="1">
    <field x="19"/>
  </colFields>
  <colItems count="2">
    <i>
      <x v="1"/>
    </i>
    <i t="grand">
      <x/>
    </i>
  </colItems>
  <dataFields count="1">
    <dataField name="Count of Account length" fld="1" subtotal="count" baseField="18"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914DC7-ABE1-43C4-B266-78B5E88C96E8}"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2:M37"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28"/>
  </rowFields>
  <rowItems count="4">
    <i>
      <x/>
    </i>
    <i>
      <x v="1"/>
    </i>
    <i>
      <x v="2"/>
    </i>
    <i t="grand">
      <x/>
    </i>
  </rowItems>
  <colFields count="1">
    <field x="19"/>
  </colFields>
  <colItems count="3">
    <i>
      <x/>
    </i>
    <i>
      <x v="1"/>
    </i>
    <i t="grand">
      <x/>
    </i>
  </colItems>
  <dataFields count="1">
    <dataField name="Count of Account length" fld="1" subtotal="count" baseField="28"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75B755-D022-45F5-B672-B8C454AF015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D37"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26"/>
  </rowFields>
  <rowItems count="4">
    <i>
      <x/>
    </i>
    <i>
      <x v="1"/>
    </i>
    <i>
      <x v="2"/>
    </i>
    <i t="grand">
      <x/>
    </i>
  </rowItems>
  <colFields count="1">
    <field x="19"/>
  </colFields>
  <colItems count="3">
    <i>
      <x/>
    </i>
    <i>
      <x v="1"/>
    </i>
    <i t="grand">
      <x/>
    </i>
  </colItems>
  <dataFields count="1">
    <dataField name="Count of Account length" fld="1" subtotal="count" showDataAs="percentOfRow" baseField="27" baseItem="1" numFmtId="10"/>
  </dataFields>
  <chartFormats count="3">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 chart="2" format="6">
      <pivotArea type="data" outline="0" fieldPosition="0">
        <references count="3">
          <reference field="4294967294" count="1" selected="0">
            <x v="0"/>
          </reference>
          <reference field="19" count="1" selected="0">
            <x v="0"/>
          </reference>
          <reference field="26"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92466B-8549-4C93-87F7-0F3B083DE14D}" name="CHURN BY AREA C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1:H26"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axis="axisRow" showAll="0" sortType="descending">
      <items count="4">
        <item x="0"/>
        <item x="1"/>
        <item x="2"/>
        <item t="default"/>
      </items>
      <autoSortScope>
        <pivotArea dataOnly="0" outline="0" fieldPosition="0">
          <references count="2">
            <reference field="4294967294" count="1" selected="0">
              <x v="0"/>
            </reference>
            <reference field="19" count="1" selected="0">
              <x v="1"/>
            </reference>
          </references>
        </pivotArea>
      </autoSortScope>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v="1"/>
    </i>
    <i>
      <x/>
    </i>
    <i>
      <x v="2"/>
    </i>
    <i t="grand">
      <x/>
    </i>
  </rowItems>
  <colFields count="1">
    <field x="19"/>
  </colFields>
  <colItems count="2">
    <i>
      <x v="1"/>
    </i>
    <i t="grand">
      <x/>
    </i>
  </colItems>
  <dataFields count="1">
    <dataField name="Count of Account length" fld="1" subtotal="count" baseField="2" baseItem="0"/>
  </dataFields>
  <chartFormats count="1">
    <chartFormat chart="2" format="2" series="1">
      <pivotArea type="data" outline="0" fieldPosition="0">
        <references count="2">
          <reference field="4294967294" count="1" selected="0">
            <x v="0"/>
          </reference>
          <reference field="1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7F560-3C5A-4D77-9601-4C6022E92C78}" name="AVERAGE CUSTOMER SERVICE CALL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ustomer service calls" fld="18" subtotal="average" baseField="0" baseItem="0" numFmtId="2"/>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C0F611-2FF5-4F48-9812-398565F2FBEC}" name="CHURN OVERVIEW BY VOICEMAIL PLA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47:H51"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9" count="1" selected="0">
              <x v="1"/>
            </reference>
          </references>
        </pivotArea>
      </autoSortScope>
    </pivotField>
    <pivotField showAll="0"/>
  </pivotFields>
  <rowFields count="1">
    <field x="27"/>
  </rowFields>
  <rowItems count="3">
    <i>
      <x v="1"/>
    </i>
    <i>
      <x/>
    </i>
    <i t="grand">
      <x/>
    </i>
  </rowItems>
  <colFields count="1">
    <field x="19"/>
  </colFields>
  <colItems count="2">
    <i>
      <x v="1"/>
    </i>
    <i t="grand">
      <x/>
    </i>
  </colItems>
  <dataFields count="1">
    <dataField name="Count of Account length" fld="1" subtotal="count" baseField="27" baseItem="0"/>
  </dataFields>
  <chartFormats count="4">
    <chartFormat chart="0" format="0" series="1">
      <pivotArea type="data" outline="0" fieldPosition="0">
        <references count="2">
          <reference field="4294967294" count="1" selected="0">
            <x v="0"/>
          </reference>
          <reference field="19" count="1" selected="0">
            <x v="1"/>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 chart="2" format="2" series="1">
      <pivotArea type="data" outline="0" fieldPosition="0">
        <references count="2">
          <reference field="4294967294" count="1" selected="0">
            <x v="0"/>
          </reference>
          <reference field="19" count="1" selected="0">
            <x v="1"/>
          </reference>
        </references>
      </pivotArea>
    </chartFormat>
    <chartFormat chart="2" format="3" series="1">
      <pivotArea type="data" outline="0" fieldPosition="0">
        <references count="2">
          <reference field="4294967294" count="1" selected="0">
            <x v="0"/>
          </reference>
          <reference field="19"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37DC59-B074-46A7-B12C-6295B52A430C}" name="CHURN RISK SEGMENTATION"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2:D7"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28"/>
  </rowFields>
  <rowItems count="4">
    <i>
      <x/>
    </i>
    <i>
      <x v="1"/>
    </i>
    <i>
      <x v="2"/>
    </i>
    <i t="grand">
      <x/>
    </i>
  </rowItems>
  <colFields count="1">
    <field x="19"/>
  </colFields>
  <colItems count="3">
    <i>
      <x/>
    </i>
    <i>
      <x v="1"/>
    </i>
    <i t="grand">
      <x/>
    </i>
  </colItems>
  <dataFields count="1">
    <dataField name="Count of Account length" fld="1" subtotal="count" baseField="28" baseItem="0"/>
  </dataFields>
  <formats count="11">
    <format dxfId="50">
      <pivotArea type="all" dataOnly="0" outline="0" fieldPosition="0"/>
    </format>
    <format dxfId="51">
      <pivotArea outline="0" collapsedLevelsAreSubtotals="1" fieldPosition="0"/>
    </format>
    <format dxfId="52">
      <pivotArea type="origin" dataOnly="0" labelOnly="1" outline="0" fieldPosition="0"/>
    </format>
    <format dxfId="53">
      <pivotArea field="19" type="button" dataOnly="0" labelOnly="1" outline="0" axis="axisCol" fieldPosition="0"/>
    </format>
    <format dxfId="54">
      <pivotArea type="topRight" dataOnly="0" labelOnly="1" outline="0" fieldPosition="0"/>
    </format>
    <format dxfId="55">
      <pivotArea field="28" type="button" dataOnly="0" labelOnly="1" outline="0" axis="axisRow" fieldPosition="0"/>
    </format>
    <format dxfId="56">
      <pivotArea dataOnly="0" labelOnly="1" fieldPosition="0">
        <references count="1">
          <reference field="28" count="0"/>
        </references>
      </pivotArea>
    </format>
    <format dxfId="57">
      <pivotArea dataOnly="0" labelOnly="1" grandRow="1" outline="0" fieldPosition="0"/>
    </format>
    <format dxfId="58">
      <pivotArea dataOnly="0" labelOnly="1" grandCol="1" outline="0" fieldPosition="0"/>
    </format>
    <format dxfId="59">
      <pivotArea collapsedLevelsAreSubtotals="1" fieldPosition="0">
        <references count="2">
          <reference field="19" count="0" selected="0"/>
          <reference field="28" count="0"/>
        </references>
      </pivotArea>
    </format>
    <format dxfId="60">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3E17B4-B236-4EC3-B7A0-F7D842FB779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8:K12" firstHeaderRow="1" firstDataRow="1"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28"/>
  </rowFields>
  <rowItems count="4">
    <i>
      <x v="1"/>
    </i>
    <i>
      <x v="2"/>
    </i>
    <i>
      <x/>
    </i>
    <i t="grand">
      <x/>
    </i>
  </rowItems>
  <colItems count="1">
    <i/>
  </colItems>
  <dataFields count="1">
    <dataField name="Count of Account length" fld="1" subtotal="count" baseField="28"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8" count="1" selected="0">
            <x v="1"/>
          </reference>
        </references>
      </pivotArea>
    </chartFormat>
    <chartFormat chart="2" format="7">
      <pivotArea type="data" outline="0" fieldPosition="0">
        <references count="2">
          <reference field="4294967294" count="1" selected="0">
            <x v="0"/>
          </reference>
          <reference field="28" count="1" selected="0">
            <x v="2"/>
          </reference>
        </references>
      </pivotArea>
    </chartFormat>
    <chartFormat chart="2" format="8">
      <pivotArea type="data" outline="0" fieldPosition="0">
        <references count="2">
          <reference field="4294967294" count="1" selected="0">
            <x v="0"/>
          </reference>
          <reference field="28"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21CD66-8579-4247-9DDD-524012958549}" name="CUSTOMER USAGE VS CHUR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4:M29"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s>
  <rowFields count="1">
    <field x="24"/>
  </rowFields>
  <rowItems count="4">
    <i>
      <x/>
    </i>
    <i>
      <x v="1"/>
    </i>
    <i>
      <x v="2"/>
    </i>
    <i t="grand">
      <x/>
    </i>
  </rowItems>
  <colFields count="1">
    <field x="19"/>
  </colFields>
  <colItems count="3">
    <i>
      <x/>
    </i>
    <i>
      <x v="1"/>
    </i>
    <i t="grand">
      <x/>
    </i>
  </colItems>
  <dataFields count="1">
    <dataField name="Count of Account length" fld="1" subtotal="count" showDataAs="percentOfRow" baseField="24" baseItem="0" numFmtId="10"/>
  </dataFields>
  <chartFormats count="2">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514FF1-2B86-44A8-8EBB-E42528CEBAC3}" name="AVERAGE TOTAL CHARG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Total charges" fld="21" subtotal="average" baseField="0" baseItem="0" numFmtId="164"/>
  </dataFields>
  <formats count="1">
    <format dxfId="61">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6701A3-2001-449F-8741-1EEB742698DF}" name="CHURN OVERVIEW INT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C51"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19" count="1" selected="0">
              <x v="1"/>
            </reference>
          </references>
        </pivotArea>
      </autoSortScope>
    </pivotField>
    <pivotField showAll="0"/>
    <pivotField showAll="0"/>
  </pivotFields>
  <rowFields count="1">
    <field x="26"/>
  </rowFields>
  <rowItems count="3">
    <i>
      <x v="2"/>
    </i>
    <i>
      <x v="1"/>
    </i>
    <i t="grand">
      <x/>
    </i>
  </rowItems>
  <colFields count="1">
    <field x="19"/>
  </colFields>
  <colItems count="2">
    <i>
      <x v="1"/>
    </i>
    <i t="grand">
      <x/>
    </i>
  </colItems>
  <dataFields count="1">
    <dataField name="Count of Account length" fld="1" subtotal="count" baseField="26" baseItem="0"/>
  </dataFields>
  <chartFormats count="2">
    <chartFormat chart="2" format="2" series="1">
      <pivotArea type="data" outline="0" fieldPosition="0">
        <references count="2">
          <reference field="4294967294" count="1" selected="0">
            <x v="0"/>
          </reference>
          <reference field="19" count="1" selected="0">
            <x v="1"/>
          </reference>
        </references>
      </pivotArea>
    </chartFormat>
    <chartFormat chart="2" format="3" series="1">
      <pivotArea type="data" outline="0" fieldPosition="0">
        <references count="2">
          <reference field="4294967294" count="1" selected="0">
            <x v="0"/>
          </reference>
          <reference field="19"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E80314-F4D3-4F1C-8F8C-A5AE1AA0D2EA}" name="VOICEMAIL PLAN VS CHUR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4"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9" count="1" selected="0">
              <x v="1"/>
            </reference>
          </references>
        </pivotArea>
      </autoSortScope>
    </pivotField>
    <pivotField showAll="0"/>
  </pivotFields>
  <rowFields count="1">
    <field x="27"/>
  </rowFields>
  <rowItems count="3">
    <i>
      <x v="1"/>
    </i>
    <i>
      <x/>
    </i>
    <i t="grand">
      <x/>
    </i>
  </rowItems>
  <colFields count="1">
    <field x="19"/>
  </colFields>
  <colItems count="3">
    <i>
      <x/>
    </i>
    <i>
      <x v="1"/>
    </i>
    <i t="grand">
      <x/>
    </i>
  </colItems>
  <dataFields count="1">
    <dataField name="Count of Account length" fld="1" subtotal="count" showDataAs="percentOfRow" baseField="4" baseItem="0" numFmtId="10"/>
  </dataFields>
  <chartFormats count="6">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5" format="2" series="1">
      <pivotArea type="data" outline="0" fieldPosition="0">
        <references count="2">
          <reference field="4294967294" count="1" selected="0">
            <x v="0"/>
          </reference>
          <reference field="19" count="1" selected="0">
            <x v="0"/>
          </reference>
        </references>
      </pivotArea>
    </chartFormat>
    <chartFormat chart="5" format="3" series="1">
      <pivotArea type="data" outline="0" fieldPosition="0">
        <references count="2">
          <reference field="4294967294" count="1" selected="0">
            <x v="0"/>
          </reference>
          <reference field="1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2E327C-AD23-4BD4-AD54-F99CBD3ABF3B}" name="CHURN DIS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K5" firstHeaderRow="1" firstDataRow="1"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Account length" fld="1" subtotal="count" baseField="19"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0"/>
          </reference>
        </references>
      </pivotArea>
    </chartFormat>
    <chartFormat chart="4" format="6">
      <pivotArea type="data" outline="0" fieldPosition="0">
        <references count="2">
          <reference field="4294967294" count="1" selected="0">
            <x v="0"/>
          </reference>
          <reference field="1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5CF8FC-AA64-44DA-B221-21DB5C797E9D}" name="CUSTOMER SERVICE CALLS VS CHUR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6:M21" firstHeaderRow="1" firstDataRow="2"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23"/>
  </rowFields>
  <rowItems count="4">
    <i>
      <x/>
    </i>
    <i>
      <x v="1"/>
    </i>
    <i>
      <x v="2"/>
    </i>
    <i t="grand">
      <x/>
    </i>
  </rowItems>
  <colFields count="1">
    <field x="19"/>
  </colFields>
  <colItems count="3">
    <i>
      <x/>
    </i>
    <i>
      <x v="1"/>
    </i>
    <i t="grand">
      <x/>
    </i>
  </colItems>
  <dataFields count="1">
    <dataField name="Count of Account length" fld="1" subtotal="count" showDataAs="percentOfRow" baseField="23" baseItem="0" numFmtId="10"/>
  </dataFields>
  <chartFormats count="3">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 chart="2" format="6">
      <pivotArea type="data" outline="0" fieldPosition="0">
        <references count="3">
          <reference field="4294967294" count="1" selected="0">
            <x v="0"/>
          </reference>
          <reference field="19" count="1" selected="0">
            <x v="1"/>
          </reference>
          <reference field="23"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8CCA0B-614C-42FE-B991-5B9EBD045E76}" name="CHURN R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G32" firstHeaderRow="1" firstDataRow="1" firstDataCol="1"/>
  <pivotFields count="29">
    <pivotField showAll="0">
      <items count="52">
        <item x="5"/>
        <item x="22"/>
        <item x="47"/>
        <item x="16"/>
        <item x="17"/>
        <item x="15"/>
        <item x="34"/>
        <item x="39"/>
        <item x="36"/>
        <item x="29"/>
        <item x="50"/>
        <item x="4"/>
        <item x="49"/>
        <item x="7"/>
        <item x="41"/>
        <item x="1"/>
        <item x="30"/>
        <item x="14"/>
        <item x="0"/>
        <item x="13"/>
        <item x="43"/>
        <item x="40"/>
        <item x="6"/>
        <item x="10"/>
        <item x="21"/>
        <item x="27"/>
        <item x="12"/>
        <item x="31"/>
        <item x="46"/>
        <item x="19"/>
        <item x="23"/>
        <item x="42"/>
        <item x="24"/>
        <item x="38"/>
        <item x="2"/>
        <item x="20"/>
        <item x="33"/>
        <item x="25"/>
        <item x="45"/>
        <item x="35"/>
        <item x="3"/>
        <item x="32"/>
        <item x="48"/>
        <item x="26"/>
        <item x="37"/>
        <item x="8"/>
        <item x="11"/>
        <item x="18"/>
        <item x="9"/>
        <item x="44"/>
        <item x="28"/>
        <item t="default"/>
      </items>
    </pivotField>
    <pivotField dataField="1" showAll="0"/>
    <pivotField showAll="0">
      <items count="4">
        <item x="0"/>
        <item x="1"/>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Account length" fld="1" subtotal="count" showDataAs="percentOfTotal" baseField="19" baseItem="1"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4AED541B-98CC-420B-96A8-E9473A19B15A}" sourceName="Churn">
  <pivotTables>
    <pivotTable tabId="2" name="PivotTable16"/>
    <pivotTable tabId="2" name="CHURN RISK SEGMENTATION"/>
    <pivotTable tabId="2" name="PivotTable12"/>
    <pivotTable tabId="2" name="PivotTable17"/>
    <pivotTable tabId="2" name="CHURN RATE"/>
    <pivotTable tabId="2" name="AVERAGE CUSTOMER SERVICE CALLS"/>
    <pivotTable tabId="2" name="AVERAGE TOTAL CHARGES"/>
    <pivotTable tabId="2" name="CHARGES VS CHURN"/>
    <pivotTable tabId="2" name="CUSTOMER USAGE VS CHURN"/>
    <pivotTable tabId="2" name="CUSTOMER SERVICE CALLS VS CHURN"/>
  </pivotTables>
  <data>
    <tabular pivotCacheId="15123389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95E7F5E-7455-4A51-8BE6-36BEA7E59FDC}" sourceName="State">
  <pivotTables>
    <pivotTable tabId="2" name="CHARGES VS CHURN"/>
    <pivotTable tabId="2" name="CHURN BY AREA CODE"/>
    <pivotTable tabId="2" name="CHURN DISTRIBUTION"/>
    <pivotTable tabId="2" name="CHURN OVERVIEW BY VOICEMAIL PLAN"/>
    <pivotTable tabId="2" name="CHURN OVERVIEW INTL"/>
    <pivotTable tabId="2" name="CUSTOMER SERVICE CALLS DISTRIBUTION"/>
    <pivotTable tabId="2" name="CUSTOMER SERVICE CALLS VS CHURN"/>
    <pivotTable tabId="2" name="CUSTOMER USAGE VS CHURN"/>
    <pivotTable tabId="2" name="CHURN RISK SEGMENTATION"/>
    <pivotTable tabId="2" name="PivotTable12"/>
    <pivotTable tabId="2" name="PivotTable16"/>
    <pivotTable tabId="2" name="PivotTable17"/>
    <pivotTable tabId="2" name="CHURN RATE"/>
    <pivotTable tabId="2" name="AVERAGE CUSTOMER SERVICE CALLS"/>
    <pivotTable tabId="2" name="AVERAGE TOTAL CHARGES"/>
    <pivotTable tabId="2" name="VOICEMAIL PLAN VS CHURN"/>
  </pivotTables>
  <data>
    <tabular pivotCacheId="1512338966">
      <items count="51">
        <i x="5" s="1"/>
        <i x="22" s="1"/>
        <i x="47" s="1"/>
        <i x="16" s="1"/>
        <i x="17" s="1"/>
        <i x="15" s="1"/>
        <i x="34" s="1"/>
        <i x="39" s="1"/>
        <i x="36" s="1"/>
        <i x="29" s="1"/>
        <i x="50" s="1"/>
        <i x="4" s="1"/>
        <i x="49" s="1"/>
        <i x="7" s="1"/>
        <i x="41" s="1"/>
        <i x="1" s="1"/>
        <i x="30" s="1"/>
        <i x="14" s="1"/>
        <i x="0" s="1"/>
        <i x="13" s="1"/>
        <i x="43" s="1"/>
        <i x="40" s="1"/>
        <i x="6" s="1"/>
        <i x="10" s="1"/>
        <i x="21" s="1"/>
        <i x="27" s="1"/>
        <i x="12" s="1"/>
        <i x="31" s="1"/>
        <i x="46" s="1"/>
        <i x="19" s="1"/>
        <i x="23" s="1"/>
        <i x="42" s="1"/>
        <i x="24" s="1"/>
        <i x="38" s="1"/>
        <i x="2" s="1"/>
        <i x="20" s="1"/>
        <i x="33" s="1"/>
        <i x="25" s="1"/>
        <i x="45" s="1"/>
        <i x="35" s="1"/>
        <i x="3" s="1"/>
        <i x="32" s="1"/>
        <i x="48" s="1"/>
        <i x="26" s="1"/>
        <i x="37" s="1"/>
        <i x="8" s="1"/>
        <i x="11" s="1"/>
        <i x="18" s="1"/>
        <i x="9" s="1"/>
        <i x="44" s="1"/>
        <i x="2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 xr10:uid="{811A4EF8-7EE9-48D1-897F-24BABF6CACC4}" sourceName="Area code">
  <pivotTables>
    <pivotTable tabId="2" name="PivotTable17"/>
    <pivotTable tabId="2" name="AVERAGE CUSTOMER SERVICE CALLS"/>
    <pivotTable tabId="2" name="AVERAGE TOTAL CHARGES"/>
    <pivotTable tabId="2" name="CHARGES VS CHURN"/>
    <pivotTable tabId="2" name="CHURN DISTRIBUTION"/>
    <pivotTable tabId="2" name="CHURN OVERVIEW BY VOICEMAIL PLAN"/>
    <pivotTable tabId="2" name="CHURN OVERVIEW INTL"/>
    <pivotTable tabId="2" name="CHURN RATE"/>
    <pivotTable tabId="2" name="CHURN RISK SEGMENTATION"/>
    <pivotTable tabId="2" name="CUSTOMER SERVICE CALLS DISTRIBUTION"/>
    <pivotTable tabId="2" name="CUSTOMER SERVICE CALLS VS CHURN"/>
    <pivotTable tabId="2" name="CUSTOMER USAGE VS CHURN"/>
    <pivotTable tabId="2" name="PivotTable12"/>
    <pivotTable tabId="2" name="PivotTable16"/>
    <pivotTable tabId="2" name="VOICEMAIL PLAN VS CHURN"/>
  </pivotTables>
  <data>
    <tabular pivotCacheId="15123389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E62376CF-67DD-4829-839E-B3EB00EB9B4D}" sourceName="International plan">
  <pivotTables>
    <pivotTable tabId="2" name="VOICEMAIL PLAN VS CHURN"/>
    <pivotTable tabId="2" name="CHARGES VS CHURN"/>
    <pivotTable tabId="2" name="CHURN BY AREA CODE"/>
    <pivotTable tabId="2" name="CHURN DISTRIBUTION"/>
    <pivotTable tabId="2" name="CHURN OVERVIEW BY VOICEMAIL PLAN"/>
    <pivotTable tabId="2" name="CHURN OVERVIEW INTL"/>
    <pivotTable tabId="2" name="CUSTOMER SERVICE CALLS DISTRIBUTION"/>
    <pivotTable tabId="2" name="CUSTOMER SERVICE CALLS VS CHURN"/>
    <pivotTable tabId="2" name="CUSTOMER USAGE VS CHURN"/>
    <pivotTable tabId="2" name="CHURN RISK SEGMENTATION"/>
    <pivotTable tabId="2" name="PivotTable12"/>
    <pivotTable tabId="2" name="PivotTable16"/>
    <pivotTable tabId="2" name="PivotTable17"/>
    <pivotTable tabId="2" name="CHURN RATE"/>
    <pivotTable tabId="2" name="AVERAGE CUSTOMER SERVICE CALLS"/>
    <pivotTable tabId="2" name="AVERAGE TOTAL CHARGES"/>
  </pivotTables>
  <data>
    <tabular pivotCacheId="151233896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C3B185EE-BFC9-4CAD-8179-5DEFFA74F43D}" sourceName="Voice mail plan">
  <pivotTables>
    <pivotTable tabId="2" name="VOICEMAIL PLAN VS CHURN"/>
    <pivotTable tabId="2" name="CHARGES VS CHURN"/>
    <pivotTable tabId="2" name="CHURN BY AREA CODE"/>
    <pivotTable tabId="2" name="CHURN OVERVIEW INTL"/>
    <pivotTable tabId="2" name="CUSTOMER SERVICE CALLS DISTRIBUTION"/>
    <pivotTable tabId="2" name="CUSTOMER SERVICE CALLS VS CHURN"/>
    <pivotTable tabId="2" name="CHURN RISK SEGMENTATION"/>
    <pivotTable tabId="2" name="PivotTable12"/>
    <pivotTable tabId="2" name="PivotTable16"/>
    <pivotTable tabId="2" name="PivotTable17"/>
    <pivotTable tabId="2" name="CHURN RATE"/>
    <pivotTable tabId="2" name="AVERAGE CUSTOMER SERVICE CALLS"/>
    <pivotTable tabId="2" name="AVERAGE TOTAL CHARGES"/>
  </pivotTables>
  <data>
    <tabular pivotCacheId="15123389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DDCB546F-C05A-44DF-A394-98440C8F82A5}" cache="Slicer_Churn" caption="Churn" columnCount="2" rowHeight="731520"/>
  <slicer name="State" xr10:uid="{12132E09-1652-496F-AE08-09E2B91A871B}" cache="Slicer_State" caption="State" startItem="28" rowHeight="548640"/>
  <slicer name="Area code" xr10:uid="{88DB90DE-2CCC-4B69-9753-527FFCEB82DF}" cache="Slicer_Area_code" caption="Area code" rowHeight="640080"/>
  <slicer name="International plan" xr10:uid="{0ACBBE89-4454-4488-833F-79B97649BD9D}" cache="Slicer_International_plan" caption="International plan" rowHeight="548640"/>
  <slicer name="Voice mail plan" xr10:uid="{94688940-6076-4EBE-AE70-CFEAD2D64E4C}" cache="Slicer_Voice_mail_plan" caption="Voice mail plan"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27C14E-5AB0-4C70-B96A-23D8C179D25B}" name="Table1" displayName="Table1" ref="A1:AC668" totalsRowShown="0">
  <autoFilter ref="A1:AC668" xr:uid="{7D27C14E-5AB0-4C70-B96A-23D8C179D25B}"/>
  <tableColumns count="29">
    <tableColumn id="1" xr3:uid="{965DA72B-4622-4276-B674-287FCE9015F4}" name="State"/>
    <tableColumn id="2" xr3:uid="{E7BBC108-8E6C-4579-824A-356343E9D231}" name="Account length"/>
    <tableColumn id="3" xr3:uid="{D0B3E7D6-247A-4D70-90AE-B1712CFEEE87}" name="Area code"/>
    <tableColumn id="4" xr3:uid="{E08C7E87-DAFF-4F4D-817E-54AB8BF1CD04}" name="International plan"/>
    <tableColumn id="5" xr3:uid="{DB879B91-5D82-4EE2-8D19-FDD30096D550}" name="Voice mail plan"/>
    <tableColumn id="6" xr3:uid="{0B03F341-6D0B-429E-B718-014FD887621C}" name="Number vmail messages"/>
    <tableColumn id="7" xr3:uid="{07C52186-C3F8-4DC3-847F-8ABD39187507}" name="Total day minutes"/>
    <tableColumn id="8" xr3:uid="{2CA1211E-172F-4E79-A3D3-55C651AD7DF1}" name="Total day calls"/>
    <tableColumn id="9" xr3:uid="{04B04E18-9C0F-433A-9FB1-06FD9CDA44D1}" name="Total day charge"/>
    <tableColumn id="10" xr3:uid="{E4394B83-CE3D-4EBB-89A1-DD002FB9D484}" name="Total eve minutes"/>
    <tableColumn id="11" xr3:uid="{106BC5AD-6C3F-455D-B634-490FCC10FE9B}" name="Total eve calls"/>
    <tableColumn id="12" xr3:uid="{B3D27358-6FDF-4690-A19A-AA0AE4B83CF7}" name="Total eve charge"/>
    <tableColumn id="13" xr3:uid="{1513E47D-8F00-4DFF-9CAD-050EC4DFBCCE}" name="Total night minutes"/>
    <tableColumn id="14" xr3:uid="{9BD21ACB-93CB-4A56-9274-F0C1023391D9}" name="Total night calls"/>
    <tableColumn id="15" xr3:uid="{D2F0FB8C-1A29-46CD-82E9-3E191E063B48}" name="Total night charge"/>
    <tableColumn id="16" xr3:uid="{B503AB60-24DD-46F2-91A9-0E3766CAF2F2}" name="Total intl minutes"/>
    <tableColumn id="17" xr3:uid="{C0D9B0AB-9454-4FAD-9312-1E9995DB0FAE}" name="Total intl calls"/>
    <tableColumn id="18" xr3:uid="{D8631294-A3B5-4750-9CC5-6440614019B7}" name="Total intl charge"/>
    <tableColumn id="19" xr3:uid="{EF1A7354-773E-4B34-81AA-5FCB6995B1BC}" name="Customer service calls"/>
    <tableColumn id="20" xr3:uid="{DE12A0B1-EDCD-4246-8E45-1ADFA31F497F}" name="Churn"/>
    <tableColumn id="21" xr3:uid="{5D06BF60-ECF0-4E78-AF1A-7D96FA4B1A34}" name="Total usage(Min)" dataDxfId="74">
      <calculatedColumnFormula>IFERROR(SUM(Table1[[#This Row],[Total day minutes]],Table1[[#This Row],[Total eve minutes]],Table1[[#This Row],[Total night minutes]],Table1[[#This Row],[Total intl minutes]]),0)</calculatedColumnFormula>
    </tableColumn>
    <tableColumn id="23" xr3:uid="{453492E8-E53A-4A93-81BE-41DC35B4DEA2}" name="Total charges" dataDxfId="73">
      <calculatedColumnFormula>SUM(Table1[[#This Row],[Total intl charge]],Table1[[#This Row],[Total night charge]],Table1[[#This Row],[Total eve charge]],Table1[[#This Row],[Total day charge]])</calculatedColumnFormula>
    </tableColumn>
    <tableColumn id="24" xr3:uid="{05EE9995-0196-40FD-9424-52512805F955}" name="Total calls" dataDxfId="72">
      <calculatedColumnFormula>SUM(Table1[[#This Row],[Total intl calls]],Table1[[#This Row],[Total night calls]],Table1[[#This Row],[Total eve calls]],Table1[[#This Row],[Total day calls]])</calculatedColumnFormula>
    </tableColumn>
    <tableColumn id="27" xr3:uid="{36454AAE-8CA7-44B7-BD74-CF45E0F0110F}" name="Customer service risk level" dataDxfId="71">
      <calculatedColumnFormula array="1">_xlfn.IFS(Table1[[#This Row],[Customer service calls]]&gt;=4,"High risk",Table1[[#This Row],[Customer service calls]]&gt;=2,"Medium risk",TRUE,"Low risk")</calculatedColumnFormula>
    </tableColumn>
    <tableColumn id="28" xr3:uid="{E34BDD87-C520-49F3-9396-61709888F802}" name="Customer usage risk level" dataDxfId="70">
      <calculatedColumnFormula array="1">IFERROR(_xlfn.IFS(Table1[[#This Row],[Total usage(Min)]]&gt;=AVERAGE(U:U)*1.1,"High risk",Table1[[#This Row],[Total usage(Min)]]&lt;= AVERAGE(U:U)*0.9,"Low risk",TRUE,"Medium risk"),"N/A")</calculatedColumnFormula>
    </tableColumn>
    <tableColumn id="29" xr3:uid="{59CCC5A2-5BEF-4EC3-8365-832C6919B5A9}" name="Charges risk level" dataDxfId="69">
      <calculatedColumnFormula array="1">IFERROR(_xlfn.IFS(Table1[[#This Row],[Total charges]]&gt;=AVERAGE(V:V)*1.1,"High risk",Table1[[#This Row],[Total charges]]&lt;=AVERAGE(V:V)*0.9,"Low risk",TRUE,"Medium risk"),"N/A")</calculatedColumnFormula>
    </tableColumn>
    <tableColumn id="30" xr3:uid="{DCE55591-3E27-4F5D-A240-D4A06A718D66}" name="Intl usage behaviour" dataDxfId="68">
      <calculatedColumnFormula>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calculatedColumnFormula>
    </tableColumn>
    <tableColumn id="31" xr3:uid="{AD232297-DB39-4BA3-A3FB-F3869244CB71}" name="Voicemail usage behaviour" dataDxfId="67">
      <calculatedColumnFormula>IF(AND(Table1[[#This Row],[Voice mail plan]]="Yes",Table1[[#This Row],[Number vmail messages]]&gt;0),"Active user",IF(AND(Table1[[#This Row],[Voice mail plan]]="Yes",Table1[[#This Row],[Number vmail messages]]=0),"Unused",IF(AND(Table1[[#This Row],[Voice mail plan]]="No",Table1[[#This Row],[Number vmail messages]]&gt;0),"Unsubscribed usage","Inactive")))</calculatedColumnFormula>
    </tableColumn>
    <tableColumn id="32" xr3:uid="{B87A908B-47E2-472F-B543-265206F67D56}" name="Risk segmentation" dataDxfId="66">
      <calculatedColumnFormula array="1">_xlfn.IFS(
AND(Table1[[#This Row],[Customer service risk level]]="High risk", Table1[[#This Row],[Intl usage behaviour]]="Unplanned Usage"),"High Risk",
OR(Table1[[#This Row],[Customer service risk level]]="Medium risk", Table1[[#This Row],[Charges risk level]]="High risk "),"Medium Risk",
TRUE,"Low Risk"
)</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E70EB0-AA7F-4C8E-AA8F-23EBB9B047CF}" name="Table2" displayName="Table2" ref="F35:G40" totalsRowShown="0">
  <autoFilter ref="F35:G40" xr:uid="{1AE70EB0-AA7F-4C8E-AA8F-23EBB9B047CF}"/>
  <sortState xmlns:xlrd2="http://schemas.microsoft.com/office/spreadsheetml/2017/richdata2" ref="F36:G40">
    <sortCondition ref="F36:F40"/>
  </sortState>
  <tableColumns count="2">
    <tableColumn id="1" xr3:uid="{6A22C882-3E74-4DDC-8B79-DE5FDD58E3E0}" name="Drivers"/>
    <tableColumn id="2" xr3:uid="{EE3940AE-92A8-45B4-9367-DD53801A85E8}" name="Impact" dataDxfId="6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A0CA72-C340-4259-A4C0-14C0DBF01DEE}" name="Table4" displayName="Table4" ref="F12:H17" totalsRowShown="0">
  <autoFilter ref="F12:H17" xr:uid="{B7A0CA72-C340-4259-A4C0-14C0DBF01DEE}"/>
  <sortState xmlns:xlrd2="http://schemas.microsoft.com/office/spreadsheetml/2017/richdata2" ref="F13:G17">
    <sortCondition descending="1" ref="G14:G17"/>
  </sortState>
  <tableColumns count="3">
    <tableColumn id="1" xr3:uid="{56F45944-8F94-4B27-8936-0EB5407D36CA}" name="Drivers"/>
    <tableColumn id="2" xr3:uid="{61C7A0B4-82A3-498B-A626-93EAF5B56A17}" name="customers"/>
    <tableColumn id="3" xr3:uid="{145410A0-FCBA-4AC8-951F-D4ABB79205A1}" name="%" dataCellStyle="Percent">
      <calculatedColumnFormula>Table4[[#This Row],[customers]]/SUM(Table4[customers])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9F8C-FD55-47AF-81E2-8DE0DD5048F5}">
  <dimension ref="A1:AC668"/>
  <sheetViews>
    <sheetView topLeftCell="S1" workbookViewId="0">
      <pane ySplit="1" topLeftCell="A2" activePane="bottomLeft" state="frozen"/>
      <selection activeCell="M1" sqref="M1"/>
      <selection pane="bottomLeft" activeCell="AB2" sqref="AB2"/>
    </sheetView>
  </sheetViews>
  <sheetFormatPr defaultRowHeight="15" x14ac:dyDescent="0.25"/>
  <cols>
    <col min="1" max="1" width="7.42578125" customWidth="1"/>
    <col min="2" max="2" width="16.140625" customWidth="1"/>
    <col min="3" max="3" width="11.85546875" customWidth="1"/>
    <col min="4" max="4" width="19" customWidth="1"/>
    <col min="5" max="5" width="16.85546875" customWidth="1"/>
    <col min="6" max="6" width="24.85546875" customWidth="1"/>
    <col min="7" max="7" width="18.7109375" customWidth="1"/>
    <col min="8" max="8" width="15.85546875" customWidth="1"/>
    <col min="9" max="9" width="17.5703125" customWidth="1"/>
    <col min="10" max="10" width="18.42578125" customWidth="1"/>
    <col min="11" max="11" width="15.5703125" customWidth="1"/>
    <col min="12" max="12" width="17.28515625" customWidth="1"/>
    <col min="13" max="13" width="20" customWidth="1"/>
    <col min="14" max="14" width="17.140625" customWidth="1"/>
    <col min="15" max="15" width="18.85546875" customWidth="1"/>
    <col min="16" max="16" width="18.42578125" customWidth="1"/>
    <col min="17" max="17" width="15.5703125" customWidth="1"/>
    <col min="18" max="18" width="17.28515625" customWidth="1"/>
    <col min="19" max="19" width="22.85546875" customWidth="1"/>
    <col min="20" max="20" width="8.42578125" customWidth="1"/>
    <col min="21" max="21" width="18.28515625" bestFit="1" customWidth="1"/>
    <col min="22" max="22" width="15.140625" bestFit="1" customWidth="1"/>
    <col min="23" max="23" width="12.28515625" bestFit="1" customWidth="1"/>
    <col min="24" max="24" width="28.42578125" bestFit="1" customWidth="1"/>
    <col min="25" max="25" width="27" bestFit="1" customWidth="1"/>
    <col min="26" max="26" width="19.5703125" bestFit="1" customWidth="1"/>
    <col min="27" max="27" width="24" bestFit="1" customWidth="1"/>
    <col min="28" max="28" width="27.85546875" bestFit="1" customWidth="1"/>
    <col min="29" max="29" width="20.28515625"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73</v>
      </c>
      <c r="V1" t="s">
        <v>74</v>
      </c>
      <c r="W1" t="s">
        <v>75</v>
      </c>
      <c r="X1" t="s">
        <v>76</v>
      </c>
      <c r="Y1" t="s">
        <v>77</v>
      </c>
      <c r="Z1" t="s">
        <v>78</v>
      </c>
      <c r="AA1" t="s">
        <v>79</v>
      </c>
      <c r="AB1" t="s">
        <v>80</v>
      </c>
      <c r="AC1" t="s">
        <v>81</v>
      </c>
    </row>
    <row r="2" spans="1:29" x14ac:dyDescent="0.25">
      <c r="A2" t="s">
        <v>20</v>
      </c>
      <c r="B2">
        <v>117</v>
      </c>
      <c r="C2">
        <v>408</v>
      </c>
      <c r="D2" t="s">
        <v>21</v>
      </c>
      <c r="E2" t="s">
        <v>21</v>
      </c>
      <c r="F2">
        <v>0</v>
      </c>
      <c r="G2">
        <v>184.5</v>
      </c>
      <c r="H2">
        <v>97</v>
      </c>
      <c r="I2">
        <v>31.37</v>
      </c>
      <c r="J2">
        <v>351.6</v>
      </c>
      <c r="K2">
        <v>80</v>
      </c>
      <c r="L2">
        <v>29.89</v>
      </c>
      <c r="M2">
        <v>215.8</v>
      </c>
      <c r="N2">
        <v>90</v>
      </c>
      <c r="O2">
        <v>9.7100000000000009</v>
      </c>
      <c r="P2">
        <v>8.6999999999999993</v>
      </c>
      <c r="Q2">
        <v>4</v>
      </c>
      <c r="R2">
        <v>2.35</v>
      </c>
      <c r="S2">
        <v>1</v>
      </c>
      <c r="T2" t="b">
        <v>0</v>
      </c>
      <c r="U2">
        <f>IFERROR(SUM(Table1[[#This Row],[Total day minutes]],Table1[[#This Row],[Total eve minutes]],Table1[[#This Row],[Total night minutes]],Table1[[#This Row],[Total intl minutes]]),0)</f>
        <v>760.60000000000014</v>
      </c>
      <c r="V2">
        <f>SUM(Table1[[#This Row],[Total intl charge]],Table1[[#This Row],[Total night charge]],Table1[[#This Row],[Total eve charge]],Table1[[#This Row],[Total day charge]])</f>
        <v>73.320000000000007</v>
      </c>
      <c r="W2">
        <f>SUM(Table1[[#This Row],[Total intl calls]],Table1[[#This Row],[Total night calls]],Table1[[#This Row],[Total eve calls]],Table1[[#This Row],[Total day calls]])</f>
        <v>271</v>
      </c>
      <c r="X2" t="str" cm="1">
        <f t="array" ref="X2">_xlfn.IFS(Table1[[#This Row],[Customer service calls]]&gt;=4,"High risk",Table1[[#This Row],[Customer service calls]]&gt;=2,"Medium risk",TRUE,"Low risk")</f>
        <v>Low risk</v>
      </c>
      <c r="Y2" t="str" cm="1">
        <f t="array" ref="Y2">IFERROR(_xlfn.IFS(Table1[[#This Row],[Total usage(Min)]]&gt;=AVERAGE(U:U)*1.1,"High risk",Table1[[#This Row],[Total usage(Min)]]&lt;= AVERAGE(U:U)*0.9,"Low risk",TRUE,"Medium risk"),"N/A")</f>
        <v>High risk</v>
      </c>
      <c r="Z2" t="str" cm="1">
        <f t="array" ref="Z2">IFERROR(_xlfn.IFS(Table1[[#This Row],[Total charges]]&gt;=AVERAGE(V:V)*1.1,"High risk",Table1[[#This Row],[Total charges]]&lt;=AVERAGE(V:V)*0.9,"Low risk",TRUE,"Medium risk"),"N/A")</f>
        <v>High risk</v>
      </c>
      <c r="AA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 t="str" cm="1">
        <f t="array" ref="AC2">_xlfn.IFS(
AND(Table1[[#This Row],[Customer service risk level]]="High risk", Table1[[#This Row],[Intl usage behaviour]]="Unplanned Usage"),"High Risk",
OR(Table1[[#This Row],[Customer service risk level]]="Medium risk", Table1[[#This Row],[Charges risk level]]="High risk "),"Medium Risk",
TRUE,"Low Risk"
)</f>
        <v>Low Risk</v>
      </c>
    </row>
    <row r="3" spans="1:29" x14ac:dyDescent="0.25">
      <c r="A3" t="s">
        <v>22</v>
      </c>
      <c r="B3">
        <v>65</v>
      </c>
      <c r="C3">
        <v>415</v>
      </c>
      <c r="D3" t="s">
        <v>21</v>
      </c>
      <c r="E3" t="s">
        <v>21</v>
      </c>
      <c r="F3">
        <v>0</v>
      </c>
      <c r="G3">
        <v>129.1</v>
      </c>
      <c r="H3">
        <v>137</v>
      </c>
      <c r="I3">
        <v>21.95</v>
      </c>
      <c r="J3">
        <v>228.5</v>
      </c>
      <c r="K3">
        <v>83</v>
      </c>
      <c r="L3">
        <v>19.420000000000002</v>
      </c>
      <c r="M3">
        <v>208.8</v>
      </c>
      <c r="N3">
        <v>111</v>
      </c>
      <c r="O3">
        <v>9.4</v>
      </c>
      <c r="P3">
        <v>12.7</v>
      </c>
      <c r="Q3">
        <v>6</v>
      </c>
      <c r="R3">
        <v>3.43</v>
      </c>
      <c r="S3">
        <v>4</v>
      </c>
      <c r="T3" t="b">
        <v>1</v>
      </c>
      <c r="U3">
        <f>IFERROR(SUM(Table1[[#This Row],[Total day minutes]],Table1[[#This Row],[Total eve minutes]],Table1[[#This Row],[Total night minutes]],Table1[[#This Row],[Total intl minutes]]),0)</f>
        <v>579.10000000000014</v>
      </c>
      <c r="V3">
        <f>SUM(Table1[[#This Row],[Total intl charge]],Table1[[#This Row],[Total night charge]],Table1[[#This Row],[Total eve charge]],Table1[[#This Row],[Total day charge]])</f>
        <v>54.2</v>
      </c>
      <c r="W3">
        <f>SUM(Table1[[#This Row],[Total intl calls]],Table1[[#This Row],[Total night calls]],Table1[[#This Row],[Total eve calls]],Table1[[#This Row],[Total day calls]])</f>
        <v>337</v>
      </c>
      <c r="X3" t="str" cm="1">
        <f t="array" ref="X3">_xlfn.IFS(Table1[[#This Row],[Customer service calls]]&gt;=4,"High risk",Table1[[#This Row],[Customer service calls]]&gt;=2,"Medium risk",TRUE,"Low risk")</f>
        <v>High risk</v>
      </c>
      <c r="Y3" t="str" cm="1">
        <f t="array" ref="Y3">IFERROR(_xlfn.IFS(Table1[[#This Row],[Total usage(Min)]]&gt;=AVERAGE(U:U)*1.1,"High risk",Table1[[#This Row],[Total usage(Min)]]&lt;= AVERAGE(U:U)*0.9,"Low risk",TRUE,"Medium risk"),"N/A")</f>
        <v>Medium risk</v>
      </c>
      <c r="Z3" t="str" cm="1">
        <f t="array" ref="Z3">IFERROR(_xlfn.IFS(Table1[[#This Row],[Total charges]]&gt;=AVERAGE(V:V)*1.1,"High risk",Table1[[#This Row],[Total charges]]&lt;=AVERAGE(V:V)*0.9,"Low risk",TRUE,"Medium risk"),"N/A")</f>
        <v>Medium risk</v>
      </c>
      <c r="AA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 t="str" cm="1">
        <f t="array" ref="AC3">_xlfn.IFS(
AND(Table1[[#This Row],[Customer service risk level]]="High risk", Table1[[#This Row],[Intl usage behaviour]]="Unplanned Usage"),"High Risk",
OR(Table1[[#This Row],[Customer service risk level]]="Medium risk", Table1[[#This Row],[Charges risk level]]="High risk "),"Medium Risk",
TRUE,"Low Risk"
)</f>
        <v>High Risk</v>
      </c>
    </row>
    <row r="4" spans="1:29" x14ac:dyDescent="0.25">
      <c r="A4" t="s">
        <v>23</v>
      </c>
      <c r="B4">
        <v>161</v>
      </c>
      <c r="C4">
        <v>415</v>
      </c>
      <c r="D4" t="s">
        <v>21</v>
      </c>
      <c r="E4" t="s">
        <v>21</v>
      </c>
      <c r="F4">
        <v>0</v>
      </c>
      <c r="G4">
        <v>332.9</v>
      </c>
      <c r="H4">
        <v>67</v>
      </c>
      <c r="I4">
        <v>56.59</v>
      </c>
      <c r="J4">
        <v>317.8</v>
      </c>
      <c r="K4">
        <v>97</v>
      </c>
      <c r="L4">
        <v>27.01</v>
      </c>
      <c r="M4">
        <v>160.6</v>
      </c>
      <c r="N4">
        <v>128</v>
      </c>
      <c r="O4">
        <v>7.23</v>
      </c>
      <c r="P4">
        <v>5.4</v>
      </c>
      <c r="Q4">
        <v>9</v>
      </c>
      <c r="R4">
        <v>1.46</v>
      </c>
      <c r="S4">
        <v>4</v>
      </c>
      <c r="T4" t="b">
        <v>1</v>
      </c>
      <c r="U4">
        <f>IFERROR(SUM(Table1[[#This Row],[Total day minutes]],Table1[[#This Row],[Total eve minutes]],Table1[[#This Row],[Total night minutes]],Table1[[#This Row],[Total intl minutes]]),0)</f>
        <v>816.7</v>
      </c>
      <c r="V4">
        <f>SUM(Table1[[#This Row],[Total intl charge]],Table1[[#This Row],[Total night charge]],Table1[[#This Row],[Total eve charge]],Table1[[#This Row],[Total day charge]])</f>
        <v>92.29</v>
      </c>
      <c r="W4">
        <f>SUM(Table1[[#This Row],[Total intl calls]],Table1[[#This Row],[Total night calls]],Table1[[#This Row],[Total eve calls]],Table1[[#This Row],[Total day calls]])</f>
        <v>301</v>
      </c>
      <c r="X4" t="str" cm="1">
        <f t="array" ref="X4">_xlfn.IFS(Table1[[#This Row],[Customer service calls]]&gt;=4,"High risk",Table1[[#This Row],[Customer service calls]]&gt;=2,"Medium risk",TRUE,"Low risk")</f>
        <v>High risk</v>
      </c>
      <c r="Y4" t="str" cm="1">
        <f t="array" ref="Y4">IFERROR(_xlfn.IFS(Table1[[#This Row],[Total usage(Min)]]&gt;=AVERAGE(U:U)*1.1,"High risk",Table1[[#This Row],[Total usage(Min)]]&lt;= AVERAGE(U:U)*0.9,"Low risk",TRUE,"Medium risk"),"N/A")</f>
        <v>High risk</v>
      </c>
      <c r="Z4" t="str" cm="1">
        <f t="array" ref="Z4">IFERROR(_xlfn.IFS(Table1[[#This Row],[Total charges]]&gt;=AVERAGE(V:V)*1.1,"High risk",Table1[[#This Row],[Total charges]]&lt;=AVERAGE(V:V)*0.9,"Low risk",TRUE,"Medium risk"),"N/A")</f>
        <v>High risk</v>
      </c>
      <c r="AA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 t="str" cm="1">
        <f t="array" ref="AC4">_xlfn.IFS(
AND(Table1[[#This Row],[Customer service risk level]]="High risk", Table1[[#This Row],[Intl usage behaviour]]="Unplanned Usage"),"High Risk",
OR(Table1[[#This Row],[Customer service risk level]]="Medium risk", Table1[[#This Row],[Charges risk level]]="High risk "),"Medium Risk",
TRUE,"Low Risk"
)</f>
        <v>High Risk</v>
      </c>
    </row>
    <row r="5" spans="1:29" x14ac:dyDescent="0.25">
      <c r="A5" t="s">
        <v>24</v>
      </c>
      <c r="B5">
        <v>111</v>
      </c>
      <c r="C5">
        <v>415</v>
      </c>
      <c r="D5" t="s">
        <v>21</v>
      </c>
      <c r="E5" t="s">
        <v>21</v>
      </c>
      <c r="F5">
        <v>0</v>
      </c>
      <c r="G5">
        <v>110.4</v>
      </c>
      <c r="H5">
        <v>103</v>
      </c>
      <c r="I5">
        <v>18.77</v>
      </c>
      <c r="J5">
        <v>137.30000000000001</v>
      </c>
      <c r="K5">
        <v>102</v>
      </c>
      <c r="L5">
        <v>11.67</v>
      </c>
      <c r="M5">
        <v>189.6</v>
      </c>
      <c r="N5">
        <v>105</v>
      </c>
      <c r="O5">
        <v>8.5299999999999994</v>
      </c>
      <c r="P5">
        <v>7.7</v>
      </c>
      <c r="Q5">
        <v>6</v>
      </c>
      <c r="R5">
        <v>2.08</v>
      </c>
      <c r="S5">
        <v>2</v>
      </c>
      <c r="T5" t="b">
        <v>0</v>
      </c>
      <c r="U5">
        <f>IFERROR(SUM(Table1[[#This Row],[Total day minutes]],Table1[[#This Row],[Total eve minutes]],Table1[[#This Row],[Total night minutes]],Table1[[#This Row],[Total intl minutes]]),0)</f>
        <v>445</v>
      </c>
      <c r="V5">
        <f>SUM(Table1[[#This Row],[Total intl charge]],Table1[[#This Row],[Total night charge]],Table1[[#This Row],[Total eve charge]],Table1[[#This Row],[Total day charge]])</f>
        <v>41.05</v>
      </c>
      <c r="W5">
        <f>SUM(Table1[[#This Row],[Total intl calls]],Table1[[#This Row],[Total night calls]],Table1[[#This Row],[Total eve calls]],Table1[[#This Row],[Total day calls]])</f>
        <v>316</v>
      </c>
      <c r="X5" t="str" cm="1">
        <f t="array" ref="X5">_xlfn.IFS(Table1[[#This Row],[Customer service calls]]&gt;=4,"High risk",Table1[[#This Row],[Customer service calls]]&gt;=2,"Medium risk",TRUE,"Low risk")</f>
        <v>Medium risk</v>
      </c>
      <c r="Y5" t="str" cm="1">
        <f t="array" ref="Y5">IFERROR(_xlfn.IFS(Table1[[#This Row],[Total usage(Min)]]&gt;=AVERAGE(U:U)*1.1,"High risk",Table1[[#This Row],[Total usage(Min)]]&lt;= AVERAGE(U:U)*0.9,"Low risk",TRUE,"Medium risk"),"N/A")</f>
        <v>Low risk</v>
      </c>
      <c r="Z5" t="str" cm="1">
        <f t="array" ref="Z5">IFERROR(_xlfn.IFS(Table1[[#This Row],[Total charges]]&gt;=AVERAGE(V:V)*1.1,"High risk",Table1[[#This Row],[Total charges]]&lt;=AVERAGE(V:V)*0.9,"Low risk",TRUE,"Medium risk"),"N/A")</f>
        <v>Low risk</v>
      </c>
      <c r="AA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 t="str" cm="1">
        <f t="array" ref="AC5">_xlfn.IFS(
AND(Table1[[#This Row],[Customer service risk level]]="High risk", Table1[[#This Row],[Intl usage behaviour]]="Unplanned Usage"),"High Risk",
OR(Table1[[#This Row],[Customer service risk level]]="Medium risk", Table1[[#This Row],[Charges risk level]]="High risk "),"Medium Risk",
TRUE,"Low Risk"
)</f>
        <v>Medium Risk</v>
      </c>
    </row>
    <row r="6" spans="1:29" x14ac:dyDescent="0.25">
      <c r="A6" t="s">
        <v>25</v>
      </c>
      <c r="B6">
        <v>49</v>
      </c>
      <c r="C6">
        <v>510</v>
      </c>
      <c r="D6" t="s">
        <v>21</v>
      </c>
      <c r="E6" t="s">
        <v>21</v>
      </c>
      <c r="F6">
        <v>0</v>
      </c>
      <c r="G6">
        <v>119.3</v>
      </c>
      <c r="H6">
        <v>117</v>
      </c>
      <c r="I6">
        <v>20.28</v>
      </c>
      <c r="J6">
        <v>215.1</v>
      </c>
      <c r="K6">
        <v>109</v>
      </c>
      <c r="L6">
        <v>18.28</v>
      </c>
      <c r="M6">
        <v>178.7</v>
      </c>
      <c r="N6">
        <v>90</v>
      </c>
      <c r="O6">
        <v>8.0399999999999991</v>
      </c>
      <c r="P6">
        <v>11.1</v>
      </c>
      <c r="Q6">
        <v>1</v>
      </c>
      <c r="R6">
        <v>3</v>
      </c>
      <c r="S6">
        <v>1</v>
      </c>
      <c r="T6" t="b">
        <v>0</v>
      </c>
      <c r="U6">
        <f>IFERROR(SUM(Table1[[#This Row],[Total day minutes]],Table1[[#This Row],[Total eve minutes]],Table1[[#This Row],[Total night minutes]],Table1[[#This Row],[Total intl minutes]]),0)</f>
        <v>524.19999999999993</v>
      </c>
      <c r="V6">
        <f>SUM(Table1[[#This Row],[Total intl charge]],Table1[[#This Row],[Total night charge]],Table1[[#This Row],[Total eve charge]],Table1[[#This Row],[Total day charge]])</f>
        <v>49.6</v>
      </c>
      <c r="W6">
        <f>SUM(Table1[[#This Row],[Total intl calls]],Table1[[#This Row],[Total night calls]],Table1[[#This Row],[Total eve calls]],Table1[[#This Row],[Total day calls]])</f>
        <v>317</v>
      </c>
      <c r="X6" t="str" cm="1">
        <f t="array" ref="X6">_xlfn.IFS(Table1[[#This Row],[Customer service calls]]&gt;=4,"High risk",Table1[[#This Row],[Customer service calls]]&gt;=2,"Medium risk",TRUE,"Low risk")</f>
        <v>Low risk</v>
      </c>
      <c r="Y6" t="str" cm="1">
        <f t="array" ref="Y6">IFERROR(_xlfn.IFS(Table1[[#This Row],[Total usage(Min)]]&gt;=AVERAGE(U:U)*1.1,"High risk",Table1[[#This Row],[Total usage(Min)]]&lt;= AVERAGE(U:U)*0.9,"Low risk",TRUE,"Medium risk"),"N/A")</f>
        <v>Low risk</v>
      </c>
      <c r="Z6" t="str" cm="1">
        <f t="array" ref="Z6">IFERROR(_xlfn.IFS(Table1[[#This Row],[Total charges]]&gt;=AVERAGE(V:V)*1.1,"High risk",Table1[[#This Row],[Total charges]]&lt;=AVERAGE(V:V)*0.9,"Low risk",TRUE,"Medium risk"),"N/A")</f>
        <v>Low risk</v>
      </c>
      <c r="AA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 t="str" cm="1">
        <f t="array" ref="AC6">_xlfn.IFS(
AND(Table1[[#This Row],[Customer service risk level]]="High risk", Table1[[#This Row],[Intl usage behaviour]]="Unplanned Usage"),"High Risk",
OR(Table1[[#This Row],[Customer service risk level]]="Medium risk", Table1[[#This Row],[Charges risk level]]="High risk "),"Medium Risk",
TRUE,"Low Risk"
)</f>
        <v>Low Risk</v>
      </c>
    </row>
    <row r="7" spans="1:29" x14ac:dyDescent="0.25">
      <c r="A7" t="s">
        <v>26</v>
      </c>
      <c r="B7">
        <v>36</v>
      </c>
      <c r="C7">
        <v>408</v>
      </c>
      <c r="D7" t="s">
        <v>21</v>
      </c>
      <c r="E7" t="s">
        <v>27</v>
      </c>
      <c r="F7">
        <v>30</v>
      </c>
      <c r="G7">
        <v>146.30000000000001</v>
      </c>
      <c r="H7">
        <v>128</v>
      </c>
      <c r="I7">
        <v>24.87</v>
      </c>
      <c r="J7">
        <v>162.5</v>
      </c>
      <c r="K7">
        <v>80</v>
      </c>
      <c r="L7">
        <v>13.81</v>
      </c>
      <c r="M7">
        <v>129.30000000000001</v>
      </c>
      <c r="N7">
        <v>109</v>
      </c>
      <c r="O7">
        <v>5.82</v>
      </c>
      <c r="P7">
        <v>14.5</v>
      </c>
      <c r="Q7">
        <v>6</v>
      </c>
      <c r="R7">
        <v>3.92</v>
      </c>
      <c r="S7">
        <v>0</v>
      </c>
      <c r="T7" t="b">
        <v>0</v>
      </c>
      <c r="U7">
        <f>IFERROR(SUM(Table1[[#This Row],[Total day minutes]],Table1[[#This Row],[Total eve minutes]],Table1[[#This Row],[Total night minutes]],Table1[[#This Row],[Total intl minutes]]),0)</f>
        <v>452.6</v>
      </c>
      <c r="V7">
        <f>SUM(Table1[[#This Row],[Total intl charge]],Table1[[#This Row],[Total night charge]],Table1[[#This Row],[Total eve charge]],Table1[[#This Row],[Total day charge]])</f>
        <v>48.42</v>
      </c>
      <c r="W7">
        <f>SUM(Table1[[#This Row],[Total intl calls]],Table1[[#This Row],[Total night calls]],Table1[[#This Row],[Total eve calls]],Table1[[#This Row],[Total day calls]])</f>
        <v>323</v>
      </c>
      <c r="X7" t="str" cm="1">
        <f t="array" ref="X7">_xlfn.IFS(Table1[[#This Row],[Customer service calls]]&gt;=4,"High risk",Table1[[#This Row],[Customer service calls]]&gt;=2,"Medium risk",TRUE,"Low risk")</f>
        <v>Low risk</v>
      </c>
      <c r="Y7" t="str" cm="1">
        <f t="array" ref="Y7">IFERROR(_xlfn.IFS(Table1[[#This Row],[Total usage(Min)]]&gt;=AVERAGE(U:U)*1.1,"High risk",Table1[[#This Row],[Total usage(Min)]]&lt;= AVERAGE(U:U)*0.9,"Low risk",TRUE,"Medium risk"),"N/A")</f>
        <v>Low risk</v>
      </c>
      <c r="Z7" t="str" cm="1">
        <f t="array" ref="Z7">IFERROR(_xlfn.IFS(Table1[[#This Row],[Total charges]]&gt;=AVERAGE(V:V)*1.1,"High risk",Table1[[#This Row],[Total charges]]&lt;=AVERAGE(V:V)*0.9,"Low risk",TRUE,"Medium risk"),"N/A")</f>
        <v>Low risk</v>
      </c>
      <c r="AA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7" t="str" cm="1">
        <f t="array" ref="AC7">_xlfn.IFS(
AND(Table1[[#This Row],[Customer service risk level]]="High risk", Table1[[#This Row],[Intl usage behaviour]]="Unplanned Usage"),"High Risk",
OR(Table1[[#This Row],[Customer service risk level]]="Medium risk", Table1[[#This Row],[Charges risk level]]="High risk "),"Medium Risk",
TRUE,"Low Risk"
)</f>
        <v>Low Risk</v>
      </c>
    </row>
    <row r="8" spans="1:29" x14ac:dyDescent="0.25">
      <c r="A8" t="s">
        <v>28</v>
      </c>
      <c r="B8">
        <v>65</v>
      </c>
      <c r="C8">
        <v>415</v>
      </c>
      <c r="D8" t="s">
        <v>21</v>
      </c>
      <c r="E8" t="s">
        <v>21</v>
      </c>
      <c r="F8">
        <v>0</v>
      </c>
      <c r="G8">
        <v>211.3</v>
      </c>
      <c r="H8">
        <v>120</v>
      </c>
      <c r="I8">
        <v>35.92</v>
      </c>
      <c r="J8">
        <v>162.6</v>
      </c>
      <c r="K8">
        <v>122</v>
      </c>
      <c r="L8">
        <v>13.82</v>
      </c>
      <c r="M8">
        <v>134.69999999999999</v>
      </c>
      <c r="N8">
        <v>118</v>
      </c>
      <c r="O8">
        <v>6.06</v>
      </c>
      <c r="P8">
        <v>13.2</v>
      </c>
      <c r="Q8">
        <v>5</v>
      </c>
      <c r="R8">
        <v>3.56</v>
      </c>
      <c r="S8">
        <v>3</v>
      </c>
      <c r="T8" t="b">
        <v>0</v>
      </c>
      <c r="U8">
        <f>IFERROR(SUM(Table1[[#This Row],[Total day minutes]],Table1[[#This Row],[Total eve minutes]],Table1[[#This Row],[Total night minutes]],Table1[[#This Row],[Total intl minutes]]),0)</f>
        <v>521.79999999999995</v>
      </c>
      <c r="V8">
        <f>SUM(Table1[[#This Row],[Total intl charge]],Table1[[#This Row],[Total night charge]],Table1[[#This Row],[Total eve charge]],Table1[[#This Row],[Total day charge]])</f>
        <v>59.36</v>
      </c>
      <c r="W8">
        <f>SUM(Table1[[#This Row],[Total intl calls]],Table1[[#This Row],[Total night calls]],Table1[[#This Row],[Total eve calls]],Table1[[#This Row],[Total day calls]])</f>
        <v>365</v>
      </c>
      <c r="X8" t="str" cm="1">
        <f t="array" ref="X8">_xlfn.IFS(Table1[[#This Row],[Customer service calls]]&gt;=4,"High risk",Table1[[#This Row],[Customer service calls]]&gt;=2,"Medium risk",TRUE,"Low risk")</f>
        <v>Medium risk</v>
      </c>
      <c r="Y8" t="str" cm="1">
        <f t="array" ref="Y8">IFERROR(_xlfn.IFS(Table1[[#This Row],[Total usage(Min)]]&gt;=AVERAGE(U:U)*1.1,"High risk",Table1[[#This Row],[Total usage(Min)]]&lt;= AVERAGE(U:U)*0.9,"Low risk",TRUE,"Medium risk"),"N/A")</f>
        <v>Low risk</v>
      </c>
      <c r="Z8" t="str" cm="1">
        <f t="array" ref="Z8">IFERROR(_xlfn.IFS(Table1[[#This Row],[Total charges]]&gt;=AVERAGE(V:V)*1.1,"High risk",Table1[[#This Row],[Total charges]]&lt;=AVERAGE(V:V)*0.9,"Low risk",TRUE,"Medium risk"),"N/A")</f>
        <v>Medium risk</v>
      </c>
      <c r="AA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 t="str" cm="1">
        <f t="array" ref="AC8">_xlfn.IFS(
AND(Table1[[#This Row],[Customer service risk level]]="High risk", Table1[[#This Row],[Intl usage behaviour]]="Unplanned Usage"),"High Risk",
OR(Table1[[#This Row],[Customer service risk level]]="Medium risk", Table1[[#This Row],[Charges risk level]]="High risk "),"Medium Risk",
TRUE,"Low Risk"
)</f>
        <v>Medium Risk</v>
      </c>
    </row>
    <row r="9" spans="1:29" x14ac:dyDescent="0.25">
      <c r="A9" t="s">
        <v>29</v>
      </c>
      <c r="B9">
        <v>119</v>
      </c>
      <c r="C9">
        <v>415</v>
      </c>
      <c r="D9" t="s">
        <v>21</v>
      </c>
      <c r="E9" t="s">
        <v>21</v>
      </c>
      <c r="F9">
        <v>0</v>
      </c>
      <c r="G9">
        <v>159.1</v>
      </c>
      <c r="H9">
        <v>114</v>
      </c>
      <c r="I9">
        <v>27.05</v>
      </c>
      <c r="J9">
        <v>231.3</v>
      </c>
      <c r="K9">
        <v>117</v>
      </c>
      <c r="L9">
        <v>19.66</v>
      </c>
      <c r="M9">
        <v>143.19999999999999</v>
      </c>
      <c r="N9">
        <v>91</v>
      </c>
      <c r="O9">
        <v>6.44</v>
      </c>
      <c r="P9">
        <v>8.8000000000000007</v>
      </c>
      <c r="Q9">
        <v>3</v>
      </c>
      <c r="R9">
        <v>2.38</v>
      </c>
      <c r="S9">
        <v>5</v>
      </c>
      <c r="T9" t="b">
        <v>1</v>
      </c>
      <c r="U9">
        <f>IFERROR(SUM(Table1[[#This Row],[Total day minutes]],Table1[[#This Row],[Total eve minutes]],Table1[[#This Row],[Total night minutes]],Table1[[#This Row],[Total intl minutes]]),0)</f>
        <v>542.39999999999986</v>
      </c>
      <c r="V9">
        <f>SUM(Table1[[#This Row],[Total intl charge]],Table1[[#This Row],[Total night charge]],Table1[[#This Row],[Total eve charge]],Table1[[#This Row],[Total day charge]])</f>
        <v>55.53</v>
      </c>
      <c r="W9">
        <f>SUM(Table1[[#This Row],[Total intl calls]],Table1[[#This Row],[Total night calls]],Table1[[#This Row],[Total eve calls]],Table1[[#This Row],[Total day calls]])</f>
        <v>325</v>
      </c>
      <c r="X9" t="str" cm="1">
        <f t="array" ref="X9">_xlfn.IFS(Table1[[#This Row],[Customer service calls]]&gt;=4,"High risk",Table1[[#This Row],[Customer service calls]]&gt;=2,"Medium risk",TRUE,"Low risk")</f>
        <v>High risk</v>
      </c>
      <c r="Y9" t="str" cm="1">
        <f t="array" ref="Y9">IFERROR(_xlfn.IFS(Table1[[#This Row],[Total usage(Min)]]&gt;=AVERAGE(U:U)*1.1,"High risk",Table1[[#This Row],[Total usage(Min)]]&lt;= AVERAGE(U:U)*0.9,"Low risk",TRUE,"Medium risk"),"N/A")</f>
        <v>Medium risk</v>
      </c>
      <c r="Z9" t="str" cm="1">
        <f t="array" ref="Z9">IFERROR(_xlfn.IFS(Table1[[#This Row],[Total charges]]&gt;=AVERAGE(V:V)*1.1,"High risk",Table1[[#This Row],[Total charges]]&lt;=AVERAGE(V:V)*0.9,"Low risk",TRUE,"Medium risk"),"N/A")</f>
        <v>Medium risk</v>
      </c>
      <c r="AA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 t="str" cm="1">
        <f t="array" ref="AC9">_xlfn.IFS(
AND(Table1[[#This Row],[Customer service risk level]]="High risk", Table1[[#This Row],[Intl usage behaviour]]="Unplanned Usage"),"High Risk",
OR(Table1[[#This Row],[Customer service risk level]]="Medium risk", Table1[[#This Row],[Charges risk level]]="High risk "),"Medium Risk",
TRUE,"Low Risk"
)</f>
        <v>High Risk</v>
      </c>
    </row>
    <row r="10" spans="1:29" x14ac:dyDescent="0.25">
      <c r="A10" t="s">
        <v>30</v>
      </c>
      <c r="B10">
        <v>10</v>
      </c>
      <c r="C10">
        <v>408</v>
      </c>
      <c r="D10" t="s">
        <v>21</v>
      </c>
      <c r="E10" t="s">
        <v>21</v>
      </c>
      <c r="F10">
        <v>0</v>
      </c>
      <c r="G10">
        <v>186.1</v>
      </c>
      <c r="H10">
        <v>112</v>
      </c>
      <c r="I10">
        <v>31.64</v>
      </c>
      <c r="J10">
        <v>190.2</v>
      </c>
      <c r="K10">
        <v>66</v>
      </c>
      <c r="L10">
        <v>16.170000000000002</v>
      </c>
      <c r="M10">
        <v>282.8</v>
      </c>
      <c r="N10">
        <v>57</v>
      </c>
      <c r="O10">
        <v>12.73</v>
      </c>
      <c r="P10">
        <v>11.4</v>
      </c>
      <c r="Q10">
        <v>6</v>
      </c>
      <c r="R10">
        <v>3.08</v>
      </c>
      <c r="S10">
        <v>2</v>
      </c>
      <c r="T10" t="b">
        <v>0</v>
      </c>
      <c r="U10">
        <f>IFERROR(SUM(Table1[[#This Row],[Total day minutes]],Table1[[#This Row],[Total eve minutes]],Table1[[#This Row],[Total night minutes]],Table1[[#This Row],[Total intl minutes]]),0)</f>
        <v>670.49999999999989</v>
      </c>
      <c r="V10">
        <f>SUM(Table1[[#This Row],[Total intl charge]],Table1[[#This Row],[Total night charge]],Table1[[#This Row],[Total eve charge]],Table1[[#This Row],[Total day charge]])</f>
        <v>63.620000000000005</v>
      </c>
      <c r="W10">
        <f>SUM(Table1[[#This Row],[Total intl calls]],Table1[[#This Row],[Total night calls]],Table1[[#This Row],[Total eve calls]],Table1[[#This Row],[Total day calls]])</f>
        <v>241</v>
      </c>
      <c r="X10" t="str" cm="1">
        <f t="array" ref="X10">_xlfn.IFS(Table1[[#This Row],[Customer service calls]]&gt;=4,"High risk",Table1[[#This Row],[Customer service calls]]&gt;=2,"Medium risk",TRUE,"Low risk")</f>
        <v>Medium risk</v>
      </c>
      <c r="Y10" t="str" cm="1">
        <f t="array" ref="Y10">IFERROR(_xlfn.IFS(Table1[[#This Row],[Total usage(Min)]]&gt;=AVERAGE(U:U)*1.1,"High risk",Table1[[#This Row],[Total usage(Min)]]&lt;= AVERAGE(U:U)*0.9,"Low risk",TRUE,"Medium risk"),"N/A")</f>
        <v>High risk</v>
      </c>
      <c r="Z10" t="str" cm="1">
        <f t="array" ref="Z10">IFERROR(_xlfn.IFS(Table1[[#This Row],[Total charges]]&gt;=AVERAGE(V:V)*1.1,"High risk",Table1[[#This Row],[Total charges]]&lt;=AVERAGE(V:V)*0.9,"Low risk",TRUE,"Medium risk"),"N/A")</f>
        <v>Medium risk</v>
      </c>
      <c r="AA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 t="str" cm="1">
        <f t="array" ref="AC10">_xlfn.IFS(
AND(Table1[[#This Row],[Customer service risk level]]="High risk", Table1[[#This Row],[Intl usage behaviour]]="Unplanned Usage"),"High Risk",
OR(Table1[[#This Row],[Customer service risk level]]="Medium risk", Table1[[#This Row],[Charges risk level]]="High risk "),"Medium Risk",
TRUE,"Low Risk"
)</f>
        <v>Medium Risk</v>
      </c>
    </row>
    <row r="11" spans="1:29" x14ac:dyDescent="0.25">
      <c r="A11" t="s">
        <v>31</v>
      </c>
      <c r="B11">
        <v>68</v>
      </c>
      <c r="C11">
        <v>415</v>
      </c>
      <c r="D11" t="s">
        <v>21</v>
      </c>
      <c r="E11" t="s">
        <v>21</v>
      </c>
      <c r="F11">
        <v>0</v>
      </c>
      <c r="G11">
        <v>148.80000000000001</v>
      </c>
      <c r="H11">
        <v>70</v>
      </c>
      <c r="I11">
        <v>25.3</v>
      </c>
      <c r="J11">
        <v>246.5</v>
      </c>
      <c r="K11">
        <v>164</v>
      </c>
      <c r="L11">
        <v>20.95</v>
      </c>
      <c r="M11">
        <v>129.80000000000001</v>
      </c>
      <c r="N11">
        <v>103</v>
      </c>
      <c r="O11">
        <v>5.84</v>
      </c>
      <c r="P11">
        <v>12.1</v>
      </c>
      <c r="Q11">
        <v>3</v>
      </c>
      <c r="R11">
        <v>3.27</v>
      </c>
      <c r="S11">
        <v>3</v>
      </c>
      <c r="T11" t="b">
        <v>0</v>
      </c>
      <c r="U11">
        <f>IFERROR(SUM(Table1[[#This Row],[Total day minutes]],Table1[[#This Row],[Total eve minutes]],Table1[[#This Row],[Total night minutes]],Table1[[#This Row],[Total intl minutes]]),0)</f>
        <v>537.20000000000005</v>
      </c>
      <c r="V11">
        <f>SUM(Table1[[#This Row],[Total intl charge]],Table1[[#This Row],[Total night charge]],Table1[[#This Row],[Total eve charge]],Table1[[#This Row],[Total day charge]])</f>
        <v>55.36</v>
      </c>
      <c r="W11">
        <f>SUM(Table1[[#This Row],[Total intl calls]],Table1[[#This Row],[Total night calls]],Table1[[#This Row],[Total eve calls]],Table1[[#This Row],[Total day calls]])</f>
        <v>340</v>
      </c>
      <c r="X11" t="str" cm="1">
        <f t="array" ref="X11">_xlfn.IFS(Table1[[#This Row],[Customer service calls]]&gt;=4,"High risk",Table1[[#This Row],[Customer service calls]]&gt;=2,"Medium risk",TRUE,"Low risk")</f>
        <v>Medium risk</v>
      </c>
      <c r="Y11" t="str" cm="1">
        <f t="array" ref="Y11">IFERROR(_xlfn.IFS(Table1[[#This Row],[Total usage(Min)]]&gt;=AVERAGE(U:U)*1.1,"High risk",Table1[[#This Row],[Total usage(Min)]]&lt;= AVERAGE(U:U)*0.9,"Low risk",TRUE,"Medium risk"),"N/A")</f>
        <v>Medium risk</v>
      </c>
      <c r="Z11" t="str" cm="1">
        <f t="array" ref="Z11">IFERROR(_xlfn.IFS(Table1[[#This Row],[Total charges]]&gt;=AVERAGE(V:V)*1.1,"High risk",Table1[[#This Row],[Total charges]]&lt;=AVERAGE(V:V)*0.9,"Low risk",TRUE,"Medium risk"),"N/A")</f>
        <v>Medium risk</v>
      </c>
      <c r="AA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 t="str" cm="1">
        <f t="array" ref="AC11">_xlfn.IFS(
AND(Table1[[#This Row],[Customer service risk level]]="High risk", Table1[[#This Row],[Intl usage behaviour]]="Unplanned Usage"),"High Risk",
OR(Table1[[#This Row],[Customer service risk level]]="Medium risk", Table1[[#This Row],[Charges risk level]]="High risk "),"Medium Risk",
TRUE,"Low Risk"
)</f>
        <v>Medium Risk</v>
      </c>
    </row>
    <row r="12" spans="1:29" x14ac:dyDescent="0.25">
      <c r="A12" t="s">
        <v>32</v>
      </c>
      <c r="B12">
        <v>74</v>
      </c>
      <c r="C12">
        <v>510</v>
      </c>
      <c r="D12" t="s">
        <v>21</v>
      </c>
      <c r="E12" t="s">
        <v>27</v>
      </c>
      <c r="F12">
        <v>33</v>
      </c>
      <c r="G12">
        <v>193.7</v>
      </c>
      <c r="H12">
        <v>91</v>
      </c>
      <c r="I12">
        <v>32.93</v>
      </c>
      <c r="J12">
        <v>246.1</v>
      </c>
      <c r="K12">
        <v>96</v>
      </c>
      <c r="L12">
        <v>20.92</v>
      </c>
      <c r="M12">
        <v>138</v>
      </c>
      <c r="N12">
        <v>92</v>
      </c>
      <c r="O12">
        <v>6.21</v>
      </c>
      <c r="P12">
        <v>14.6</v>
      </c>
      <c r="Q12">
        <v>3</v>
      </c>
      <c r="R12">
        <v>3.94</v>
      </c>
      <c r="S12">
        <v>2</v>
      </c>
      <c r="T12" t="b">
        <v>0</v>
      </c>
      <c r="U12">
        <f>IFERROR(SUM(Table1[[#This Row],[Total day minutes]],Table1[[#This Row],[Total eve minutes]],Table1[[#This Row],[Total night minutes]],Table1[[#This Row],[Total intl minutes]]),0)</f>
        <v>592.4</v>
      </c>
      <c r="V12">
        <f>SUM(Table1[[#This Row],[Total intl charge]],Table1[[#This Row],[Total night charge]],Table1[[#This Row],[Total eve charge]],Table1[[#This Row],[Total day charge]])</f>
        <v>64</v>
      </c>
      <c r="W12">
        <f>SUM(Table1[[#This Row],[Total intl calls]],Table1[[#This Row],[Total night calls]],Table1[[#This Row],[Total eve calls]],Table1[[#This Row],[Total day calls]])</f>
        <v>282</v>
      </c>
      <c r="X12" t="str" cm="1">
        <f t="array" ref="X12">_xlfn.IFS(Table1[[#This Row],[Customer service calls]]&gt;=4,"High risk",Table1[[#This Row],[Customer service calls]]&gt;=2,"Medium risk",TRUE,"Low risk")</f>
        <v>Medium risk</v>
      </c>
      <c r="Y12" t="str" cm="1">
        <f t="array" ref="Y12">IFERROR(_xlfn.IFS(Table1[[#This Row],[Total usage(Min)]]&gt;=AVERAGE(U:U)*1.1,"High risk",Table1[[#This Row],[Total usage(Min)]]&lt;= AVERAGE(U:U)*0.9,"Low risk",TRUE,"Medium risk"),"N/A")</f>
        <v>Medium risk</v>
      </c>
      <c r="Z12" t="str" cm="1">
        <f t="array" ref="Z12">IFERROR(_xlfn.IFS(Table1[[#This Row],[Total charges]]&gt;=AVERAGE(V:V)*1.1,"High risk",Table1[[#This Row],[Total charges]]&lt;=AVERAGE(V:V)*0.9,"Low risk",TRUE,"Medium risk"),"N/A")</f>
        <v>Medium risk</v>
      </c>
      <c r="AA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2" t="str" cm="1">
        <f t="array" ref="AC12">_xlfn.IFS(
AND(Table1[[#This Row],[Customer service risk level]]="High risk", Table1[[#This Row],[Intl usage behaviour]]="Unplanned Usage"),"High Risk",
OR(Table1[[#This Row],[Customer service risk level]]="Medium risk", Table1[[#This Row],[Charges risk level]]="High risk "),"Medium Risk",
TRUE,"Low Risk"
)</f>
        <v>Medium Risk</v>
      </c>
    </row>
    <row r="13" spans="1:29" x14ac:dyDescent="0.25">
      <c r="A13" t="s">
        <v>25</v>
      </c>
      <c r="B13">
        <v>85</v>
      </c>
      <c r="C13">
        <v>415</v>
      </c>
      <c r="D13" t="s">
        <v>21</v>
      </c>
      <c r="E13" t="s">
        <v>21</v>
      </c>
      <c r="F13">
        <v>0</v>
      </c>
      <c r="G13">
        <v>235.8</v>
      </c>
      <c r="H13">
        <v>109</v>
      </c>
      <c r="I13">
        <v>40.090000000000003</v>
      </c>
      <c r="J13">
        <v>157.19999999999999</v>
      </c>
      <c r="K13">
        <v>94</v>
      </c>
      <c r="L13">
        <v>13.36</v>
      </c>
      <c r="M13">
        <v>188.2</v>
      </c>
      <c r="N13">
        <v>99</v>
      </c>
      <c r="O13">
        <v>8.4700000000000006</v>
      </c>
      <c r="P13">
        <v>12</v>
      </c>
      <c r="Q13">
        <v>3</v>
      </c>
      <c r="R13">
        <v>3.24</v>
      </c>
      <c r="S13">
        <v>0</v>
      </c>
      <c r="T13" t="b">
        <v>0</v>
      </c>
      <c r="U13">
        <f>IFERROR(SUM(Table1[[#This Row],[Total day minutes]],Table1[[#This Row],[Total eve minutes]],Table1[[#This Row],[Total night minutes]],Table1[[#This Row],[Total intl minutes]]),0)</f>
        <v>593.20000000000005</v>
      </c>
      <c r="V13">
        <f>SUM(Table1[[#This Row],[Total intl charge]],Table1[[#This Row],[Total night charge]],Table1[[#This Row],[Total eve charge]],Table1[[#This Row],[Total day charge]])</f>
        <v>65.16</v>
      </c>
      <c r="W13">
        <f>SUM(Table1[[#This Row],[Total intl calls]],Table1[[#This Row],[Total night calls]],Table1[[#This Row],[Total eve calls]],Table1[[#This Row],[Total day calls]])</f>
        <v>305</v>
      </c>
      <c r="X13" t="str" cm="1">
        <f t="array" ref="X13">_xlfn.IFS(Table1[[#This Row],[Customer service calls]]&gt;=4,"High risk",Table1[[#This Row],[Customer service calls]]&gt;=2,"Medium risk",TRUE,"Low risk")</f>
        <v>Low risk</v>
      </c>
      <c r="Y13" t="str" cm="1">
        <f t="array" ref="Y13">IFERROR(_xlfn.IFS(Table1[[#This Row],[Total usage(Min)]]&gt;=AVERAGE(U:U)*1.1,"High risk",Table1[[#This Row],[Total usage(Min)]]&lt;= AVERAGE(U:U)*0.9,"Low risk",TRUE,"Medium risk"),"N/A")</f>
        <v>Medium risk</v>
      </c>
      <c r="Z13" t="str" cm="1">
        <f t="array" ref="Z13">IFERROR(_xlfn.IFS(Table1[[#This Row],[Total charges]]&gt;=AVERAGE(V:V)*1.1,"High risk",Table1[[#This Row],[Total charges]]&lt;=AVERAGE(V:V)*0.9,"Low risk",TRUE,"Medium risk"),"N/A")</f>
        <v>Medium risk</v>
      </c>
      <c r="AA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 t="str" cm="1">
        <f t="array" ref="AC13">_xlfn.IFS(
AND(Table1[[#This Row],[Customer service risk level]]="High risk", Table1[[#This Row],[Intl usage behaviour]]="Unplanned Usage"),"High Risk",
OR(Table1[[#This Row],[Customer service risk level]]="Medium risk", Table1[[#This Row],[Charges risk level]]="High risk "),"Medium Risk",
TRUE,"Low Risk"
)</f>
        <v>Low Risk</v>
      </c>
    </row>
    <row r="14" spans="1:29" x14ac:dyDescent="0.25">
      <c r="A14" t="s">
        <v>32</v>
      </c>
      <c r="B14">
        <v>46</v>
      </c>
      <c r="C14">
        <v>415</v>
      </c>
      <c r="D14" t="s">
        <v>21</v>
      </c>
      <c r="E14" t="s">
        <v>21</v>
      </c>
      <c r="F14">
        <v>0</v>
      </c>
      <c r="G14">
        <v>214.1</v>
      </c>
      <c r="H14">
        <v>72</v>
      </c>
      <c r="I14">
        <v>36.4</v>
      </c>
      <c r="J14">
        <v>164.4</v>
      </c>
      <c r="K14">
        <v>104</v>
      </c>
      <c r="L14">
        <v>13.97</v>
      </c>
      <c r="M14">
        <v>177.5</v>
      </c>
      <c r="N14">
        <v>113</v>
      </c>
      <c r="O14">
        <v>7.99</v>
      </c>
      <c r="P14">
        <v>8.1999999999999993</v>
      </c>
      <c r="Q14">
        <v>3</v>
      </c>
      <c r="R14">
        <v>2.21</v>
      </c>
      <c r="S14">
        <v>2</v>
      </c>
      <c r="T14" t="b">
        <v>0</v>
      </c>
      <c r="U14">
        <f>IFERROR(SUM(Table1[[#This Row],[Total day minutes]],Table1[[#This Row],[Total eve minutes]],Table1[[#This Row],[Total night minutes]],Table1[[#This Row],[Total intl minutes]]),0)</f>
        <v>564.20000000000005</v>
      </c>
      <c r="V14">
        <f>SUM(Table1[[#This Row],[Total intl charge]],Table1[[#This Row],[Total night charge]],Table1[[#This Row],[Total eve charge]],Table1[[#This Row],[Total day charge]])</f>
        <v>60.57</v>
      </c>
      <c r="W14">
        <f>SUM(Table1[[#This Row],[Total intl calls]],Table1[[#This Row],[Total night calls]],Table1[[#This Row],[Total eve calls]],Table1[[#This Row],[Total day calls]])</f>
        <v>292</v>
      </c>
      <c r="X14" t="str" cm="1">
        <f t="array" ref="X14">_xlfn.IFS(Table1[[#This Row],[Customer service calls]]&gt;=4,"High risk",Table1[[#This Row],[Customer service calls]]&gt;=2,"Medium risk",TRUE,"Low risk")</f>
        <v>Medium risk</v>
      </c>
      <c r="Y14" t="str" cm="1">
        <f t="array" ref="Y14">IFERROR(_xlfn.IFS(Table1[[#This Row],[Total usage(Min)]]&gt;=AVERAGE(U:U)*1.1,"High risk",Table1[[#This Row],[Total usage(Min)]]&lt;= AVERAGE(U:U)*0.9,"Low risk",TRUE,"Medium risk"),"N/A")</f>
        <v>Medium risk</v>
      </c>
      <c r="Z14" t="str" cm="1">
        <f t="array" ref="Z14">IFERROR(_xlfn.IFS(Table1[[#This Row],[Total charges]]&gt;=AVERAGE(V:V)*1.1,"High risk",Table1[[#This Row],[Total charges]]&lt;=AVERAGE(V:V)*0.9,"Low risk",TRUE,"Medium risk"),"N/A")</f>
        <v>Medium risk</v>
      </c>
      <c r="AA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 t="str" cm="1">
        <f t="array" ref="AC14">_xlfn.IFS(
AND(Table1[[#This Row],[Customer service risk level]]="High risk", Table1[[#This Row],[Intl usage behaviour]]="Unplanned Usage"),"High Risk",
OR(Table1[[#This Row],[Customer service risk level]]="Medium risk", Table1[[#This Row],[Charges risk level]]="High risk "),"Medium Risk",
TRUE,"Low Risk"
)</f>
        <v>Medium Risk</v>
      </c>
    </row>
    <row r="15" spans="1:29" x14ac:dyDescent="0.25">
      <c r="A15" t="s">
        <v>33</v>
      </c>
      <c r="B15">
        <v>128</v>
      </c>
      <c r="C15">
        <v>510</v>
      </c>
      <c r="D15" t="s">
        <v>21</v>
      </c>
      <c r="E15" t="s">
        <v>27</v>
      </c>
      <c r="F15">
        <v>29</v>
      </c>
      <c r="G15">
        <v>179.3</v>
      </c>
      <c r="H15">
        <v>104</v>
      </c>
      <c r="I15">
        <v>30.48</v>
      </c>
      <c r="J15">
        <v>225.9</v>
      </c>
      <c r="K15">
        <v>86</v>
      </c>
      <c r="L15">
        <v>19.2</v>
      </c>
      <c r="M15">
        <v>323</v>
      </c>
      <c r="N15">
        <v>78</v>
      </c>
      <c r="O15">
        <v>14.54</v>
      </c>
      <c r="P15">
        <v>8.6</v>
      </c>
      <c r="Q15">
        <v>7</v>
      </c>
      <c r="R15">
        <v>2.3199999999999998</v>
      </c>
      <c r="S15">
        <v>0</v>
      </c>
      <c r="T15" t="b">
        <v>0</v>
      </c>
      <c r="U15">
        <f>IFERROR(SUM(Table1[[#This Row],[Total day minutes]],Table1[[#This Row],[Total eve minutes]],Table1[[#This Row],[Total night minutes]],Table1[[#This Row],[Total intl minutes]]),0)</f>
        <v>736.80000000000007</v>
      </c>
      <c r="V15">
        <f>SUM(Table1[[#This Row],[Total intl charge]],Table1[[#This Row],[Total night charge]],Table1[[#This Row],[Total eve charge]],Table1[[#This Row],[Total day charge]])</f>
        <v>66.540000000000006</v>
      </c>
      <c r="W15">
        <f>SUM(Table1[[#This Row],[Total intl calls]],Table1[[#This Row],[Total night calls]],Table1[[#This Row],[Total eve calls]],Table1[[#This Row],[Total day calls]])</f>
        <v>275</v>
      </c>
      <c r="X15" t="str" cm="1">
        <f t="array" ref="X15">_xlfn.IFS(Table1[[#This Row],[Customer service calls]]&gt;=4,"High risk",Table1[[#This Row],[Customer service calls]]&gt;=2,"Medium risk",TRUE,"Low risk")</f>
        <v>Low risk</v>
      </c>
      <c r="Y15" t="str" cm="1">
        <f t="array" ref="Y15">IFERROR(_xlfn.IFS(Table1[[#This Row],[Total usage(Min)]]&gt;=AVERAGE(U:U)*1.1,"High risk",Table1[[#This Row],[Total usage(Min)]]&lt;= AVERAGE(U:U)*0.9,"Low risk",TRUE,"Medium risk"),"N/A")</f>
        <v>High risk</v>
      </c>
      <c r="Z15" t="str" cm="1">
        <f t="array" ref="Z15">IFERROR(_xlfn.IFS(Table1[[#This Row],[Total charges]]&gt;=AVERAGE(V:V)*1.1,"High risk",Table1[[#This Row],[Total charges]]&lt;=AVERAGE(V:V)*0.9,"Low risk",TRUE,"Medium risk"),"N/A")</f>
        <v>High risk</v>
      </c>
      <c r="AA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5" t="str" cm="1">
        <f t="array" ref="AC15">_xlfn.IFS(
AND(Table1[[#This Row],[Customer service risk level]]="High risk", Table1[[#This Row],[Intl usage behaviour]]="Unplanned Usage"),"High Risk",
OR(Table1[[#This Row],[Customer service risk level]]="Medium risk", Table1[[#This Row],[Charges risk level]]="High risk "),"Medium Risk",
TRUE,"Low Risk"
)</f>
        <v>Low Risk</v>
      </c>
    </row>
    <row r="16" spans="1:29" x14ac:dyDescent="0.25">
      <c r="A16" t="s">
        <v>20</v>
      </c>
      <c r="B16">
        <v>155</v>
      </c>
      <c r="C16">
        <v>415</v>
      </c>
      <c r="D16" t="s">
        <v>21</v>
      </c>
      <c r="E16" t="s">
        <v>21</v>
      </c>
      <c r="F16">
        <v>0</v>
      </c>
      <c r="G16">
        <v>203.4</v>
      </c>
      <c r="H16">
        <v>100</v>
      </c>
      <c r="I16">
        <v>34.58</v>
      </c>
      <c r="J16">
        <v>190.9</v>
      </c>
      <c r="K16">
        <v>104</v>
      </c>
      <c r="L16">
        <v>16.23</v>
      </c>
      <c r="M16">
        <v>196</v>
      </c>
      <c r="N16">
        <v>119</v>
      </c>
      <c r="O16">
        <v>8.82</v>
      </c>
      <c r="P16">
        <v>8.9</v>
      </c>
      <c r="Q16">
        <v>4</v>
      </c>
      <c r="R16">
        <v>2.4</v>
      </c>
      <c r="S16">
        <v>0</v>
      </c>
      <c r="T16" t="b">
        <v>1</v>
      </c>
      <c r="U16">
        <f>IFERROR(SUM(Table1[[#This Row],[Total day minutes]],Table1[[#This Row],[Total eve minutes]],Table1[[#This Row],[Total night minutes]],Table1[[#This Row],[Total intl minutes]]),0)</f>
        <v>599.19999999999993</v>
      </c>
      <c r="V16">
        <f>SUM(Table1[[#This Row],[Total intl charge]],Table1[[#This Row],[Total night charge]],Table1[[#This Row],[Total eve charge]],Table1[[#This Row],[Total day charge]])</f>
        <v>62.03</v>
      </c>
      <c r="W16">
        <f>SUM(Table1[[#This Row],[Total intl calls]],Table1[[#This Row],[Total night calls]],Table1[[#This Row],[Total eve calls]],Table1[[#This Row],[Total day calls]])</f>
        <v>327</v>
      </c>
      <c r="X16" t="str" cm="1">
        <f t="array" ref="X16">_xlfn.IFS(Table1[[#This Row],[Customer service calls]]&gt;=4,"High risk",Table1[[#This Row],[Customer service calls]]&gt;=2,"Medium risk",TRUE,"Low risk")</f>
        <v>Low risk</v>
      </c>
      <c r="Y16" t="str" cm="1">
        <f t="array" ref="Y16">IFERROR(_xlfn.IFS(Table1[[#This Row],[Total usage(Min)]]&gt;=AVERAGE(U:U)*1.1,"High risk",Table1[[#This Row],[Total usage(Min)]]&lt;= AVERAGE(U:U)*0.9,"Low risk",TRUE,"Medium risk"),"N/A")</f>
        <v>Medium risk</v>
      </c>
      <c r="Z16" t="str" cm="1">
        <f t="array" ref="Z16">IFERROR(_xlfn.IFS(Table1[[#This Row],[Total charges]]&gt;=AVERAGE(V:V)*1.1,"High risk",Table1[[#This Row],[Total charges]]&lt;=AVERAGE(V:V)*0.9,"Low risk",TRUE,"Medium risk"),"N/A")</f>
        <v>Medium risk</v>
      </c>
      <c r="AA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6" t="str" cm="1">
        <f t="array" ref="AC16">_xlfn.IFS(
AND(Table1[[#This Row],[Customer service risk level]]="High risk", Table1[[#This Row],[Intl usage behaviour]]="Unplanned Usage"),"High Risk",
OR(Table1[[#This Row],[Customer service risk level]]="Medium risk", Table1[[#This Row],[Charges risk level]]="High risk "),"Medium Risk",
TRUE,"Low Risk"
)</f>
        <v>Low Risk</v>
      </c>
    </row>
    <row r="17" spans="1:29" x14ac:dyDescent="0.25">
      <c r="A17" t="s">
        <v>34</v>
      </c>
      <c r="B17">
        <v>73</v>
      </c>
      <c r="C17">
        <v>415</v>
      </c>
      <c r="D17" t="s">
        <v>21</v>
      </c>
      <c r="E17" t="s">
        <v>21</v>
      </c>
      <c r="F17">
        <v>0</v>
      </c>
      <c r="G17">
        <v>160.1</v>
      </c>
      <c r="H17">
        <v>110</v>
      </c>
      <c r="I17">
        <v>27.22</v>
      </c>
      <c r="J17">
        <v>213.3</v>
      </c>
      <c r="K17">
        <v>72</v>
      </c>
      <c r="L17">
        <v>18.13</v>
      </c>
      <c r="M17">
        <v>174.1</v>
      </c>
      <c r="N17">
        <v>72</v>
      </c>
      <c r="O17">
        <v>7.83</v>
      </c>
      <c r="P17">
        <v>13</v>
      </c>
      <c r="Q17">
        <v>4</v>
      </c>
      <c r="R17">
        <v>3.51</v>
      </c>
      <c r="S17">
        <v>0</v>
      </c>
      <c r="T17" t="b">
        <v>0</v>
      </c>
      <c r="U17">
        <f>IFERROR(SUM(Table1[[#This Row],[Total day minutes]],Table1[[#This Row],[Total eve minutes]],Table1[[#This Row],[Total night minutes]],Table1[[#This Row],[Total intl minutes]]),0)</f>
        <v>560.5</v>
      </c>
      <c r="V17">
        <f>SUM(Table1[[#This Row],[Total intl charge]],Table1[[#This Row],[Total night charge]],Table1[[#This Row],[Total eve charge]],Table1[[#This Row],[Total day charge]])</f>
        <v>56.69</v>
      </c>
      <c r="W17">
        <f>SUM(Table1[[#This Row],[Total intl calls]],Table1[[#This Row],[Total night calls]],Table1[[#This Row],[Total eve calls]],Table1[[#This Row],[Total day calls]])</f>
        <v>258</v>
      </c>
      <c r="X17" t="str" cm="1">
        <f t="array" ref="X17">_xlfn.IFS(Table1[[#This Row],[Customer service calls]]&gt;=4,"High risk",Table1[[#This Row],[Customer service calls]]&gt;=2,"Medium risk",TRUE,"Low risk")</f>
        <v>Low risk</v>
      </c>
      <c r="Y17" t="str" cm="1">
        <f t="array" ref="Y17">IFERROR(_xlfn.IFS(Table1[[#This Row],[Total usage(Min)]]&gt;=AVERAGE(U:U)*1.1,"High risk",Table1[[#This Row],[Total usage(Min)]]&lt;= AVERAGE(U:U)*0.9,"Low risk",TRUE,"Medium risk"),"N/A")</f>
        <v>Medium risk</v>
      </c>
      <c r="Z17" t="str" cm="1">
        <f t="array" ref="Z17">IFERROR(_xlfn.IFS(Table1[[#This Row],[Total charges]]&gt;=AVERAGE(V:V)*1.1,"High risk",Table1[[#This Row],[Total charges]]&lt;=AVERAGE(V:V)*0.9,"Low risk",TRUE,"Medium risk"),"N/A")</f>
        <v>Medium risk</v>
      </c>
      <c r="AA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 t="str" cm="1">
        <f t="array" ref="AC17">_xlfn.IFS(
AND(Table1[[#This Row],[Customer service risk level]]="High risk", Table1[[#This Row],[Intl usage behaviour]]="Unplanned Usage"),"High Risk",
OR(Table1[[#This Row],[Customer service risk level]]="Medium risk", Table1[[#This Row],[Charges risk level]]="High risk "),"Medium Risk",
TRUE,"Low Risk"
)</f>
        <v>Low Risk</v>
      </c>
    </row>
    <row r="18" spans="1:29" x14ac:dyDescent="0.25">
      <c r="A18" t="s">
        <v>29</v>
      </c>
      <c r="B18">
        <v>77</v>
      </c>
      <c r="C18">
        <v>415</v>
      </c>
      <c r="D18" t="s">
        <v>21</v>
      </c>
      <c r="E18" t="s">
        <v>21</v>
      </c>
      <c r="F18">
        <v>0</v>
      </c>
      <c r="G18">
        <v>251.8</v>
      </c>
      <c r="H18">
        <v>72</v>
      </c>
      <c r="I18">
        <v>42.81</v>
      </c>
      <c r="J18">
        <v>205.7</v>
      </c>
      <c r="K18">
        <v>126</v>
      </c>
      <c r="L18">
        <v>17.48</v>
      </c>
      <c r="M18">
        <v>275.2</v>
      </c>
      <c r="N18">
        <v>109</v>
      </c>
      <c r="O18">
        <v>12.38</v>
      </c>
      <c r="P18">
        <v>9.8000000000000007</v>
      </c>
      <c r="Q18">
        <v>7</v>
      </c>
      <c r="R18">
        <v>2.65</v>
      </c>
      <c r="S18">
        <v>2</v>
      </c>
      <c r="T18" t="b">
        <v>1</v>
      </c>
      <c r="U18">
        <f>IFERROR(SUM(Table1[[#This Row],[Total day minutes]],Table1[[#This Row],[Total eve minutes]],Table1[[#This Row],[Total night minutes]],Table1[[#This Row],[Total intl minutes]]),0)</f>
        <v>742.5</v>
      </c>
      <c r="V18">
        <f>SUM(Table1[[#This Row],[Total intl charge]],Table1[[#This Row],[Total night charge]],Table1[[#This Row],[Total eve charge]],Table1[[#This Row],[Total day charge]])</f>
        <v>75.320000000000007</v>
      </c>
      <c r="W18">
        <f>SUM(Table1[[#This Row],[Total intl calls]],Table1[[#This Row],[Total night calls]],Table1[[#This Row],[Total eve calls]],Table1[[#This Row],[Total day calls]])</f>
        <v>314</v>
      </c>
      <c r="X18" t="str" cm="1">
        <f t="array" ref="X18">_xlfn.IFS(Table1[[#This Row],[Customer service calls]]&gt;=4,"High risk",Table1[[#This Row],[Customer service calls]]&gt;=2,"Medium risk",TRUE,"Low risk")</f>
        <v>Medium risk</v>
      </c>
      <c r="Y18" t="str" cm="1">
        <f t="array" ref="Y18">IFERROR(_xlfn.IFS(Table1[[#This Row],[Total usage(Min)]]&gt;=AVERAGE(U:U)*1.1,"High risk",Table1[[#This Row],[Total usage(Min)]]&lt;= AVERAGE(U:U)*0.9,"Low risk",TRUE,"Medium risk"),"N/A")</f>
        <v>High risk</v>
      </c>
      <c r="Z18" t="str" cm="1">
        <f t="array" ref="Z18">IFERROR(_xlfn.IFS(Table1[[#This Row],[Total charges]]&gt;=AVERAGE(V:V)*1.1,"High risk",Table1[[#This Row],[Total charges]]&lt;=AVERAGE(V:V)*0.9,"Low risk",TRUE,"Medium risk"),"N/A")</f>
        <v>High risk</v>
      </c>
      <c r="AA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 t="str" cm="1">
        <f t="array" ref="AC18">_xlfn.IFS(
AND(Table1[[#This Row],[Customer service risk level]]="High risk", Table1[[#This Row],[Intl usage behaviour]]="Unplanned Usage"),"High Risk",
OR(Table1[[#This Row],[Customer service risk level]]="Medium risk", Table1[[#This Row],[Charges risk level]]="High risk "),"Medium Risk",
TRUE,"Low Risk"
)</f>
        <v>Medium Risk</v>
      </c>
    </row>
    <row r="19" spans="1:29" x14ac:dyDescent="0.25">
      <c r="A19" t="s">
        <v>35</v>
      </c>
      <c r="B19">
        <v>108</v>
      </c>
      <c r="C19">
        <v>415</v>
      </c>
      <c r="D19" t="s">
        <v>21</v>
      </c>
      <c r="E19" t="s">
        <v>21</v>
      </c>
      <c r="F19">
        <v>0</v>
      </c>
      <c r="G19">
        <v>178.3</v>
      </c>
      <c r="H19">
        <v>137</v>
      </c>
      <c r="I19">
        <v>30.31</v>
      </c>
      <c r="J19">
        <v>189</v>
      </c>
      <c r="K19">
        <v>76</v>
      </c>
      <c r="L19">
        <v>16.07</v>
      </c>
      <c r="M19">
        <v>129.1</v>
      </c>
      <c r="N19">
        <v>102</v>
      </c>
      <c r="O19">
        <v>5.81</v>
      </c>
      <c r="P19">
        <v>14.6</v>
      </c>
      <c r="Q19">
        <v>5</v>
      </c>
      <c r="R19">
        <v>3.94</v>
      </c>
      <c r="S19">
        <v>0</v>
      </c>
      <c r="T19" t="b">
        <v>0</v>
      </c>
      <c r="U19">
        <f>IFERROR(SUM(Table1[[#This Row],[Total day minutes]],Table1[[#This Row],[Total eve minutes]],Table1[[#This Row],[Total night minutes]],Table1[[#This Row],[Total intl minutes]]),0)</f>
        <v>511</v>
      </c>
      <c r="V19">
        <f>SUM(Table1[[#This Row],[Total intl charge]],Table1[[#This Row],[Total night charge]],Table1[[#This Row],[Total eve charge]],Table1[[#This Row],[Total day charge]])</f>
        <v>56.129999999999995</v>
      </c>
      <c r="W19">
        <f>SUM(Table1[[#This Row],[Total intl calls]],Table1[[#This Row],[Total night calls]],Table1[[#This Row],[Total eve calls]],Table1[[#This Row],[Total day calls]])</f>
        <v>320</v>
      </c>
      <c r="X19" t="str" cm="1">
        <f t="array" ref="X19">_xlfn.IFS(Table1[[#This Row],[Customer service calls]]&gt;=4,"High risk",Table1[[#This Row],[Customer service calls]]&gt;=2,"Medium risk",TRUE,"Low risk")</f>
        <v>Low risk</v>
      </c>
      <c r="Y19" t="str" cm="1">
        <f t="array" ref="Y19">IFERROR(_xlfn.IFS(Table1[[#This Row],[Total usage(Min)]]&gt;=AVERAGE(U:U)*1.1,"High risk",Table1[[#This Row],[Total usage(Min)]]&lt;= AVERAGE(U:U)*0.9,"Low risk",TRUE,"Medium risk"),"N/A")</f>
        <v>Low risk</v>
      </c>
      <c r="Z19" t="str" cm="1">
        <f t="array" ref="Z19">IFERROR(_xlfn.IFS(Table1[[#This Row],[Total charges]]&gt;=AVERAGE(V:V)*1.1,"High risk",Table1[[#This Row],[Total charges]]&lt;=AVERAGE(V:V)*0.9,"Low risk",TRUE,"Medium risk"),"N/A")</f>
        <v>Medium risk</v>
      </c>
      <c r="AA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 t="str" cm="1">
        <f t="array" ref="AC19">_xlfn.IFS(
AND(Table1[[#This Row],[Customer service risk level]]="High risk", Table1[[#This Row],[Intl usage behaviour]]="Unplanned Usage"),"High Risk",
OR(Table1[[#This Row],[Customer service risk level]]="Medium risk", Table1[[#This Row],[Charges risk level]]="High risk "),"Medium Risk",
TRUE,"Low Risk"
)</f>
        <v>Low Risk</v>
      </c>
    </row>
    <row r="20" spans="1:29" x14ac:dyDescent="0.25">
      <c r="A20" t="s">
        <v>36</v>
      </c>
      <c r="B20">
        <v>95</v>
      </c>
      <c r="C20">
        <v>408</v>
      </c>
      <c r="D20" t="s">
        <v>21</v>
      </c>
      <c r="E20" t="s">
        <v>21</v>
      </c>
      <c r="F20">
        <v>0</v>
      </c>
      <c r="G20">
        <v>135</v>
      </c>
      <c r="H20">
        <v>99</v>
      </c>
      <c r="I20">
        <v>22.95</v>
      </c>
      <c r="J20">
        <v>183.6</v>
      </c>
      <c r="K20">
        <v>106</v>
      </c>
      <c r="L20">
        <v>15.61</v>
      </c>
      <c r="M20">
        <v>245.3</v>
      </c>
      <c r="N20">
        <v>102</v>
      </c>
      <c r="O20">
        <v>11.04</v>
      </c>
      <c r="P20">
        <v>12.5</v>
      </c>
      <c r="Q20">
        <v>9</v>
      </c>
      <c r="R20">
        <v>3.38</v>
      </c>
      <c r="S20">
        <v>1</v>
      </c>
      <c r="T20" t="b">
        <v>0</v>
      </c>
      <c r="U20">
        <f>IFERROR(SUM(Table1[[#This Row],[Total day minutes]],Table1[[#This Row],[Total eve minutes]],Table1[[#This Row],[Total night minutes]],Table1[[#This Row],[Total intl minutes]]),0)</f>
        <v>576.40000000000009</v>
      </c>
      <c r="V20">
        <f>SUM(Table1[[#This Row],[Total intl charge]],Table1[[#This Row],[Total night charge]],Table1[[#This Row],[Total eve charge]],Table1[[#This Row],[Total day charge]])</f>
        <v>52.98</v>
      </c>
      <c r="W20">
        <f>SUM(Table1[[#This Row],[Total intl calls]],Table1[[#This Row],[Total night calls]],Table1[[#This Row],[Total eve calls]],Table1[[#This Row],[Total day calls]])</f>
        <v>316</v>
      </c>
      <c r="X20" t="str" cm="1">
        <f t="array" ref="X20">_xlfn.IFS(Table1[[#This Row],[Customer service calls]]&gt;=4,"High risk",Table1[[#This Row],[Customer service calls]]&gt;=2,"Medium risk",TRUE,"Low risk")</f>
        <v>Low risk</v>
      </c>
      <c r="Y20" t="str" cm="1">
        <f t="array" ref="Y20">IFERROR(_xlfn.IFS(Table1[[#This Row],[Total usage(Min)]]&gt;=AVERAGE(U:U)*1.1,"High risk",Table1[[#This Row],[Total usage(Min)]]&lt;= AVERAGE(U:U)*0.9,"Low risk",TRUE,"Medium risk"),"N/A")</f>
        <v>Medium risk</v>
      </c>
      <c r="Z20" t="str" cm="1">
        <f t="array" ref="Z20">IFERROR(_xlfn.IFS(Table1[[#This Row],[Total charges]]&gt;=AVERAGE(V:V)*1.1,"High risk",Table1[[#This Row],[Total charges]]&lt;=AVERAGE(V:V)*0.9,"Low risk",TRUE,"Medium risk"),"N/A")</f>
        <v>Low risk</v>
      </c>
      <c r="AA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 t="str" cm="1">
        <f t="array" ref="AC20">_xlfn.IFS(
AND(Table1[[#This Row],[Customer service risk level]]="High risk", Table1[[#This Row],[Intl usage behaviour]]="Unplanned Usage"),"High Risk",
OR(Table1[[#This Row],[Customer service risk level]]="Medium risk", Table1[[#This Row],[Charges risk level]]="High risk "),"Medium Risk",
TRUE,"Low Risk"
)</f>
        <v>Low Risk</v>
      </c>
    </row>
    <row r="21" spans="1:29" x14ac:dyDescent="0.25">
      <c r="A21" t="s">
        <v>28</v>
      </c>
      <c r="B21">
        <v>36</v>
      </c>
      <c r="C21">
        <v>510</v>
      </c>
      <c r="D21" t="s">
        <v>21</v>
      </c>
      <c r="E21" t="s">
        <v>27</v>
      </c>
      <c r="F21">
        <v>29</v>
      </c>
      <c r="G21">
        <v>281.39999999999998</v>
      </c>
      <c r="H21">
        <v>102</v>
      </c>
      <c r="I21">
        <v>47.84</v>
      </c>
      <c r="J21">
        <v>202.2</v>
      </c>
      <c r="K21">
        <v>76</v>
      </c>
      <c r="L21">
        <v>17.190000000000001</v>
      </c>
      <c r="M21">
        <v>187.2</v>
      </c>
      <c r="N21">
        <v>113</v>
      </c>
      <c r="O21">
        <v>8.42</v>
      </c>
      <c r="P21">
        <v>9</v>
      </c>
      <c r="Q21">
        <v>6</v>
      </c>
      <c r="R21">
        <v>2.4300000000000002</v>
      </c>
      <c r="S21">
        <v>2</v>
      </c>
      <c r="T21" t="b">
        <v>0</v>
      </c>
      <c r="U21">
        <f>IFERROR(SUM(Table1[[#This Row],[Total day minutes]],Table1[[#This Row],[Total eve minutes]],Table1[[#This Row],[Total night minutes]],Table1[[#This Row],[Total intl minutes]]),0)</f>
        <v>679.8</v>
      </c>
      <c r="V21">
        <f>SUM(Table1[[#This Row],[Total intl charge]],Table1[[#This Row],[Total night charge]],Table1[[#This Row],[Total eve charge]],Table1[[#This Row],[Total day charge]])</f>
        <v>75.88</v>
      </c>
      <c r="W21">
        <f>SUM(Table1[[#This Row],[Total intl calls]],Table1[[#This Row],[Total night calls]],Table1[[#This Row],[Total eve calls]],Table1[[#This Row],[Total day calls]])</f>
        <v>297</v>
      </c>
      <c r="X21" t="str" cm="1">
        <f t="array" ref="X21">_xlfn.IFS(Table1[[#This Row],[Customer service calls]]&gt;=4,"High risk",Table1[[#This Row],[Customer service calls]]&gt;=2,"Medium risk",TRUE,"Low risk")</f>
        <v>Medium risk</v>
      </c>
      <c r="Y21" t="str" cm="1">
        <f t="array" ref="Y21">IFERROR(_xlfn.IFS(Table1[[#This Row],[Total usage(Min)]]&gt;=AVERAGE(U:U)*1.1,"High risk",Table1[[#This Row],[Total usage(Min)]]&lt;= AVERAGE(U:U)*0.9,"Low risk",TRUE,"Medium risk"),"N/A")</f>
        <v>High risk</v>
      </c>
      <c r="Z21" t="str" cm="1">
        <f t="array" ref="Z21">IFERROR(_xlfn.IFS(Table1[[#This Row],[Total charges]]&gt;=AVERAGE(V:V)*1.1,"High risk",Table1[[#This Row],[Total charges]]&lt;=AVERAGE(V:V)*0.9,"Low risk",TRUE,"Medium risk"),"N/A")</f>
        <v>High risk</v>
      </c>
      <c r="AA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1" t="str" cm="1">
        <f t="array" ref="AC21">_xlfn.IFS(
AND(Table1[[#This Row],[Customer service risk level]]="High risk", Table1[[#This Row],[Intl usage behaviour]]="Unplanned Usage"),"High Risk",
OR(Table1[[#This Row],[Customer service risk level]]="Medium risk", Table1[[#This Row],[Charges risk level]]="High risk "),"Medium Risk",
TRUE,"Low Risk"
)</f>
        <v>Medium Risk</v>
      </c>
    </row>
    <row r="22" spans="1:29" x14ac:dyDescent="0.25">
      <c r="A22" t="s">
        <v>37</v>
      </c>
      <c r="B22">
        <v>141</v>
      </c>
      <c r="C22">
        <v>415</v>
      </c>
      <c r="D22" t="s">
        <v>21</v>
      </c>
      <c r="E22" t="s">
        <v>27</v>
      </c>
      <c r="F22">
        <v>32</v>
      </c>
      <c r="G22">
        <v>148.6</v>
      </c>
      <c r="H22">
        <v>91</v>
      </c>
      <c r="I22">
        <v>25.26</v>
      </c>
      <c r="J22">
        <v>131.1</v>
      </c>
      <c r="K22">
        <v>97</v>
      </c>
      <c r="L22">
        <v>11.14</v>
      </c>
      <c r="M22">
        <v>219.4</v>
      </c>
      <c r="N22">
        <v>142</v>
      </c>
      <c r="O22">
        <v>9.8699999999999992</v>
      </c>
      <c r="P22">
        <v>10.1</v>
      </c>
      <c r="Q22">
        <v>1</v>
      </c>
      <c r="R22">
        <v>2.73</v>
      </c>
      <c r="S22">
        <v>1</v>
      </c>
      <c r="T22" t="b">
        <v>0</v>
      </c>
      <c r="U22">
        <f>IFERROR(SUM(Table1[[#This Row],[Total day minutes]],Table1[[#This Row],[Total eve minutes]],Table1[[#This Row],[Total night minutes]],Table1[[#This Row],[Total intl minutes]]),0)</f>
        <v>509.20000000000005</v>
      </c>
      <c r="V22">
        <f>SUM(Table1[[#This Row],[Total intl charge]],Table1[[#This Row],[Total night charge]],Table1[[#This Row],[Total eve charge]],Table1[[#This Row],[Total day charge]])</f>
        <v>49</v>
      </c>
      <c r="W22">
        <f>SUM(Table1[[#This Row],[Total intl calls]],Table1[[#This Row],[Total night calls]],Table1[[#This Row],[Total eve calls]],Table1[[#This Row],[Total day calls]])</f>
        <v>331</v>
      </c>
      <c r="X22" t="str" cm="1">
        <f t="array" ref="X22">_xlfn.IFS(Table1[[#This Row],[Customer service calls]]&gt;=4,"High risk",Table1[[#This Row],[Customer service calls]]&gt;=2,"Medium risk",TRUE,"Low risk")</f>
        <v>Low risk</v>
      </c>
      <c r="Y22" t="str" cm="1">
        <f t="array" ref="Y22">IFERROR(_xlfn.IFS(Table1[[#This Row],[Total usage(Min)]]&gt;=AVERAGE(U:U)*1.1,"High risk",Table1[[#This Row],[Total usage(Min)]]&lt;= AVERAGE(U:U)*0.9,"Low risk",TRUE,"Medium risk"),"N/A")</f>
        <v>Low risk</v>
      </c>
      <c r="Z22" t="str" cm="1">
        <f t="array" ref="Z22">IFERROR(_xlfn.IFS(Table1[[#This Row],[Total charges]]&gt;=AVERAGE(V:V)*1.1,"High risk",Table1[[#This Row],[Total charges]]&lt;=AVERAGE(V:V)*0.9,"Low risk",TRUE,"Medium risk"),"N/A")</f>
        <v>Low risk</v>
      </c>
      <c r="AA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2" t="str" cm="1">
        <f t="array" ref="AC22">_xlfn.IFS(
AND(Table1[[#This Row],[Customer service risk level]]="High risk", Table1[[#This Row],[Intl usage behaviour]]="Unplanned Usage"),"High Risk",
OR(Table1[[#This Row],[Customer service risk level]]="Medium risk", Table1[[#This Row],[Charges risk level]]="High risk "),"Medium Risk",
TRUE,"Low Risk"
)</f>
        <v>Low Risk</v>
      </c>
    </row>
    <row r="23" spans="1:29" x14ac:dyDescent="0.25">
      <c r="A23" t="s">
        <v>38</v>
      </c>
      <c r="B23">
        <v>63</v>
      </c>
      <c r="C23">
        <v>415</v>
      </c>
      <c r="D23" t="s">
        <v>21</v>
      </c>
      <c r="E23" t="s">
        <v>21</v>
      </c>
      <c r="F23">
        <v>0</v>
      </c>
      <c r="G23">
        <v>58.9</v>
      </c>
      <c r="H23">
        <v>125</v>
      </c>
      <c r="I23">
        <v>10.01</v>
      </c>
      <c r="J23">
        <v>169.6</v>
      </c>
      <c r="K23">
        <v>59</v>
      </c>
      <c r="L23">
        <v>14.42</v>
      </c>
      <c r="M23">
        <v>211.4</v>
      </c>
      <c r="N23">
        <v>88</v>
      </c>
      <c r="O23">
        <v>9.51</v>
      </c>
      <c r="P23">
        <v>9.4</v>
      </c>
      <c r="Q23">
        <v>3</v>
      </c>
      <c r="R23">
        <v>2.54</v>
      </c>
      <c r="S23">
        <v>1</v>
      </c>
      <c r="T23" t="b">
        <v>0</v>
      </c>
      <c r="U23">
        <f>IFERROR(SUM(Table1[[#This Row],[Total day minutes]],Table1[[#This Row],[Total eve minutes]],Table1[[#This Row],[Total night minutes]],Table1[[#This Row],[Total intl minutes]]),0)</f>
        <v>449.29999999999995</v>
      </c>
      <c r="V23">
        <f>SUM(Table1[[#This Row],[Total intl charge]],Table1[[#This Row],[Total night charge]],Table1[[#This Row],[Total eve charge]],Table1[[#This Row],[Total day charge]])</f>
        <v>36.479999999999997</v>
      </c>
      <c r="W23">
        <f>SUM(Table1[[#This Row],[Total intl calls]],Table1[[#This Row],[Total night calls]],Table1[[#This Row],[Total eve calls]],Table1[[#This Row],[Total day calls]])</f>
        <v>275</v>
      </c>
      <c r="X23" t="str" cm="1">
        <f t="array" ref="X23">_xlfn.IFS(Table1[[#This Row],[Customer service calls]]&gt;=4,"High risk",Table1[[#This Row],[Customer service calls]]&gt;=2,"Medium risk",TRUE,"Low risk")</f>
        <v>Low risk</v>
      </c>
      <c r="Y23" t="str" cm="1">
        <f t="array" ref="Y23">IFERROR(_xlfn.IFS(Table1[[#This Row],[Total usage(Min)]]&gt;=AVERAGE(U:U)*1.1,"High risk",Table1[[#This Row],[Total usage(Min)]]&lt;= AVERAGE(U:U)*0.9,"Low risk",TRUE,"Medium risk"),"N/A")</f>
        <v>Low risk</v>
      </c>
      <c r="Z23" t="str" cm="1">
        <f t="array" ref="Z23">IFERROR(_xlfn.IFS(Table1[[#This Row],[Total charges]]&gt;=AVERAGE(V:V)*1.1,"High risk",Table1[[#This Row],[Total charges]]&lt;=AVERAGE(V:V)*0.9,"Low risk",TRUE,"Medium risk"),"N/A")</f>
        <v>Low risk</v>
      </c>
      <c r="AA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 t="str" cm="1">
        <f t="array" ref="AC23">_xlfn.IFS(
AND(Table1[[#This Row],[Customer service risk level]]="High risk", Table1[[#This Row],[Intl usage behaviour]]="Unplanned Usage"),"High Risk",
OR(Table1[[#This Row],[Customer service risk level]]="Medium risk", Table1[[#This Row],[Charges risk level]]="High risk "),"Medium Risk",
TRUE,"Low Risk"
)</f>
        <v>Low Risk</v>
      </c>
    </row>
    <row r="24" spans="1:29" x14ac:dyDescent="0.25">
      <c r="A24" t="s">
        <v>29</v>
      </c>
      <c r="B24">
        <v>97</v>
      </c>
      <c r="C24">
        <v>408</v>
      </c>
      <c r="D24" t="s">
        <v>21</v>
      </c>
      <c r="E24" t="s">
        <v>21</v>
      </c>
      <c r="F24">
        <v>0</v>
      </c>
      <c r="G24">
        <v>239.8</v>
      </c>
      <c r="H24">
        <v>125</v>
      </c>
      <c r="I24">
        <v>40.770000000000003</v>
      </c>
      <c r="J24">
        <v>214.8</v>
      </c>
      <c r="K24">
        <v>111</v>
      </c>
      <c r="L24">
        <v>18.260000000000002</v>
      </c>
      <c r="M24">
        <v>143.30000000000001</v>
      </c>
      <c r="N24">
        <v>81</v>
      </c>
      <c r="O24">
        <v>6.45</v>
      </c>
      <c r="P24">
        <v>8.6999999999999993</v>
      </c>
      <c r="Q24">
        <v>5</v>
      </c>
      <c r="R24">
        <v>2.35</v>
      </c>
      <c r="S24">
        <v>2</v>
      </c>
      <c r="T24" t="b">
        <v>0</v>
      </c>
      <c r="U24">
        <f>IFERROR(SUM(Table1[[#This Row],[Total day minutes]],Table1[[#This Row],[Total eve minutes]],Table1[[#This Row],[Total night minutes]],Table1[[#This Row],[Total intl minutes]]),0)</f>
        <v>606.60000000000014</v>
      </c>
      <c r="V24">
        <f>SUM(Table1[[#This Row],[Total intl charge]],Table1[[#This Row],[Total night charge]],Table1[[#This Row],[Total eve charge]],Table1[[#This Row],[Total day charge]])</f>
        <v>67.830000000000013</v>
      </c>
      <c r="W24">
        <f>SUM(Table1[[#This Row],[Total intl calls]],Table1[[#This Row],[Total night calls]],Table1[[#This Row],[Total eve calls]],Table1[[#This Row],[Total day calls]])</f>
        <v>322</v>
      </c>
      <c r="X24" t="str" cm="1">
        <f t="array" ref="X24">_xlfn.IFS(Table1[[#This Row],[Customer service calls]]&gt;=4,"High risk",Table1[[#This Row],[Customer service calls]]&gt;=2,"Medium risk",TRUE,"Low risk")</f>
        <v>Medium risk</v>
      </c>
      <c r="Y24" t="str" cm="1">
        <f t="array" ref="Y24">IFERROR(_xlfn.IFS(Table1[[#This Row],[Total usage(Min)]]&gt;=AVERAGE(U:U)*1.1,"High risk",Table1[[#This Row],[Total usage(Min)]]&lt;= AVERAGE(U:U)*0.9,"Low risk",TRUE,"Medium risk"),"N/A")</f>
        <v>Medium risk</v>
      </c>
      <c r="Z24" t="str" cm="1">
        <f t="array" ref="Z24">IFERROR(_xlfn.IFS(Table1[[#This Row],[Total charges]]&gt;=AVERAGE(V:V)*1.1,"High risk",Table1[[#This Row],[Total charges]]&lt;=AVERAGE(V:V)*0.9,"Low risk",TRUE,"Medium risk"),"N/A")</f>
        <v>High risk</v>
      </c>
      <c r="AA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 t="str" cm="1">
        <f t="array" ref="AC24">_xlfn.IFS(
AND(Table1[[#This Row],[Customer service risk level]]="High risk", Table1[[#This Row],[Intl usage behaviour]]="Unplanned Usage"),"High Risk",
OR(Table1[[#This Row],[Customer service risk level]]="Medium risk", Table1[[#This Row],[Charges risk level]]="High risk "),"Medium Risk",
TRUE,"Low Risk"
)</f>
        <v>Medium Risk</v>
      </c>
    </row>
    <row r="25" spans="1:29" x14ac:dyDescent="0.25">
      <c r="A25" t="s">
        <v>39</v>
      </c>
      <c r="B25">
        <v>75</v>
      </c>
      <c r="C25">
        <v>408</v>
      </c>
      <c r="D25" t="s">
        <v>21</v>
      </c>
      <c r="E25" t="s">
        <v>21</v>
      </c>
      <c r="F25">
        <v>0</v>
      </c>
      <c r="G25">
        <v>166.3</v>
      </c>
      <c r="H25">
        <v>125</v>
      </c>
      <c r="I25">
        <v>28.27</v>
      </c>
      <c r="J25">
        <v>158.19999999999999</v>
      </c>
      <c r="K25">
        <v>86</v>
      </c>
      <c r="L25">
        <v>13.45</v>
      </c>
      <c r="M25">
        <v>256.7</v>
      </c>
      <c r="N25">
        <v>80</v>
      </c>
      <c r="O25">
        <v>11.55</v>
      </c>
      <c r="P25">
        <v>6.1</v>
      </c>
      <c r="Q25">
        <v>5</v>
      </c>
      <c r="R25">
        <v>1.65</v>
      </c>
      <c r="S25">
        <v>1</v>
      </c>
      <c r="T25" t="b">
        <v>0</v>
      </c>
      <c r="U25">
        <f>IFERROR(SUM(Table1[[#This Row],[Total day minutes]],Table1[[#This Row],[Total eve minutes]],Table1[[#This Row],[Total night minutes]],Table1[[#This Row],[Total intl minutes]]),0)</f>
        <v>587.30000000000007</v>
      </c>
      <c r="V25">
        <f>SUM(Table1[[#This Row],[Total intl charge]],Table1[[#This Row],[Total night charge]],Table1[[#This Row],[Total eve charge]],Table1[[#This Row],[Total day charge]])</f>
        <v>54.92</v>
      </c>
      <c r="W25">
        <f>SUM(Table1[[#This Row],[Total intl calls]],Table1[[#This Row],[Total night calls]],Table1[[#This Row],[Total eve calls]],Table1[[#This Row],[Total day calls]])</f>
        <v>296</v>
      </c>
      <c r="X25" t="str" cm="1">
        <f t="array" ref="X25">_xlfn.IFS(Table1[[#This Row],[Customer service calls]]&gt;=4,"High risk",Table1[[#This Row],[Customer service calls]]&gt;=2,"Medium risk",TRUE,"Low risk")</f>
        <v>Low risk</v>
      </c>
      <c r="Y25" t="str" cm="1">
        <f t="array" ref="Y25">IFERROR(_xlfn.IFS(Table1[[#This Row],[Total usage(Min)]]&gt;=AVERAGE(U:U)*1.1,"High risk",Table1[[#This Row],[Total usage(Min)]]&lt;= AVERAGE(U:U)*0.9,"Low risk",TRUE,"Medium risk"),"N/A")</f>
        <v>Medium risk</v>
      </c>
      <c r="Z25" t="str" cm="1">
        <f t="array" ref="Z25">IFERROR(_xlfn.IFS(Table1[[#This Row],[Total charges]]&gt;=AVERAGE(V:V)*1.1,"High risk",Table1[[#This Row],[Total charges]]&lt;=AVERAGE(V:V)*0.9,"Low risk",TRUE,"Medium risk"),"N/A")</f>
        <v>Medium risk</v>
      </c>
      <c r="AA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 t="str" cm="1">
        <f t="array" ref="AC25">_xlfn.IFS(
AND(Table1[[#This Row],[Customer service risk level]]="High risk", Table1[[#This Row],[Intl usage behaviour]]="Unplanned Usage"),"High Risk",
OR(Table1[[#This Row],[Customer service risk level]]="Medium risk", Table1[[#This Row],[Charges risk level]]="High risk "),"Medium Risk",
TRUE,"Low Risk"
)</f>
        <v>Low Risk</v>
      </c>
    </row>
    <row r="26" spans="1:29" x14ac:dyDescent="0.25">
      <c r="A26" t="s">
        <v>40</v>
      </c>
      <c r="B26">
        <v>127</v>
      </c>
      <c r="C26">
        <v>408</v>
      </c>
      <c r="D26" t="s">
        <v>21</v>
      </c>
      <c r="E26" t="s">
        <v>21</v>
      </c>
      <c r="F26">
        <v>0</v>
      </c>
      <c r="G26">
        <v>146.69999999999999</v>
      </c>
      <c r="H26">
        <v>91</v>
      </c>
      <c r="I26">
        <v>24.94</v>
      </c>
      <c r="J26">
        <v>203.5</v>
      </c>
      <c r="K26">
        <v>78</v>
      </c>
      <c r="L26">
        <v>17.3</v>
      </c>
      <c r="M26">
        <v>203.4</v>
      </c>
      <c r="N26">
        <v>110</v>
      </c>
      <c r="O26">
        <v>9.15</v>
      </c>
      <c r="P26">
        <v>13.7</v>
      </c>
      <c r="Q26">
        <v>3</v>
      </c>
      <c r="R26">
        <v>3.7</v>
      </c>
      <c r="S26">
        <v>1</v>
      </c>
      <c r="T26" t="b">
        <v>0</v>
      </c>
      <c r="U26">
        <f>IFERROR(SUM(Table1[[#This Row],[Total day minutes]],Table1[[#This Row],[Total eve minutes]],Table1[[#This Row],[Total night minutes]],Table1[[#This Row],[Total intl minutes]]),0)</f>
        <v>567.30000000000007</v>
      </c>
      <c r="V26">
        <f>SUM(Table1[[#This Row],[Total intl charge]],Table1[[#This Row],[Total night charge]],Table1[[#This Row],[Total eve charge]],Table1[[#This Row],[Total day charge]])</f>
        <v>55.09</v>
      </c>
      <c r="W26">
        <f>SUM(Table1[[#This Row],[Total intl calls]],Table1[[#This Row],[Total night calls]],Table1[[#This Row],[Total eve calls]],Table1[[#This Row],[Total day calls]])</f>
        <v>282</v>
      </c>
      <c r="X26" t="str" cm="1">
        <f t="array" ref="X26">_xlfn.IFS(Table1[[#This Row],[Customer service calls]]&gt;=4,"High risk",Table1[[#This Row],[Customer service calls]]&gt;=2,"Medium risk",TRUE,"Low risk")</f>
        <v>Low risk</v>
      </c>
      <c r="Y26" t="str" cm="1">
        <f t="array" ref="Y26">IFERROR(_xlfn.IFS(Table1[[#This Row],[Total usage(Min)]]&gt;=AVERAGE(U:U)*1.1,"High risk",Table1[[#This Row],[Total usage(Min)]]&lt;= AVERAGE(U:U)*0.9,"Low risk",TRUE,"Medium risk"),"N/A")</f>
        <v>Medium risk</v>
      </c>
      <c r="Z26" t="str" cm="1">
        <f t="array" ref="Z26">IFERROR(_xlfn.IFS(Table1[[#This Row],[Total charges]]&gt;=AVERAGE(V:V)*1.1,"High risk",Table1[[#This Row],[Total charges]]&lt;=AVERAGE(V:V)*0.9,"Low risk",TRUE,"Medium risk"),"N/A")</f>
        <v>Medium risk</v>
      </c>
      <c r="AA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 t="str" cm="1">
        <f t="array" ref="AC26">_xlfn.IFS(
AND(Table1[[#This Row],[Customer service risk level]]="High risk", Table1[[#This Row],[Intl usage behaviour]]="Unplanned Usage"),"High Risk",
OR(Table1[[#This Row],[Customer service risk level]]="Medium risk", Table1[[#This Row],[Charges risk level]]="High risk "),"Medium Risk",
TRUE,"Low Risk"
)</f>
        <v>Low Risk</v>
      </c>
    </row>
    <row r="27" spans="1:29" x14ac:dyDescent="0.25">
      <c r="A27" t="s">
        <v>20</v>
      </c>
      <c r="B27">
        <v>121</v>
      </c>
      <c r="C27">
        <v>408</v>
      </c>
      <c r="D27" t="s">
        <v>21</v>
      </c>
      <c r="E27" t="s">
        <v>21</v>
      </c>
      <c r="F27">
        <v>0</v>
      </c>
      <c r="G27">
        <v>181.5</v>
      </c>
      <c r="H27">
        <v>121</v>
      </c>
      <c r="I27">
        <v>30.86</v>
      </c>
      <c r="J27">
        <v>218.4</v>
      </c>
      <c r="K27">
        <v>98</v>
      </c>
      <c r="L27">
        <v>18.559999999999999</v>
      </c>
      <c r="M27">
        <v>161.6</v>
      </c>
      <c r="N27">
        <v>103</v>
      </c>
      <c r="O27">
        <v>7.27</v>
      </c>
      <c r="P27">
        <v>8.5</v>
      </c>
      <c r="Q27">
        <v>5</v>
      </c>
      <c r="R27">
        <v>2.2999999999999998</v>
      </c>
      <c r="S27">
        <v>1</v>
      </c>
      <c r="T27" t="b">
        <v>0</v>
      </c>
      <c r="U27">
        <f>IFERROR(SUM(Table1[[#This Row],[Total day minutes]],Table1[[#This Row],[Total eve minutes]],Table1[[#This Row],[Total night minutes]],Table1[[#This Row],[Total intl minutes]]),0)</f>
        <v>570</v>
      </c>
      <c r="V27">
        <f>SUM(Table1[[#This Row],[Total intl charge]],Table1[[#This Row],[Total night charge]],Table1[[#This Row],[Total eve charge]],Table1[[#This Row],[Total day charge]])</f>
        <v>58.989999999999995</v>
      </c>
      <c r="W27">
        <f>SUM(Table1[[#This Row],[Total intl calls]],Table1[[#This Row],[Total night calls]],Table1[[#This Row],[Total eve calls]],Table1[[#This Row],[Total day calls]])</f>
        <v>327</v>
      </c>
      <c r="X27" t="str" cm="1">
        <f t="array" ref="X27">_xlfn.IFS(Table1[[#This Row],[Customer service calls]]&gt;=4,"High risk",Table1[[#This Row],[Customer service calls]]&gt;=2,"Medium risk",TRUE,"Low risk")</f>
        <v>Low risk</v>
      </c>
      <c r="Y27" t="str" cm="1">
        <f t="array" ref="Y27">IFERROR(_xlfn.IFS(Table1[[#This Row],[Total usage(Min)]]&gt;=AVERAGE(U:U)*1.1,"High risk",Table1[[#This Row],[Total usage(Min)]]&lt;= AVERAGE(U:U)*0.9,"Low risk",TRUE,"Medium risk"),"N/A")</f>
        <v>Medium risk</v>
      </c>
      <c r="Z27" t="str" cm="1">
        <f t="array" ref="Z27">IFERROR(_xlfn.IFS(Table1[[#This Row],[Total charges]]&gt;=AVERAGE(V:V)*1.1,"High risk",Table1[[#This Row],[Total charges]]&lt;=AVERAGE(V:V)*0.9,"Low risk",TRUE,"Medium risk"),"N/A")</f>
        <v>Medium risk</v>
      </c>
      <c r="AA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 t="str" cm="1">
        <f t="array" ref="AC27">_xlfn.IFS(
AND(Table1[[#This Row],[Customer service risk level]]="High risk", Table1[[#This Row],[Intl usage behaviour]]="Unplanned Usage"),"High Risk",
OR(Table1[[#This Row],[Customer service risk level]]="Medium risk", Table1[[#This Row],[Charges risk level]]="High risk "),"Medium Risk",
TRUE,"Low Risk"
)</f>
        <v>Low Risk</v>
      </c>
    </row>
    <row r="28" spans="1:29" x14ac:dyDescent="0.25">
      <c r="A28" t="s">
        <v>41</v>
      </c>
      <c r="B28">
        <v>117</v>
      </c>
      <c r="C28">
        <v>415</v>
      </c>
      <c r="D28" t="s">
        <v>21</v>
      </c>
      <c r="E28" t="s">
        <v>21</v>
      </c>
      <c r="F28">
        <v>0</v>
      </c>
      <c r="G28">
        <v>102.8</v>
      </c>
      <c r="H28">
        <v>119</v>
      </c>
      <c r="I28">
        <v>17.48</v>
      </c>
      <c r="J28">
        <v>206.7</v>
      </c>
      <c r="K28">
        <v>91</v>
      </c>
      <c r="L28">
        <v>17.57</v>
      </c>
      <c r="M28">
        <v>299</v>
      </c>
      <c r="N28">
        <v>105</v>
      </c>
      <c r="O28">
        <v>13.46</v>
      </c>
      <c r="P28">
        <v>10.1</v>
      </c>
      <c r="Q28">
        <v>7</v>
      </c>
      <c r="R28">
        <v>2.73</v>
      </c>
      <c r="S28">
        <v>1</v>
      </c>
      <c r="T28" t="b">
        <v>0</v>
      </c>
      <c r="U28">
        <f>IFERROR(SUM(Table1[[#This Row],[Total day minutes]],Table1[[#This Row],[Total eve minutes]],Table1[[#This Row],[Total night minutes]],Table1[[#This Row],[Total intl minutes]]),0)</f>
        <v>618.6</v>
      </c>
      <c r="V28">
        <f>SUM(Table1[[#This Row],[Total intl charge]],Table1[[#This Row],[Total night charge]],Table1[[#This Row],[Total eve charge]],Table1[[#This Row],[Total day charge]])</f>
        <v>51.240000000000009</v>
      </c>
      <c r="W28">
        <f>SUM(Table1[[#This Row],[Total intl calls]],Table1[[#This Row],[Total night calls]],Table1[[#This Row],[Total eve calls]],Table1[[#This Row],[Total day calls]])</f>
        <v>322</v>
      </c>
      <c r="X28" t="str" cm="1">
        <f t="array" ref="X28">_xlfn.IFS(Table1[[#This Row],[Customer service calls]]&gt;=4,"High risk",Table1[[#This Row],[Customer service calls]]&gt;=2,"Medium risk",TRUE,"Low risk")</f>
        <v>Low risk</v>
      </c>
      <c r="Y28" t="str" cm="1">
        <f t="array" ref="Y28">IFERROR(_xlfn.IFS(Table1[[#This Row],[Total usage(Min)]]&gt;=AVERAGE(U:U)*1.1,"High risk",Table1[[#This Row],[Total usage(Min)]]&lt;= AVERAGE(U:U)*0.9,"Low risk",TRUE,"Medium risk"),"N/A")</f>
        <v>Medium risk</v>
      </c>
      <c r="Z28" t="str" cm="1">
        <f t="array" ref="Z28">IFERROR(_xlfn.IFS(Table1[[#This Row],[Total charges]]&gt;=AVERAGE(V:V)*1.1,"High risk",Table1[[#This Row],[Total charges]]&lt;=AVERAGE(V:V)*0.9,"Low risk",TRUE,"Medium risk"),"N/A")</f>
        <v>Low risk</v>
      </c>
      <c r="AA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 t="str" cm="1">
        <f t="array" ref="AC28">_xlfn.IFS(
AND(Table1[[#This Row],[Customer service risk level]]="High risk", Table1[[#This Row],[Intl usage behaviour]]="Unplanned Usage"),"High Risk",
OR(Table1[[#This Row],[Customer service risk level]]="Medium risk", Table1[[#This Row],[Charges risk level]]="High risk "),"Medium Risk",
TRUE,"Low Risk"
)</f>
        <v>Low Risk</v>
      </c>
    </row>
    <row r="29" spans="1:29" x14ac:dyDescent="0.25">
      <c r="A29" t="s">
        <v>42</v>
      </c>
      <c r="B29">
        <v>65</v>
      </c>
      <c r="C29">
        <v>408</v>
      </c>
      <c r="D29" t="s">
        <v>21</v>
      </c>
      <c r="E29" t="s">
        <v>21</v>
      </c>
      <c r="F29">
        <v>0</v>
      </c>
      <c r="G29">
        <v>187.9</v>
      </c>
      <c r="H29">
        <v>116</v>
      </c>
      <c r="I29">
        <v>31.94</v>
      </c>
      <c r="J29">
        <v>157.6</v>
      </c>
      <c r="K29">
        <v>117</v>
      </c>
      <c r="L29">
        <v>13.4</v>
      </c>
      <c r="M29">
        <v>227.3</v>
      </c>
      <c r="N29">
        <v>86</v>
      </c>
      <c r="O29">
        <v>10.23</v>
      </c>
      <c r="P29">
        <v>7.5</v>
      </c>
      <c r="Q29">
        <v>6</v>
      </c>
      <c r="R29">
        <v>2.0299999999999998</v>
      </c>
      <c r="S29">
        <v>1</v>
      </c>
      <c r="T29" t="b">
        <v>0</v>
      </c>
      <c r="U29">
        <f>IFERROR(SUM(Table1[[#This Row],[Total day minutes]],Table1[[#This Row],[Total eve minutes]],Table1[[#This Row],[Total night minutes]],Table1[[#This Row],[Total intl minutes]]),0)</f>
        <v>580.29999999999995</v>
      </c>
      <c r="V29">
        <f>SUM(Table1[[#This Row],[Total intl charge]],Table1[[#This Row],[Total night charge]],Table1[[#This Row],[Total eve charge]],Table1[[#This Row],[Total day charge]])</f>
        <v>57.6</v>
      </c>
      <c r="W29">
        <f>SUM(Table1[[#This Row],[Total intl calls]],Table1[[#This Row],[Total night calls]],Table1[[#This Row],[Total eve calls]],Table1[[#This Row],[Total day calls]])</f>
        <v>325</v>
      </c>
      <c r="X29" t="str" cm="1">
        <f t="array" ref="X29">_xlfn.IFS(Table1[[#This Row],[Customer service calls]]&gt;=4,"High risk",Table1[[#This Row],[Customer service calls]]&gt;=2,"Medium risk",TRUE,"Low risk")</f>
        <v>Low risk</v>
      </c>
      <c r="Y29" t="str" cm="1">
        <f t="array" ref="Y29">IFERROR(_xlfn.IFS(Table1[[#This Row],[Total usage(Min)]]&gt;=AVERAGE(U:U)*1.1,"High risk",Table1[[#This Row],[Total usage(Min)]]&lt;= AVERAGE(U:U)*0.9,"Low risk",TRUE,"Medium risk"),"N/A")</f>
        <v>Medium risk</v>
      </c>
      <c r="Z29" t="str" cm="1">
        <f t="array" ref="Z29">IFERROR(_xlfn.IFS(Table1[[#This Row],[Total charges]]&gt;=AVERAGE(V:V)*1.1,"High risk",Table1[[#This Row],[Total charges]]&lt;=AVERAGE(V:V)*0.9,"Low risk",TRUE,"Medium risk"),"N/A")</f>
        <v>Medium risk</v>
      </c>
      <c r="AA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 t="str" cm="1">
        <f t="array" ref="AC29">_xlfn.IFS(
AND(Table1[[#This Row],[Customer service risk level]]="High risk", Table1[[#This Row],[Intl usage behaviour]]="Unplanned Usage"),"High Risk",
OR(Table1[[#This Row],[Customer service risk level]]="Medium risk", Table1[[#This Row],[Charges risk level]]="High risk "),"Medium Risk",
TRUE,"Low Risk"
)</f>
        <v>Low Risk</v>
      </c>
    </row>
    <row r="30" spans="1:29" x14ac:dyDescent="0.25">
      <c r="A30" t="s">
        <v>43</v>
      </c>
      <c r="B30">
        <v>6</v>
      </c>
      <c r="C30">
        <v>510</v>
      </c>
      <c r="D30" t="s">
        <v>21</v>
      </c>
      <c r="E30" t="s">
        <v>21</v>
      </c>
      <c r="F30">
        <v>0</v>
      </c>
      <c r="G30">
        <v>183.6</v>
      </c>
      <c r="H30">
        <v>117</v>
      </c>
      <c r="I30">
        <v>31.21</v>
      </c>
      <c r="J30">
        <v>256.7</v>
      </c>
      <c r="K30">
        <v>72</v>
      </c>
      <c r="L30">
        <v>21.82</v>
      </c>
      <c r="M30">
        <v>178.6</v>
      </c>
      <c r="N30">
        <v>79</v>
      </c>
      <c r="O30">
        <v>8.0399999999999991</v>
      </c>
      <c r="P30">
        <v>10.199999999999999</v>
      </c>
      <c r="Q30">
        <v>2</v>
      </c>
      <c r="R30">
        <v>2.75</v>
      </c>
      <c r="S30">
        <v>1</v>
      </c>
      <c r="T30" t="b">
        <v>0</v>
      </c>
      <c r="U30">
        <f>IFERROR(SUM(Table1[[#This Row],[Total day minutes]],Table1[[#This Row],[Total eve minutes]],Table1[[#This Row],[Total night minutes]],Table1[[#This Row],[Total intl minutes]]),0)</f>
        <v>629.1</v>
      </c>
      <c r="V30">
        <f>SUM(Table1[[#This Row],[Total intl charge]],Table1[[#This Row],[Total night charge]],Table1[[#This Row],[Total eve charge]],Table1[[#This Row],[Total day charge]])</f>
        <v>63.82</v>
      </c>
      <c r="W30">
        <f>SUM(Table1[[#This Row],[Total intl calls]],Table1[[#This Row],[Total night calls]],Table1[[#This Row],[Total eve calls]],Table1[[#This Row],[Total day calls]])</f>
        <v>270</v>
      </c>
      <c r="X30" t="str" cm="1">
        <f t="array" ref="X30">_xlfn.IFS(Table1[[#This Row],[Customer service calls]]&gt;=4,"High risk",Table1[[#This Row],[Customer service calls]]&gt;=2,"Medium risk",TRUE,"Low risk")</f>
        <v>Low risk</v>
      </c>
      <c r="Y30" t="str" cm="1">
        <f t="array" ref="Y30">IFERROR(_xlfn.IFS(Table1[[#This Row],[Total usage(Min)]]&gt;=AVERAGE(U:U)*1.1,"High risk",Table1[[#This Row],[Total usage(Min)]]&lt;= AVERAGE(U:U)*0.9,"Low risk",TRUE,"Medium risk"),"N/A")</f>
        <v>Medium risk</v>
      </c>
      <c r="Z30" t="str" cm="1">
        <f t="array" ref="Z30">IFERROR(_xlfn.IFS(Table1[[#This Row],[Total charges]]&gt;=AVERAGE(V:V)*1.1,"High risk",Table1[[#This Row],[Total charges]]&lt;=AVERAGE(V:V)*0.9,"Low risk",TRUE,"Medium risk"),"N/A")</f>
        <v>Medium risk</v>
      </c>
      <c r="AA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 t="str" cm="1">
        <f t="array" ref="AC30">_xlfn.IFS(
AND(Table1[[#This Row],[Customer service risk level]]="High risk", Table1[[#This Row],[Intl usage behaviour]]="Unplanned Usage"),"High Risk",
OR(Table1[[#This Row],[Customer service risk level]]="Medium risk", Table1[[#This Row],[Charges risk level]]="High risk "),"Medium Risk",
TRUE,"Low Risk"
)</f>
        <v>Low Risk</v>
      </c>
    </row>
    <row r="31" spans="1:29" x14ac:dyDescent="0.25">
      <c r="A31" t="s">
        <v>44</v>
      </c>
      <c r="B31">
        <v>32</v>
      </c>
      <c r="C31">
        <v>510</v>
      </c>
      <c r="D31" t="s">
        <v>21</v>
      </c>
      <c r="E31" t="s">
        <v>21</v>
      </c>
      <c r="F31">
        <v>0</v>
      </c>
      <c r="G31">
        <v>230.9</v>
      </c>
      <c r="H31">
        <v>87</v>
      </c>
      <c r="I31">
        <v>39.25</v>
      </c>
      <c r="J31">
        <v>187.4</v>
      </c>
      <c r="K31">
        <v>90</v>
      </c>
      <c r="L31">
        <v>15.93</v>
      </c>
      <c r="M31">
        <v>154</v>
      </c>
      <c r="N31">
        <v>53</v>
      </c>
      <c r="O31">
        <v>6.93</v>
      </c>
      <c r="P31">
        <v>6.3</v>
      </c>
      <c r="Q31">
        <v>2</v>
      </c>
      <c r="R31">
        <v>1.7</v>
      </c>
      <c r="S31">
        <v>0</v>
      </c>
      <c r="T31" t="b">
        <v>0</v>
      </c>
      <c r="U31">
        <f>IFERROR(SUM(Table1[[#This Row],[Total day minutes]],Table1[[#This Row],[Total eve minutes]],Table1[[#This Row],[Total night minutes]],Table1[[#This Row],[Total intl minutes]]),0)</f>
        <v>578.59999999999991</v>
      </c>
      <c r="V31">
        <f>SUM(Table1[[#This Row],[Total intl charge]],Table1[[#This Row],[Total night charge]],Table1[[#This Row],[Total eve charge]],Table1[[#This Row],[Total day charge]])</f>
        <v>63.81</v>
      </c>
      <c r="W31">
        <f>SUM(Table1[[#This Row],[Total intl calls]],Table1[[#This Row],[Total night calls]],Table1[[#This Row],[Total eve calls]],Table1[[#This Row],[Total day calls]])</f>
        <v>232</v>
      </c>
      <c r="X31" t="str" cm="1">
        <f t="array" ref="X31">_xlfn.IFS(Table1[[#This Row],[Customer service calls]]&gt;=4,"High risk",Table1[[#This Row],[Customer service calls]]&gt;=2,"Medium risk",TRUE,"Low risk")</f>
        <v>Low risk</v>
      </c>
      <c r="Y31" t="str" cm="1">
        <f t="array" ref="Y31">IFERROR(_xlfn.IFS(Table1[[#This Row],[Total usage(Min)]]&gt;=AVERAGE(U:U)*1.1,"High risk",Table1[[#This Row],[Total usage(Min)]]&lt;= AVERAGE(U:U)*0.9,"Low risk",TRUE,"Medium risk"),"N/A")</f>
        <v>Medium risk</v>
      </c>
      <c r="Z31" t="str" cm="1">
        <f t="array" ref="Z31">IFERROR(_xlfn.IFS(Table1[[#This Row],[Total charges]]&gt;=AVERAGE(V:V)*1.1,"High risk",Table1[[#This Row],[Total charges]]&lt;=AVERAGE(V:V)*0.9,"Low risk",TRUE,"Medium risk"),"N/A")</f>
        <v>Medium risk</v>
      </c>
      <c r="AA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 t="str" cm="1">
        <f t="array" ref="AC31">_xlfn.IFS(
AND(Table1[[#This Row],[Customer service risk level]]="High risk", Table1[[#This Row],[Intl usage behaviour]]="Unplanned Usage"),"High Risk",
OR(Table1[[#This Row],[Customer service risk level]]="Medium risk", Table1[[#This Row],[Charges risk level]]="High risk "),"Medium Risk",
TRUE,"Low Risk"
)</f>
        <v>Low Risk</v>
      </c>
    </row>
    <row r="32" spans="1:29" x14ac:dyDescent="0.25">
      <c r="A32" t="s">
        <v>45</v>
      </c>
      <c r="B32">
        <v>64</v>
      </c>
      <c r="C32">
        <v>408</v>
      </c>
      <c r="D32" t="s">
        <v>21</v>
      </c>
      <c r="E32" t="s">
        <v>27</v>
      </c>
      <c r="F32">
        <v>27</v>
      </c>
      <c r="G32">
        <v>182.1</v>
      </c>
      <c r="H32">
        <v>91</v>
      </c>
      <c r="I32">
        <v>30.96</v>
      </c>
      <c r="J32">
        <v>169.7</v>
      </c>
      <c r="K32">
        <v>98</v>
      </c>
      <c r="L32">
        <v>14.42</v>
      </c>
      <c r="M32">
        <v>164.7</v>
      </c>
      <c r="N32">
        <v>86</v>
      </c>
      <c r="O32">
        <v>7.41</v>
      </c>
      <c r="P32">
        <v>10.6</v>
      </c>
      <c r="Q32">
        <v>5</v>
      </c>
      <c r="R32">
        <v>2.86</v>
      </c>
      <c r="S32">
        <v>2</v>
      </c>
      <c r="T32" t="b">
        <v>0</v>
      </c>
      <c r="U32">
        <f>IFERROR(SUM(Table1[[#This Row],[Total day minutes]],Table1[[#This Row],[Total eve minutes]],Table1[[#This Row],[Total night minutes]],Table1[[#This Row],[Total intl minutes]]),0)</f>
        <v>527.1</v>
      </c>
      <c r="V32">
        <f>SUM(Table1[[#This Row],[Total intl charge]],Table1[[#This Row],[Total night charge]],Table1[[#This Row],[Total eve charge]],Table1[[#This Row],[Total day charge]])</f>
        <v>55.65</v>
      </c>
      <c r="W32">
        <f>SUM(Table1[[#This Row],[Total intl calls]],Table1[[#This Row],[Total night calls]],Table1[[#This Row],[Total eve calls]],Table1[[#This Row],[Total day calls]])</f>
        <v>280</v>
      </c>
      <c r="X32" t="str" cm="1">
        <f t="array" ref="X32">_xlfn.IFS(Table1[[#This Row],[Customer service calls]]&gt;=4,"High risk",Table1[[#This Row],[Customer service calls]]&gt;=2,"Medium risk",TRUE,"Low risk")</f>
        <v>Medium risk</v>
      </c>
      <c r="Y32" t="str" cm="1">
        <f t="array" ref="Y32">IFERROR(_xlfn.IFS(Table1[[#This Row],[Total usage(Min)]]&gt;=AVERAGE(U:U)*1.1,"High risk",Table1[[#This Row],[Total usage(Min)]]&lt;= AVERAGE(U:U)*0.9,"Low risk",TRUE,"Medium risk"),"N/A")</f>
        <v>Low risk</v>
      </c>
      <c r="Z32" t="str" cm="1">
        <f t="array" ref="Z32">IFERROR(_xlfn.IFS(Table1[[#This Row],[Total charges]]&gt;=AVERAGE(V:V)*1.1,"High risk",Table1[[#This Row],[Total charges]]&lt;=AVERAGE(V:V)*0.9,"Low risk",TRUE,"Medium risk"),"N/A")</f>
        <v>Medium risk</v>
      </c>
      <c r="AA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2" t="str" cm="1">
        <f t="array" ref="AC32">_xlfn.IFS(
AND(Table1[[#This Row],[Customer service risk level]]="High risk", Table1[[#This Row],[Intl usage behaviour]]="Unplanned Usage"),"High Risk",
OR(Table1[[#This Row],[Customer service risk level]]="Medium risk", Table1[[#This Row],[Charges risk level]]="High risk "),"Medium Risk",
TRUE,"Low Risk"
)</f>
        <v>Medium Risk</v>
      </c>
    </row>
    <row r="33" spans="1:29" x14ac:dyDescent="0.25">
      <c r="A33" t="s">
        <v>46</v>
      </c>
      <c r="B33">
        <v>25</v>
      </c>
      <c r="C33">
        <v>415</v>
      </c>
      <c r="D33" t="s">
        <v>21</v>
      </c>
      <c r="E33" t="s">
        <v>21</v>
      </c>
      <c r="F33">
        <v>0</v>
      </c>
      <c r="G33">
        <v>119.3</v>
      </c>
      <c r="H33">
        <v>87</v>
      </c>
      <c r="I33">
        <v>20.28</v>
      </c>
      <c r="J33">
        <v>211.5</v>
      </c>
      <c r="K33">
        <v>101</v>
      </c>
      <c r="L33">
        <v>17.98</v>
      </c>
      <c r="M33">
        <v>268.89999999999998</v>
      </c>
      <c r="N33">
        <v>86</v>
      </c>
      <c r="O33">
        <v>12.1</v>
      </c>
      <c r="P33">
        <v>10.5</v>
      </c>
      <c r="Q33">
        <v>4</v>
      </c>
      <c r="R33">
        <v>2.84</v>
      </c>
      <c r="S33">
        <v>3</v>
      </c>
      <c r="T33" t="b">
        <v>0</v>
      </c>
      <c r="U33">
        <f>IFERROR(SUM(Table1[[#This Row],[Total day minutes]],Table1[[#This Row],[Total eve minutes]],Table1[[#This Row],[Total night minutes]],Table1[[#This Row],[Total intl minutes]]),0)</f>
        <v>610.20000000000005</v>
      </c>
      <c r="V33">
        <f>SUM(Table1[[#This Row],[Total intl charge]],Table1[[#This Row],[Total night charge]],Table1[[#This Row],[Total eve charge]],Table1[[#This Row],[Total day charge]])</f>
        <v>53.2</v>
      </c>
      <c r="W33">
        <f>SUM(Table1[[#This Row],[Total intl calls]],Table1[[#This Row],[Total night calls]],Table1[[#This Row],[Total eve calls]],Table1[[#This Row],[Total day calls]])</f>
        <v>278</v>
      </c>
      <c r="X33" t="str" cm="1">
        <f t="array" ref="X33">_xlfn.IFS(Table1[[#This Row],[Customer service calls]]&gt;=4,"High risk",Table1[[#This Row],[Customer service calls]]&gt;=2,"Medium risk",TRUE,"Low risk")</f>
        <v>Medium risk</v>
      </c>
      <c r="Y33" t="str" cm="1">
        <f t="array" ref="Y33">IFERROR(_xlfn.IFS(Table1[[#This Row],[Total usage(Min)]]&gt;=AVERAGE(U:U)*1.1,"High risk",Table1[[#This Row],[Total usage(Min)]]&lt;= AVERAGE(U:U)*0.9,"Low risk",TRUE,"Medium risk"),"N/A")</f>
        <v>Medium risk</v>
      </c>
      <c r="Z33" t="str" cm="1">
        <f t="array" ref="Z33">IFERROR(_xlfn.IFS(Table1[[#This Row],[Total charges]]&gt;=AVERAGE(V:V)*1.1,"High risk",Table1[[#This Row],[Total charges]]&lt;=AVERAGE(V:V)*0.9,"Low risk",TRUE,"Medium risk"),"N/A")</f>
        <v>Low risk</v>
      </c>
      <c r="AA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 t="str" cm="1">
        <f t="array" ref="AC33">_xlfn.IFS(
AND(Table1[[#This Row],[Customer service risk level]]="High risk", Table1[[#This Row],[Intl usage behaviour]]="Unplanned Usage"),"High Risk",
OR(Table1[[#This Row],[Customer service risk level]]="Medium risk", Table1[[#This Row],[Charges risk level]]="High risk "),"Medium Risk",
TRUE,"Low Risk"
)</f>
        <v>Medium Risk</v>
      </c>
    </row>
    <row r="34" spans="1:29" x14ac:dyDescent="0.25">
      <c r="A34" t="s">
        <v>47</v>
      </c>
      <c r="B34">
        <v>65</v>
      </c>
      <c r="C34">
        <v>415</v>
      </c>
      <c r="D34" t="s">
        <v>21</v>
      </c>
      <c r="E34" t="s">
        <v>21</v>
      </c>
      <c r="F34">
        <v>0</v>
      </c>
      <c r="G34">
        <v>116.8</v>
      </c>
      <c r="H34">
        <v>87</v>
      </c>
      <c r="I34">
        <v>19.86</v>
      </c>
      <c r="J34">
        <v>178.9</v>
      </c>
      <c r="K34">
        <v>93</v>
      </c>
      <c r="L34">
        <v>15.21</v>
      </c>
      <c r="M34">
        <v>182.4</v>
      </c>
      <c r="N34">
        <v>150</v>
      </c>
      <c r="O34">
        <v>8.2100000000000009</v>
      </c>
      <c r="P34">
        <v>14.1</v>
      </c>
      <c r="Q34">
        <v>2</v>
      </c>
      <c r="R34">
        <v>3.81</v>
      </c>
      <c r="S34">
        <v>1</v>
      </c>
      <c r="T34" t="b">
        <v>0</v>
      </c>
      <c r="U34">
        <f>IFERROR(SUM(Table1[[#This Row],[Total day minutes]],Table1[[#This Row],[Total eve minutes]],Table1[[#This Row],[Total night minutes]],Table1[[#This Row],[Total intl minutes]]),0)</f>
        <v>492.20000000000005</v>
      </c>
      <c r="V34">
        <f>SUM(Table1[[#This Row],[Total intl charge]],Table1[[#This Row],[Total night charge]],Table1[[#This Row],[Total eve charge]],Table1[[#This Row],[Total day charge]])</f>
        <v>47.09</v>
      </c>
      <c r="W34">
        <f>SUM(Table1[[#This Row],[Total intl calls]],Table1[[#This Row],[Total night calls]],Table1[[#This Row],[Total eve calls]],Table1[[#This Row],[Total day calls]])</f>
        <v>332</v>
      </c>
      <c r="X34" t="str" cm="1">
        <f t="array" ref="X34">_xlfn.IFS(Table1[[#This Row],[Customer service calls]]&gt;=4,"High risk",Table1[[#This Row],[Customer service calls]]&gt;=2,"Medium risk",TRUE,"Low risk")</f>
        <v>Low risk</v>
      </c>
      <c r="Y34" t="str" cm="1">
        <f t="array" ref="Y34">IFERROR(_xlfn.IFS(Table1[[#This Row],[Total usage(Min)]]&gt;=AVERAGE(U:U)*1.1,"High risk",Table1[[#This Row],[Total usage(Min)]]&lt;= AVERAGE(U:U)*0.9,"Low risk",TRUE,"Medium risk"),"N/A")</f>
        <v>Low risk</v>
      </c>
      <c r="Z34" t="str" cm="1">
        <f t="array" ref="Z34">IFERROR(_xlfn.IFS(Table1[[#This Row],[Total charges]]&gt;=AVERAGE(V:V)*1.1,"High risk",Table1[[#This Row],[Total charges]]&lt;=AVERAGE(V:V)*0.9,"Low risk",TRUE,"Medium risk"),"N/A")</f>
        <v>Low risk</v>
      </c>
      <c r="AA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 t="str" cm="1">
        <f t="array" ref="AC34">_xlfn.IFS(
AND(Table1[[#This Row],[Customer service risk level]]="High risk", Table1[[#This Row],[Intl usage behaviour]]="Unplanned Usage"),"High Risk",
OR(Table1[[#This Row],[Customer service risk level]]="Medium risk", Table1[[#This Row],[Charges risk level]]="High risk "),"Medium Risk",
TRUE,"Low Risk"
)</f>
        <v>Low Risk</v>
      </c>
    </row>
    <row r="35" spans="1:29" x14ac:dyDescent="0.25">
      <c r="A35" t="s">
        <v>28</v>
      </c>
      <c r="B35">
        <v>127</v>
      </c>
      <c r="C35">
        <v>415</v>
      </c>
      <c r="D35" t="s">
        <v>21</v>
      </c>
      <c r="E35" t="s">
        <v>21</v>
      </c>
      <c r="F35">
        <v>0</v>
      </c>
      <c r="G35">
        <v>202.1</v>
      </c>
      <c r="H35">
        <v>103</v>
      </c>
      <c r="I35">
        <v>34.36</v>
      </c>
      <c r="J35">
        <v>229.4</v>
      </c>
      <c r="K35">
        <v>86</v>
      </c>
      <c r="L35">
        <v>19.5</v>
      </c>
      <c r="M35">
        <v>195.2</v>
      </c>
      <c r="N35">
        <v>113</v>
      </c>
      <c r="O35">
        <v>8.7799999999999994</v>
      </c>
      <c r="P35">
        <v>11.5</v>
      </c>
      <c r="Q35">
        <v>3</v>
      </c>
      <c r="R35">
        <v>3.11</v>
      </c>
      <c r="S35">
        <v>2</v>
      </c>
      <c r="T35" t="b">
        <v>0</v>
      </c>
      <c r="U35">
        <f>IFERROR(SUM(Table1[[#This Row],[Total day minutes]],Table1[[#This Row],[Total eve minutes]],Table1[[#This Row],[Total night minutes]],Table1[[#This Row],[Total intl minutes]]),0)</f>
        <v>638.20000000000005</v>
      </c>
      <c r="V35">
        <f>SUM(Table1[[#This Row],[Total intl charge]],Table1[[#This Row],[Total night charge]],Table1[[#This Row],[Total eve charge]],Table1[[#This Row],[Total day charge]])</f>
        <v>65.75</v>
      </c>
      <c r="W35">
        <f>SUM(Table1[[#This Row],[Total intl calls]],Table1[[#This Row],[Total night calls]],Table1[[#This Row],[Total eve calls]],Table1[[#This Row],[Total day calls]])</f>
        <v>305</v>
      </c>
      <c r="X35" t="str" cm="1">
        <f t="array" ref="X35">_xlfn.IFS(Table1[[#This Row],[Customer service calls]]&gt;=4,"High risk",Table1[[#This Row],[Customer service calls]]&gt;=2,"Medium risk",TRUE,"Low risk")</f>
        <v>Medium risk</v>
      </c>
      <c r="Y35" t="str" cm="1">
        <f t="array" ref="Y35">IFERROR(_xlfn.IFS(Table1[[#This Row],[Total usage(Min)]]&gt;=AVERAGE(U:U)*1.1,"High risk",Table1[[#This Row],[Total usage(Min)]]&lt;= AVERAGE(U:U)*0.9,"Low risk",TRUE,"Medium risk"),"N/A")</f>
        <v>Medium risk</v>
      </c>
      <c r="Z35" t="str" cm="1">
        <f t="array" ref="Z35">IFERROR(_xlfn.IFS(Table1[[#This Row],[Total charges]]&gt;=AVERAGE(V:V)*1.1,"High risk",Table1[[#This Row],[Total charges]]&lt;=AVERAGE(V:V)*0.9,"Low risk",TRUE,"Medium risk"),"N/A")</f>
        <v>Medium risk</v>
      </c>
      <c r="AA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 t="str" cm="1">
        <f t="array" ref="AC35">_xlfn.IFS(
AND(Table1[[#This Row],[Customer service risk level]]="High risk", Table1[[#This Row],[Intl usage behaviour]]="Unplanned Usage"),"High Risk",
OR(Table1[[#This Row],[Customer service risk level]]="Medium risk", Table1[[#This Row],[Charges risk level]]="High risk "),"Medium Risk",
TRUE,"Low Risk"
)</f>
        <v>Medium Risk</v>
      </c>
    </row>
    <row r="36" spans="1:29" x14ac:dyDescent="0.25">
      <c r="A36" t="s">
        <v>38</v>
      </c>
      <c r="B36">
        <v>93</v>
      </c>
      <c r="C36">
        <v>415</v>
      </c>
      <c r="D36" t="s">
        <v>21</v>
      </c>
      <c r="E36" t="s">
        <v>21</v>
      </c>
      <c r="F36">
        <v>0</v>
      </c>
      <c r="G36">
        <v>271.60000000000002</v>
      </c>
      <c r="H36">
        <v>71</v>
      </c>
      <c r="I36">
        <v>46.17</v>
      </c>
      <c r="J36">
        <v>229.4</v>
      </c>
      <c r="K36">
        <v>108</v>
      </c>
      <c r="L36">
        <v>19.5</v>
      </c>
      <c r="M36">
        <v>77.3</v>
      </c>
      <c r="N36">
        <v>121</v>
      </c>
      <c r="O36">
        <v>3.48</v>
      </c>
      <c r="P36">
        <v>10.9</v>
      </c>
      <c r="Q36">
        <v>3</v>
      </c>
      <c r="R36">
        <v>2.94</v>
      </c>
      <c r="S36">
        <v>2</v>
      </c>
      <c r="T36" t="b">
        <v>0</v>
      </c>
      <c r="U36">
        <f>IFERROR(SUM(Table1[[#This Row],[Total day minutes]],Table1[[#This Row],[Total eve minutes]],Table1[[#This Row],[Total night minutes]],Table1[[#This Row],[Total intl minutes]]),0)</f>
        <v>589.19999999999993</v>
      </c>
      <c r="V36">
        <f>SUM(Table1[[#This Row],[Total intl charge]],Table1[[#This Row],[Total night charge]],Table1[[#This Row],[Total eve charge]],Table1[[#This Row],[Total day charge]])</f>
        <v>72.09</v>
      </c>
      <c r="W36">
        <f>SUM(Table1[[#This Row],[Total intl calls]],Table1[[#This Row],[Total night calls]],Table1[[#This Row],[Total eve calls]],Table1[[#This Row],[Total day calls]])</f>
        <v>303</v>
      </c>
      <c r="X36" t="str" cm="1">
        <f t="array" ref="X36">_xlfn.IFS(Table1[[#This Row],[Customer service calls]]&gt;=4,"High risk",Table1[[#This Row],[Customer service calls]]&gt;=2,"Medium risk",TRUE,"Low risk")</f>
        <v>Medium risk</v>
      </c>
      <c r="Y36" t="str" cm="1">
        <f t="array" ref="Y36">IFERROR(_xlfn.IFS(Table1[[#This Row],[Total usage(Min)]]&gt;=AVERAGE(U:U)*1.1,"High risk",Table1[[#This Row],[Total usage(Min)]]&lt;= AVERAGE(U:U)*0.9,"Low risk",TRUE,"Medium risk"),"N/A")</f>
        <v>Medium risk</v>
      </c>
      <c r="Z36" t="str" cm="1">
        <f t="array" ref="Z36">IFERROR(_xlfn.IFS(Table1[[#This Row],[Total charges]]&gt;=AVERAGE(V:V)*1.1,"High risk",Table1[[#This Row],[Total charges]]&lt;=AVERAGE(V:V)*0.9,"Low risk",TRUE,"Medium risk"),"N/A")</f>
        <v>High risk</v>
      </c>
      <c r="AA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 t="str" cm="1">
        <f t="array" ref="AC36">_xlfn.IFS(
AND(Table1[[#This Row],[Customer service risk level]]="High risk", Table1[[#This Row],[Intl usage behaviour]]="Unplanned Usage"),"High Risk",
OR(Table1[[#This Row],[Customer service risk level]]="Medium risk", Table1[[#This Row],[Charges risk level]]="High risk "),"Medium Risk",
TRUE,"Low Risk"
)</f>
        <v>Medium Risk</v>
      </c>
    </row>
    <row r="37" spans="1:29" x14ac:dyDescent="0.25">
      <c r="A37" t="s">
        <v>48</v>
      </c>
      <c r="B37">
        <v>208</v>
      </c>
      <c r="C37">
        <v>510</v>
      </c>
      <c r="D37" t="s">
        <v>21</v>
      </c>
      <c r="E37" t="s">
        <v>21</v>
      </c>
      <c r="F37">
        <v>0</v>
      </c>
      <c r="G37">
        <v>326.5</v>
      </c>
      <c r="H37">
        <v>67</v>
      </c>
      <c r="I37">
        <v>55.51</v>
      </c>
      <c r="J37">
        <v>176.3</v>
      </c>
      <c r="K37">
        <v>113</v>
      </c>
      <c r="L37">
        <v>14.99</v>
      </c>
      <c r="M37">
        <v>181.7</v>
      </c>
      <c r="N37">
        <v>102</v>
      </c>
      <c r="O37">
        <v>8.18</v>
      </c>
      <c r="P37">
        <v>10.7</v>
      </c>
      <c r="Q37">
        <v>6</v>
      </c>
      <c r="R37">
        <v>2.89</v>
      </c>
      <c r="S37">
        <v>2</v>
      </c>
      <c r="T37" t="b">
        <v>1</v>
      </c>
      <c r="U37">
        <f>IFERROR(SUM(Table1[[#This Row],[Total day minutes]],Table1[[#This Row],[Total eve minutes]],Table1[[#This Row],[Total night minutes]],Table1[[#This Row],[Total intl minutes]]),0)</f>
        <v>695.2</v>
      </c>
      <c r="V37">
        <f>SUM(Table1[[#This Row],[Total intl charge]],Table1[[#This Row],[Total night charge]],Table1[[#This Row],[Total eve charge]],Table1[[#This Row],[Total day charge]])</f>
        <v>81.569999999999993</v>
      </c>
      <c r="W37">
        <f>SUM(Table1[[#This Row],[Total intl calls]],Table1[[#This Row],[Total night calls]],Table1[[#This Row],[Total eve calls]],Table1[[#This Row],[Total day calls]])</f>
        <v>288</v>
      </c>
      <c r="X37" t="str" cm="1">
        <f t="array" ref="X37">_xlfn.IFS(Table1[[#This Row],[Customer service calls]]&gt;=4,"High risk",Table1[[#This Row],[Customer service calls]]&gt;=2,"Medium risk",TRUE,"Low risk")</f>
        <v>Medium risk</v>
      </c>
      <c r="Y37" t="str" cm="1">
        <f t="array" ref="Y37">IFERROR(_xlfn.IFS(Table1[[#This Row],[Total usage(Min)]]&gt;=AVERAGE(U:U)*1.1,"High risk",Table1[[#This Row],[Total usage(Min)]]&lt;= AVERAGE(U:U)*0.9,"Low risk",TRUE,"Medium risk"),"N/A")</f>
        <v>High risk</v>
      </c>
      <c r="Z37" t="str" cm="1">
        <f t="array" ref="Z37">IFERROR(_xlfn.IFS(Table1[[#This Row],[Total charges]]&gt;=AVERAGE(V:V)*1.1,"High risk",Table1[[#This Row],[Total charges]]&lt;=AVERAGE(V:V)*0.9,"Low risk",TRUE,"Medium risk"),"N/A")</f>
        <v>High risk</v>
      </c>
      <c r="AA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 t="str" cm="1">
        <f t="array" ref="AC37">_xlfn.IFS(
AND(Table1[[#This Row],[Customer service risk level]]="High risk", Table1[[#This Row],[Intl usage behaviour]]="Unplanned Usage"),"High Risk",
OR(Table1[[#This Row],[Customer service risk level]]="Medium risk", Table1[[#This Row],[Charges risk level]]="High risk "),"Medium Risk",
TRUE,"Low Risk"
)</f>
        <v>Medium Risk</v>
      </c>
    </row>
    <row r="38" spans="1:29" x14ac:dyDescent="0.25">
      <c r="A38" t="s">
        <v>22</v>
      </c>
      <c r="B38">
        <v>122</v>
      </c>
      <c r="C38">
        <v>415</v>
      </c>
      <c r="D38" t="s">
        <v>21</v>
      </c>
      <c r="E38" t="s">
        <v>21</v>
      </c>
      <c r="F38">
        <v>0</v>
      </c>
      <c r="G38">
        <v>243.8</v>
      </c>
      <c r="H38">
        <v>98</v>
      </c>
      <c r="I38">
        <v>41.45</v>
      </c>
      <c r="J38">
        <v>83.9</v>
      </c>
      <c r="K38">
        <v>72</v>
      </c>
      <c r="L38">
        <v>7.13</v>
      </c>
      <c r="M38">
        <v>179.8</v>
      </c>
      <c r="N38">
        <v>84</v>
      </c>
      <c r="O38">
        <v>8.09</v>
      </c>
      <c r="P38">
        <v>13.7</v>
      </c>
      <c r="Q38">
        <v>8</v>
      </c>
      <c r="R38">
        <v>3.7</v>
      </c>
      <c r="S38">
        <v>2</v>
      </c>
      <c r="T38" t="b">
        <v>0</v>
      </c>
      <c r="U38">
        <f>IFERROR(SUM(Table1[[#This Row],[Total day minutes]],Table1[[#This Row],[Total eve minutes]],Table1[[#This Row],[Total night minutes]],Table1[[#This Row],[Total intl minutes]]),0)</f>
        <v>521.20000000000005</v>
      </c>
      <c r="V38">
        <f>SUM(Table1[[#This Row],[Total intl charge]],Table1[[#This Row],[Total night charge]],Table1[[#This Row],[Total eve charge]],Table1[[#This Row],[Total day charge]])</f>
        <v>60.370000000000005</v>
      </c>
      <c r="W38">
        <f>SUM(Table1[[#This Row],[Total intl calls]],Table1[[#This Row],[Total night calls]],Table1[[#This Row],[Total eve calls]],Table1[[#This Row],[Total day calls]])</f>
        <v>262</v>
      </c>
      <c r="X38" t="str" cm="1">
        <f t="array" ref="X38">_xlfn.IFS(Table1[[#This Row],[Customer service calls]]&gt;=4,"High risk",Table1[[#This Row],[Customer service calls]]&gt;=2,"Medium risk",TRUE,"Low risk")</f>
        <v>Medium risk</v>
      </c>
      <c r="Y38" t="str" cm="1">
        <f t="array" ref="Y38">IFERROR(_xlfn.IFS(Table1[[#This Row],[Total usage(Min)]]&gt;=AVERAGE(U:U)*1.1,"High risk",Table1[[#This Row],[Total usage(Min)]]&lt;= AVERAGE(U:U)*0.9,"Low risk",TRUE,"Medium risk"),"N/A")</f>
        <v>Low risk</v>
      </c>
      <c r="Z38" t="str" cm="1">
        <f t="array" ref="Z38">IFERROR(_xlfn.IFS(Table1[[#This Row],[Total charges]]&gt;=AVERAGE(V:V)*1.1,"High risk",Table1[[#This Row],[Total charges]]&lt;=AVERAGE(V:V)*0.9,"Low risk",TRUE,"Medium risk"),"N/A")</f>
        <v>Medium risk</v>
      </c>
      <c r="AA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8" t="str" cm="1">
        <f t="array" ref="AC38">_xlfn.IFS(
AND(Table1[[#This Row],[Customer service risk level]]="High risk", Table1[[#This Row],[Intl usage behaviour]]="Unplanned Usage"),"High Risk",
OR(Table1[[#This Row],[Customer service risk level]]="Medium risk", Table1[[#This Row],[Charges risk level]]="High risk "),"Medium Risk",
TRUE,"Low Risk"
)</f>
        <v>Medium Risk</v>
      </c>
    </row>
    <row r="39" spans="1:29" x14ac:dyDescent="0.25">
      <c r="A39" t="s">
        <v>20</v>
      </c>
      <c r="B39">
        <v>99</v>
      </c>
      <c r="C39">
        <v>415</v>
      </c>
      <c r="D39" t="s">
        <v>21</v>
      </c>
      <c r="E39" t="s">
        <v>21</v>
      </c>
      <c r="F39">
        <v>0</v>
      </c>
      <c r="G39">
        <v>241.1</v>
      </c>
      <c r="H39">
        <v>72</v>
      </c>
      <c r="I39">
        <v>40.99</v>
      </c>
      <c r="J39">
        <v>155.6</v>
      </c>
      <c r="K39">
        <v>98</v>
      </c>
      <c r="L39">
        <v>13.23</v>
      </c>
      <c r="M39">
        <v>188.2</v>
      </c>
      <c r="N39">
        <v>109</v>
      </c>
      <c r="O39">
        <v>8.4700000000000006</v>
      </c>
      <c r="P39">
        <v>11.6</v>
      </c>
      <c r="Q39">
        <v>10</v>
      </c>
      <c r="R39">
        <v>3.13</v>
      </c>
      <c r="S39">
        <v>1</v>
      </c>
      <c r="T39" t="b">
        <v>0</v>
      </c>
      <c r="U39">
        <f>IFERROR(SUM(Table1[[#This Row],[Total day minutes]],Table1[[#This Row],[Total eve minutes]],Table1[[#This Row],[Total night minutes]],Table1[[#This Row],[Total intl minutes]]),0)</f>
        <v>596.5</v>
      </c>
      <c r="V39">
        <f>SUM(Table1[[#This Row],[Total intl charge]],Table1[[#This Row],[Total night charge]],Table1[[#This Row],[Total eve charge]],Table1[[#This Row],[Total day charge]])</f>
        <v>65.820000000000007</v>
      </c>
      <c r="W39">
        <f>SUM(Table1[[#This Row],[Total intl calls]],Table1[[#This Row],[Total night calls]],Table1[[#This Row],[Total eve calls]],Table1[[#This Row],[Total day calls]])</f>
        <v>289</v>
      </c>
      <c r="X39" t="str" cm="1">
        <f t="array" ref="X39">_xlfn.IFS(Table1[[#This Row],[Customer service calls]]&gt;=4,"High risk",Table1[[#This Row],[Customer service calls]]&gt;=2,"Medium risk",TRUE,"Low risk")</f>
        <v>Low risk</v>
      </c>
      <c r="Y39" t="str" cm="1">
        <f t="array" ref="Y39">IFERROR(_xlfn.IFS(Table1[[#This Row],[Total usage(Min)]]&gt;=AVERAGE(U:U)*1.1,"High risk",Table1[[#This Row],[Total usage(Min)]]&lt;= AVERAGE(U:U)*0.9,"Low risk",TRUE,"Medium risk"),"N/A")</f>
        <v>Medium risk</v>
      </c>
      <c r="Z39" t="str" cm="1">
        <f t="array" ref="Z39">IFERROR(_xlfn.IFS(Table1[[#This Row],[Total charges]]&gt;=AVERAGE(V:V)*1.1,"High risk",Table1[[#This Row],[Total charges]]&lt;=AVERAGE(V:V)*0.9,"Low risk",TRUE,"Medium risk"),"N/A")</f>
        <v>High risk</v>
      </c>
      <c r="AA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 t="str" cm="1">
        <f t="array" ref="AC39">_xlfn.IFS(
AND(Table1[[#This Row],[Customer service risk level]]="High risk", Table1[[#This Row],[Intl usage behaviour]]="Unplanned Usage"),"High Risk",
OR(Table1[[#This Row],[Customer service risk level]]="Medium risk", Table1[[#This Row],[Charges risk level]]="High risk "),"Medium Risk",
TRUE,"Low Risk"
)</f>
        <v>Low Risk</v>
      </c>
    </row>
    <row r="40" spans="1:29" x14ac:dyDescent="0.25">
      <c r="A40" t="s">
        <v>49</v>
      </c>
      <c r="B40">
        <v>65</v>
      </c>
      <c r="C40">
        <v>415</v>
      </c>
      <c r="D40" t="s">
        <v>21</v>
      </c>
      <c r="E40" t="s">
        <v>21</v>
      </c>
      <c r="F40">
        <v>0</v>
      </c>
      <c r="G40">
        <v>136.1</v>
      </c>
      <c r="H40">
        <v>112</v>
      </c>
      <c r="I40">
        <v>23.14</v>
      </c>
      <c r="J40">
        <v>272.89999999999998</v>
      </c>
      <c r="K40">
        <v>96</v>
      </c>
      <c r="L40">
        <v>23.2</v>
      </c>
      <c r="M40">
        <v>220.2</v>
      </c>
      <c r="N40">
        <v>104</v>
      </c>
      <c r="O40">
        <v>9.91</v>
      </c>
      <c r="P40">
        <v>4.4000000000000004</v>
      </c>
      <c r="Q40">
        <v>2</v>
      </c>
      <c r="R40">
        <v>1.19</v>
      </c>
      <c r="S40">
        <v>1</v>
      </c>
      <c r="T40" t="b">
        <v>0</v>
      </c>
      <c r="U40">
        <f>IFERROR(SUM(Table1[[#This Row],[Total day minutes]],Table1[[#This Row],[Total eve minutes]],Table1[[#This Row],[Total night minutes]],Table1[[#This Row],[Total intl minutes]]),0)</f>
        <v>633.6</v>
      </c>
      <c r="V40">
        <f>SUM(Table1[[#This Row],[Total intl charge]],Table1[[#This Row],[Total night charge]],Table1[[#This Row],[Total eve charge]],Table1[[#This Row],[Total day charge]])</f>
        <v>57.44</v>
      </c>
      <c r="W40">
        <f>SUM(Table1[[#This Row],[Total intl calls]],Table1[[#This Row],[Total night calls]],Table1[[#This Row],[Total eve calls]],Table1[[#This Row],[Total day calls]])</f>
        <v>314</v>
      </c>
      <c r="X40" t="str" cm="1">
        <f t="array" ref="X40">_xlfn.IFS(Table1[[#This Row],[Customer service calls]]&gt;=4,"High risk",Table1[[#This Row],[Customer service calls]]&gt;=2,"Medium risk",TRUE,"Low risk")</f>
        <v>Low risk</v>
      </c>
      <c r="Y40" t="str" cm="1">
        <f t="array" ref="Y40">IFERROR(_xlfn.IFS(Table1[[#This Row],[Total usage(Min)]]&gt;=AVERAGE(U:U)*1.1,"High risk",Table1[[#This Row],[Total usage(Min)]]&lt;= AVERAGE(U:U)*0.9,"Low risk",TRUE,"Medium risk"),"N/A")</f>
        <v>Medium risk</v>
      </c>
      <c r="Z40" t="str" cm="1">
        <f t="array" ref="Z40">IFERROR(_xlfn.IFS(Table1[[#This Row],[Total charges]]&gt;=AVERAGE(V:V)*1.1,"High risk",Table1[[#This Row],[Total charges]]&lt;=AVERAGE(V:V)*0.9,"Low risk",TRUE,"Medium risk"),"N/A")</f>
        <v>Medium risk</v>
      </c>
      <c r="AA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 t="str" cm="1">
        <f t="array" ref="AC40">_xlfn.IFS(
AND(Table1[[#This Row],[Customer service risk level]]="High risk", Table1[[#This Row],[Intl usage behaviour]]="Unplanned Usage"),"High Risk",
OR(Table1[[#This Row],[Customer service risk level]]="Medium risk", Table1[[#This Row],[Charges risk level]]="High risk "),"Medium Risk",
TRUE,"Low Risk"
)</f>
        <v>Low Risk</v>
      </c>
    </row>
    <row r="41" spans="1:29" x14ac:dyDescent="0.25">
      <c r="A41" t="s">
        <v>22</v>
      </c>
      <c r="B41">
        <v>65</v>
      </c>
      <c r="C41">
        <v>415</v>
      </c>
      <c r="D41" t="s">
        <v>21</v>
      </c>
      <c r="E41" t="s">
        <v>21</v>
      </c>
      <c r="F41">
        <v>0</v>
      </c>
      <c r="G41">
        <v>213.4</v>
      </c>
      <c r="H41">
        <v>111</v>
      </c>
      <c r="I41">
        <v>36.28</v>
      </c>
      <c r="J41">
        <v>234.5</v>
      </c>
      <c r="K41">
        <v>94</v>
      </c>
      <c r="L41">
        <v>19.93</v>
      </c>
      <c r="M41">
        <v>250.1</v>
      </c>
      <c r="N41">
        <v>123</v>
      </c>
      <c r="O41">
        <v>11.25</v>
      </c>
      <c r="P41">
        <v>2.7</v>
      </c>
      <c r="Q41">
        <v>4</v>
      </c>
      <c r="R41">
        <v>0.73</v>
      </c>
      <c r="S41">
        <v>1</v>
      </c>
      <c r="T41" t="b">
        <v>0</v>
      </c>
      <c r="U41">
        <f>IFERROR(SUM(Table1[[#This Row],[Total day minutes]],Table1[[#This Row],[Total eve minutes]],Table1[[#This Row],[Total night minutes]],Table1[[#This Row],[Total intl minutes]]),0)</f>
        <v>700.7</v>
      </c>
      <c r="V41">
        <f>SUM(Table1[[#This Row],[Total intl charge]],Table1[[#This Row],[Total night charge]],Table1[[#This Row],[Total eve charge]],Table1[[#This Row],[Total day charge]])</f>
        <v>68.19</v>
      </c>
      <c r="W41">
        <f>SUM(Table1[[#This Row],[Total intl calls]],Table1[[#This Row],[Total night calls]],Table1[[#This Row],[Total eve calls]],Table1[[#This Row],[Total day calls]])</f>
        <v>332</v>
      </c>
      <c r="X41" t="str" cm="1">
        <f t="array" ref="X41">_xlfn.IFS(Table1[[#This Row],[Customer service calls]]&gt;=4,"High risk",Table1[[#This Row],[Customer service calls]]&gt;=2,"Medium risk",TRUE,"Low risk")</f>
        <v>Low risk</v>
      </c>
      <c r="Y41" t="str" cm="1">
        <f t="array" ref="Y41">IFERROR(_xlfn.IFS(Table1[[#This Row],[Total usage(Min)]]&gt;=AVERAGE(U:U)*1.1,"High risk",Table1[[#This Row],[Total usage(Min)]]&lt;= AVERAGE(U:U)*0.9,"Low risk",TRUE,"Medium risk"),"N/A")</f>
        <v>High risk</v>
      </c>
      <c r="Z41" t="str" cm="1">
        <f t="array" ref="Z41">IFERROR(_xlfn.IFS(Table1[[#This Row],[Total charges]]&gt;=AVERAGE(V:V)*1.1,"High risk",Table1[[#This Row],[Total charges]]&lt;=AVERAGE(V:V)*0.9,"Low risk",TRUE,"Medium risk"),"N/A")</f>
        <v>High risk</v>
      </c>
      <c r="AA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 t="str" cm="1">
        <f t="array" ref="AC41">_xlfn.IFS(
AND(Table1[[#This Row],[Customer service risk level]]="High risk", Table1[[#This Row],[Intl usage behaviour]]="Unplanned Usage"),"High Risk",
OR(Table1[[#This Row],[Customer service risk level]]="Medium risk", Table1[[#This Row],[Charges risk level]]="High risk "),"Medium Risk",
TRUE,"Low Risk"
)</f>
        <v>Low Risk</v>
      </c>
    </row>
    <row r="42" spans="1:29" x14ac:dyDescent="0.25">
      <c r="A42" t="s">
        <v>36</v>
      </c>
      <c r="B42">
        <v>45</v>
      </c>
      <c r="C42">
        <v>415</v>
      </c>
      <c r="D42" t="s">
        <v>21</v>
      </c>
      <c r="E42" t="s">
        <v>27</v>
      </c>
      <c r="F42">
        <v>22</v>
      </c>
      <c r="G42">
        <v>196.6</v>
      </c>
      <c r="H42">
        <v>84</v>
      </c>
      <c r="I42">
        <v>33.42</v>
      </c>
      <c r="J42">
        <v>313.2</v>
      </c>
      <c r="K42">
        <v>92</v>
      </c>
      <c r="L42">
        <v>26.62</v>
      </c>
      <c r="M42">
        <v>163.30000000000001</v>
      </c>
      <c r="N42">
        <v>108</v>
      </c>
      <c r="O42">
        <v>7.35</v>
      </c>
      <c r="P42">
        <v>11.9</v>
      </c>
      <c r="Q42">
        <v>3</v>
      </c>
      <c r="R42">
        <v>3.21</v>
      </c>
      <c r="S42">
        <v>0</v>
      </c>
      <c r="T42" t="b">
        <v>0</v>
      </c>
      <c r="U42">
        <f>IFERROR(SUM(Table1[[#This Row],[Total day minutes]],Table1[[#This Row],[Total eve minutes]],Table1[[#This Row],[Total night minutes]],Table1[[#This Row],[Total intl minutes]]),0)</f>
        <v>684.99999999999989</v>
      </c>
      <c r="V42">
        <f>SUM(Table1[[#This Row],[Total intl charge]],Table1[[#This Row],[Total night charge]],Table1[[#This Row],[Total eve charge]],Table1[[#This Row],[Total day charge]])</f>
        <v>70.599999999999994</v>
      </c>
      <c r="W42">
        <f>SUM(Table1[[#This Row],[Total intl calls]],Table1[[#This Row],[Total night calls]],Table1[[#This Row],[Total eve calls]],Table1[[#This Row],[Total day calls]])</f>
        <v>287</v>
      </c>
      <c r="X42" t="str" cm="1">
        <f t="array" ref="X42">_xlfn.IFS(Table1[[#This Row],[Customer service calls]]&gt;=4,"High risk",Table1[[#This Row],[Customer service calls]]&gt;=2,"Medium risk",TRUE,"Low risk")</f>
        <v>Low risk</v>
      </c>
      <c r="Y42" t="str" cm="1">
        <f t="array" ref="Y42">IFERROR(_xlfn.IFS(Table1[[#This Row],[Total usage(Min)]]&gt;=AVERAGE(U:U)*1.1,"High risk",Table1[[#This Row],[Total usage(Min)]]&lt;= AVERAGE(U:U)*0.9,"Low risk",TRUE,"Medium risk"),"N/A")</f>
        <v>High risk</v>
      </c>
      <c r="Z42" t="str" cm="1">
        <f t="array" ref="Z42">IFERROR(_xlfn.IFS(Table1[[#This Row],[Total charges]]&gt;=AVERAGE(V:V)*1.1,"High risk",Table1[[#This Row],[Total charges]]&lt;=AVERAGE(V:V)*0.9,"Low risk",TRUE,"Medium risk"),"N/A")</f>
        <v>High risk</v>
      </c>
      <c r="AA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2" t="str" cm="1">
        <f t="array" ref="AC42">_xlfn.IFS(
AND(Table1[[#This Row],[Customer service risk level]]="High risk", Table1[[#This Row],[Intl usage behaviour]]="Unplanned Usage"),"High Risk",
OR(Table1[[#This Row],[Customer service risk level]]="Medium risk", Table1[[#This Row],[Charges risk level]]="High risk "),"Medium Risk",
TRUE,"Low Risk"
)</f>
        <v>Low Risk</v>
      </c>
    </row>
    <row r="43" spans="1:29" x14ac:dyDescent="0.25">
      <c r="A43" t="s">
        <v>32</v>
      </c>
      <c r="B43">
        <v>139</v>
      </c>
      <c r="C43">
        <v>510</v>
      </c>
      <c r="D43" t="s">
        <v>21</v>
      </c>
      <c r="E43" t="s">
        <v>21</v>
      </c>
      <c r="F43">
        <v>0</v>
      </c>
      <c r="G43">
        <v>134.4</v>
      </c>
      <c r="H43">
        <v>106</v>
      </c>
      <c r="I43">
        <v>22.85</v>
      </c>
      <c r="J43">
        <v>211.3</v>
      </c>
      <c r="K43">
        <v>98</v>
      </c>
      <c r="L43">
        <v>17.96</v>
      </c>
      <c r="M43">
        <v>193.6</v>
      </c>
      <c r="N43">
        <v>125</v>
      </c>
      <c r="O43">
        <v>8.7100000000000009</v>
      </c>
      <c r="P43">
        <v>10.199999999999999</v>
      </c>
      <c r="Q43">
        <v>2</v>
      </c>
      <c r="R43">
        <v>2.75</v>
      </c>
      <c r="S43">
        <v>5</v>
      </c>
      <c r="T43" t="b">
        <v>1</v>
      </c>
      <c r="U43">
        <f>IFERROR(SUM(Table1[[#This Row],[Total day minutes]],Table1[[#This Row],[Total eve minutes]],Table1[[#This Row],[Total night minutes]],Table1[[#This Row],[Total intl minutes]]),0)</f>
        <v>549.50000000000011</v>
      </c>
      <c r="V43">
        <f>SUM(Table1[[#This Row],[Total intl charge]],Table1[[#This Row],[Total night charge]],Table1[[#This Row],[Total eve charge]],Table1[[#This Row],[Total day charge]])</f>
        <v>52.27</v>
      </c>
      <c r="W43">
        <f>SUM(Table1[[#This Row],[Total intl calls]],Table1[[#This Row],[Total night calls]],Table1[[#This Row],[Total eve calls]],Table1[[#This Row],[Total day calls]])</f>
        <v>331</v>
      </c>
      <c r="X43" t="str" cm="1">
        <f t="array" ref="X43">_xlfn.IFS(Table1[[#This Row],[Customer service calls]]&gt;=4,"High risk",Table1[[#This Row],[Customer service calls]]&gt;=2,"Medium risk",TRUE,"Low risk")</f>
        <v>High risk</v>
      </c>
      <c r="Y43" t="str" cm="1">
        <f t="array" ref="Y43">IFERROR(_xlfn.IFS(Table1[[#This Row],[Total usage(Min)]]&gt;=AVERAGE(U:U)*1.1,"High risk",Table1[[#This Row],[Total usage(Min)]]&lt;= AVERAGE(U:U)*0.9,"Low risk",TRUE,"Medium risk"),"N/A")</f>
        <v>Medium risk</v>
      </c>
      <c r="Z43" t="str" cm="1">
        <f t="array" ref="Z43">IFERROR(_xlfn.IFS(Table1[[#This Row],[Total charges]]&gt;=AVERAGE(V:V)*1.1,"High risk",Table1[[#This Row],[Total charges]]&lt;=AVERAGE(V:V)*0.9,"Low risk",TRUE,"Medium risk"),"N/A")</f>
        <v>Low risk</v>
      </c>
      <c r="AA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 t="str" cm="1">
        <f t="array" ref="AC43">_xlfn.IFS(
AND(Table1[[#This Row],[Customer service risk level]]="High risk", Table1[[#This Row],[Intl usage behaviour]]="Unplanned Usage"),"High Risk",
OR(Table1[[#This Row],[Customer service risk level]]="Medium risk", Table1[[#This Row],[Charges risk level]]="High risk "),"Medium Risk",
TRUE,"Low Risk"
)</f>
        <v>High Risk</v>
      </c>
    </row>
    <row r="44" spans="1:29" x14ac:dyDescent="0.25">
      <c r="A44" t="s">
        <v>50</v>
      </c>
      <c r="B44">
        <v>215</v>
      </c>
      <c r="C44">
        <v>510</v>
      </c>
      <c r="D44" t="s">
        <v>21</v>
      </c>
      <c r="E44" t="s">
        <v>21</v>
      </c>
      <c r="F44">
        <v>0</v>
      </c>
      <c r="G44">
        <v>83.6</v>
      </c>
      <c r="H44">
        <v>148</v>
      </c>
      <c r="I44">
        <v>14.21</v>
      </c>
      <c r="J44">
        <v>120.9</v>
      </c>
      <c r="K44">
        <v>91</v>
      </c>
      <c r="L44">
        <v>10.28</v>
      </c>
      <c r="M44">
        <v>226.6</v>
      </c>
      <c r="N44">
        <v>110</v>
      </c>
      <c r="O44">
        <v>10.199999999999999</v>
      </c>
      <c r="P44">
        <v>10.7</v>
      </c>
      <c r="Q44">
        <v>9</v>
      </c>
      <c r="R44">
        <v>2.89</v>
      </c>
      <c r="S44">
        <v>0</v>
      </c>
      <c r="T44" t="b">
        <v>0</v>
      </c>
      <c r="U44">
        <f>IFERROR(SUM(Table1[[#This Row],[Total day minutes]],Table1[[#This Row],[Total eve minutes]],Table1[[#This Row],[Total night minutes]],Table1[[#This Row],[Total intl minutes]]),0)</f>
        <v>441.8</v>
      </c>
      <c r="V44">
        <f>SUM(Table1[[#This Row],[Total intl charge]],Table1[[#This Row],[Total night charge]],Table1[[#This Row],[Total eve charge]],Table1[[#This Row],[Total day charge]])</f>
        <v>37.58</v>
      </c>
      <c r="W44">
        <f>SUM(Table1[[#This Row],[Total intl calls]],Table1[[#This Row],[Total night calls]],Table1[[#This Row],[Total eve calls]],Table1[[#This Row],[Total day calls]])</f>
        <v>358</v>
      </c>
      <c r="X44" t="str" cm="1">
        <f t="array" ref="X44">_xlfn.IFS(Table1[[#This Row],[Customer service calls]]&gt;=4,"High risk",Table1[[#This Row],[Customer service calls]]&gt;=2,"Medium risk",TRUE,"Low risk")</f>
        <v>Low risk</v>
      </c>
      <c r="Y44" t="str" cm="1">
        <f t="array" ref="Y44">IFERROR(_xlfn.IFS(Table1[[#This Row],[Total usage(Min)]]&gt;=AVERAGE(U:U)*1.1,"High risk",Table1[[#This Row],[Total usage(Min)]]&lt;= AVERAGE(U:U)*0.9,"Low risk",TRUE,"Medium risk"),"N/A")</f>
        <v>Low risk</v>
      </c>
      <c r="Z44" t="str" cm="1">
        <f t="array" ref="Z44">IFERROR(_xlfn.IFS(Table1[[#This Row],[Total charges]]&gt;=AVERAGE(V:V)*1.1,"High risk",Table1[[#This Row],[Total charges]]&lt;=AVERAGE(V:V)*0.9,"Low risk",TRUE,"Medium risk"),"N/A")</f>
        <v>Low risk</v>
      </c>
      <c r="AA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 t="str" cm="1">
        <f t="array" ref="AC44">_xlfn.IFS(
AND(Table1[[#This Row],[Customer service risk level]]="High risk", Table1[[#This Row],[Intl usage behaviour]]="Unplanned Usage"),"High Risk",
OR(Table1[[#This Row],[Customer service risk level]]="Medium risk", Table1[[#This Row],[Charges risk level]]="High risk "),"Medium Risk",
TRUE,"Low Risk"
)</f>
        <v>Low Risk</v>
      </c>
    </row>
    <row r="45" spans="1:29" x14ac:dyDescent="0.25">
      <c r="A45" t="s">
        <v>38</v>
      </c>
      <c r="B45">
        <v>94</v>
      </c>
      <c r="C45">
        <v>408</v>
      </c>
      <c r="D45" t="s">
        <v>21</v>
      </c>
      <c r="E45" t="s">
        <v>21</v>
      </c>
      <c r="F45">
        <v>0</v>
      </c>
      <c r="G45">
        <v>181.8</v>
      </c>
      <c r="H45">
        <v>85</v>
      </c>
      <c r="I45">
        <v>30.91</v>
      </c>
      <c r="J45">
        <v>202.4</v>
      </c>
      <c r="K45">
        <v>98</v>
      </c>
      <c r="L45">
        <v>17.2</v>
      </c>
      <c r="M45">
        <v>245.9</v>
      </c>
      <c r="N45">
        <v>97</v>
      </c>
      <c r="O45">
        <v>11.07</v>
      </c>
      <c r="P45">
        <v>9.1999999999999993</v>
      </c>
      <c r="Q45">
        <v>2</v>
      </c>
      <c r="R45">
        <v>2.48</v>
      </c>
      <c r="S45">
        <v>4</v>
      </c>
      <c r="T45" t="b">
        <v>0</v>
      </c>
      <c r="U45">
        <f>IFERROR(SUM(Table1[[#This Row],[Total day minutes]],Table1[[#This Row],[Total eve minutes]],Table1[[#This Row],[Total night minutes]],Table1[[#This Row],[Total intl minutes]]),0)</f>
        <v>639.30000000000007</v>
      </c>
      <c r="V45">
        <f>SUM(Table1[[#This Row],[Total intl charge]],Table1[[#This Row],[Total night charge]],Table1[[#This Row],[Total eve charge]],Table1[[#This Row],[Total day charge]])</f>
        <v>61.66</v>
      </c>
      <c r="W45">
        <f>SUM(Table1[[#This Row],[Total intl calls]],Table1[[#This Row],[Total night calls]],Table1[[#This Row],[Total eve calls]],Table1[[#This Row],[Total day calls]])</f>
        <v>282</v>
      </c>
      <c r="X45" t="str" cm="1">
        <f t="array" ref="X45">_xlfn.IFS(Table1[[#This Row],[Customer service calls]]&gt;=4,"High risk",Table1[[#This Row],[Customer service calls]]&gt;=2,"Medium risk",TRUE,"Low risk")</f>
        <v>High risk</v>
      </c>
      <c r="Y45" t="str" cm="1">
        <f t="array" ref="Y45">IFERROR(_xlfn.IFS(Table1[[#This Row],[Total usage(Min)]]&gt;=AVERAGE(U:U)*1.1,"High risk",Table1[[#This Row],[Total usage(Min)]]&lt;= AVERAGE(U:U)*0.9,"Low risk",TRUE,"Medium risk"),"N/A")</f>
        <v>Medium risk</v>
      </c>
      <c r="Z45" t="str" cm="1">
        <f t="array" ref="Z45">IFERROR(_xlfn.IFS(Table1[[#This Row],[Total charges]]&gt;=AVERAGE(V:V)*1.1,"High risk",Table1[[#This Row],[Total charges]]&lt;=AVERAGE(V:V)*0.9,"Low risk",TRUE,"Medium risk"),"N/A")</f>
        <v>Medium risk</v>
      </c>
      <c r="AA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 t="str" cm="1">
        <f t="array" ref="AC45">_xlfn.IFS(
AND(Table1[[#This Row],[Customer service risk level]]="High risk", Table1[[#This Row],[Intl usage behaviour]]="Unplanned Usage"),"High Risk",
OR(Table1[[#This Row],[Customer service risk level]]="Medium risk", Table1[[#This Row],[Charges risk level]]="High risk "),"Medium Risk",
TRUE,"Low Risk"
)</f>
        <v>High Risk</v>
      </c>
    </row>
    <row r="46" spans="1:29" x14ac:dyDescent="0.25">
      <c r="A46" t="s">
        <v>46</v>
      </c>
      <c r="B46">
        <v>119</v>
      </c>
      <c r="C46">
        <v>510</v>
      </c>
      <c r="D46" t="s">
        <v>21</v>
      </c>
      <c r="E46" t="s">
        <v>27</v>
      </c>
      <c r="F46">
        <v>23</v>
      </c>
      <c r="G46">
        <v>154</v>
      </c>
      <c r="H46">
        <v>114</v>
      </c>
      <c r="I46">
        <v>26.18</v>
      </c>
      <c r="J46">
        <v>278</v>
      </c>
      <c r="K46">
        <v>137</v>
      </c>
      <c r="L46">
        <v>23.63</v>
      </c>
      <c r="M46">
        <v>228.4</v>
      </c>
      <c r="N46">
        <v>112</v>
      </c>
      <c r="O46">
        <v>10.28</v>
      </c>
      <c r="P46">
        <v>11.8</v>
      </c>
      <c r="Q46">
        <v>4</v>
      </c>
      <c r="R46">
        <v>3.19</v>
      </c>
      <c r="S46">
        <v>2</v>
      </c>
      <c r="T46" t="b">
        <v>0</v>
      </c>
      <c r="U46">
        <f>IFERROR(SUM(Table1[[#This Row],[Total day minutes]],Table1[[#This Row],[Total eve minutes]],Table1[[#This Row],[Total night minutes]],Table1[[#This Row],[Total intl minutes]]),0)</f>
        <v>672.19999999999993</v>
      </c>
      <c r="V46">
        <f>SUM(Table1[[#This Row],[Total intl charge]],Table1[[#This Row],[Total night charge]],Table1[[#This Row],[Total eve charge]],Table1[[#This Row],[Total day charge]])</f>
        <v>63.279999999999994</v>
      </c>
      <c r="W46">
        <f>SUM(Table1[[#This Row],[Total intl calls]],Table1[[#This Row],[Total night calls]],Table1[[#This Row],[Total eve calls]],Table1[[#This Row],[Total day calls]])</f>
        <v>367</v>
      </c>
      <c r="X46" t="str" cm="1">
        <f t="array" ref="X46">_xlfn.IFS(Table1[[#This Row],[Customer service calls]]&gt;=4,"High risk",Table1[[#This Row],[Customer service calls]]&gt;=2,"Medium risk",TRUE,"Low risk")</f>
        <v>Medium risk</v>
      </c>
      <c r="Y46" t="str" cm="1">
        <f t="array" ref="Y46">IFERROR(_xlfn.IFS(Table1[[#This Row],[Total usage(Min)]]&gt;=AVERAGE(U:U)*1.1,"High risk",Table1[[#This Row],[Total usage(Min)]]&lt;= AVERAGE(U:U)*0.9,"Low risk",TRUE,"Medium risk"),"N/A")</f>
        <v>High risk</v>
      </c>
      <c r="Z46" t="str" cm="1">
        <f t="array" ref="Z46">IFERROR(_xlfn.IFS(Table1[[#This Row],[Total charges]]&gt;=AVERAGE(V:V)*1.1,"High risk",Table1[[#This Row],[Total charges]]&lt;=AVERAGE(V:V)*0.9,"Low risk",TRUE,"Medium risk"),"N/A")</f>
        <v>Medium risk</v>
      </c>
      <c r="AA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6" t="str" cm="1">
        <f t="array" ref="AC46">_xlfn.IFS(
AND(Table1[[#This Row],[Customer service risk level]]="High risk", Table1[[#This Row],[Intl usage behaviour]]="Unplanned Usage"),"High Risk",
OR(Table1[[#This Row],[Customer service risk level]]="Medium risk", Table1[[#This Row],[Charges risk level]]="High risk "),"Medium Risk",
TRUE,"Low Risk"
)</f>
        <v>Medium Risk</v>
      </c>
    </row>
    <row r="47" spans="1:29" x14ac:dyDescent="0.25">
      <c r="A47" t="s">
        <v>28</v>
      </c>
      <c r="B47">
        <v>86</v>
      </c>
      <c r="C47">
        <v>510</v>
      </c>
      <c r="D47" t="s">
        <v>21</v>
      </c>
      <c r="E47" t="s">
        <v>27</v>
      </c>
      <c r="F47">
        <v>41</v>
      </c>
      <c r="G47">
        <v>119</v>
      </c>
      <c r="H47">
        <v>101</v>
      </c>
      <c r="I47">
        <v>20.23</v>
      </c>
      <c r="J47">
        <v>230</v>
      </c>
      <c r="K47">
        <v>134</v>
      </c>
      <c r="L47">
        <v>19.55</v>
      </c>
      <c r="M47">
        <v>236.9</v>
      </c>
      <c r="N47">
        <v>58</v>
      </c>
      <c r="O47">
        <v>10.66</v>
      </c>
      <c r="P47">
        <v>9.5</v>
      </c>
      <c r="Q47">
        <v>3</v>
      </c>
      <c r="R47">
        <v>2.57</v>
      </c>
      <c r="S47">
        <v>0</v>
      </c>
      <c r="T47" t="b">
        <v>0</v>
      </c>
      <c r="U47">
        <f>IFERROR(SUM(Table1[[#This Row],[Total day minutes]],Table1[[#This Row],[Total eve minutes]],Table1[[#This Row],[Total night minutes]],Table1[[#This Row],[Total intl minutes]]),0)</f>
        <v>595.4</v>
      </c>
      <c r="V47">
        <f>SUM(Table1[[#This Row],[Total intl charge]],Table1[[#This Row],[Total night charge]],Table1[[#This Row],[Total eve charge]],Table1[[#This Row],[Total day charge]])</f>
        <v>53.010000000000005</v>
      </c>
      <c r="W47">
        <f>SUM(Table1[[#This Row],[Total intl calls]],Table1[[#This Row],[Total night calls]],Table1[[#This Row],[Total eve calls]],Table1[[#This Row],[Total day calls]])</f>
        <v>296</v>
      </c>
      <c r="X47" t="str" cm="1">
        <f t="array" ref="X47">_xlfn.IFS(Table1[[#This Row],[Customer service calls]]&gt;=4,"High risk",Table1[[#This Row],[Customer service calls]]&gt;=2,"Medium risk",TRUE,"Low risk")</f>
        <v>Low risk</v>
      </c>
      <c r="Y47" t="str" cm="1">
        <f t="array" ref="Y47">IFERROR(_xlfn.IFS(Table1[[#This Row],[Total usage(Min)]]&gt;=AVERAGE(U:U)*1.1,"High risk",Table1[[#This Row],[Total usage(Min)]]&lt;= AVERAGE(U:U)*0.9,"Low risk",TRUE,"Medium risk"),"N/A")</f>
        <v>Medium risk</v>
      </c>
      <c r="Z47" t="str" cm="1">
        <f t="array" ref="Z47">IFERROR(_xlfn.IFS(Table1[[#This Row],[Total charges]]&gt;=AVERAGE(V:V)*1.1,"High risk",Table1[[#This Row],[Total charges]]&lt;=AVERAGE(V:V)*0.9,"Low risk",TRUE,"Medium risk"),"N/A")</f>
        <v>Low risk</v>
      </c>
      <c r="AA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7" t="str" cm="1">
        <f t="array" ref="AC47">_xlfn.IFS(
AND(Table1[[#This Row],[Customer service risk level]]="High risk", Table1[[#This Row],[Intl usage behaviour]]="Unplanned Usage"),"High Risk",
OR(Table1[[#This Row],[Customer service risk level]]="Medium risk", Table1[[#This Row],[Charges risk level]]="High risk "),"Medium Risk",
TRUE,"Low Risk"
)</f>
        <v>Low Risk</v>
      </c>
    </row>
    <row r="48" spans="1:29" x14ac:dyDescent="0.25">
      <c r="A48" t="s">
        <v>51</v>
      </c>
      <c r="B48">
        <v>106</v>
      </c>
      <c r="C48">
        <v>408</v>
      </c>
      <c r="D48" t="s">
        <v>21</v>
      </c>
      <c r="E48" t="s">
        <v>27</v>
      </c>
      <c r="F48">
        <v>32</v>
      </c>
      <c r="G48">
        <v>165.9</v>
      </c>
      <c r="H48">
        <v>126</v>
      </c>
      <c r="I48">
        <v>28.2</v>
      </c>
      <c r="J48">
        <v>216.5</v>
      </c>
      <c r="K48">
        <v>93</v>
      </c>
      <c r="L48">
        <v>18.399999999999999</v>
      </c>
      <c r="M48">
        <v>173.1</v>
      </c>
      <c r="N48">
        <v>86</v>
      </c>
      <c r="O48">
        <v>7.79</v>
      </c>
      <c r="P48">
        <v>14.1</v>
      </c>
      <c r="Q48">
        <v>8</v>
      </c>
      <c r="R48">
        <v>3.81</v>
      </c>
      <c r="S48">
        <v>4</v>
      </c>
      <c r="T48" t="b">
        <v>0</v>
      </c>
      <c r="U48">
        <f>IFERROR(SUM(Table1[[#This Row],[Total day minutes]],Table1[[#This Row],[Total eve minutes]],Table1[[#This Row],[Total night minutes]],Table1[[#This Row],[Total intl minutes]]),0)</f>
        <v>569.6</v>
      </c>
      <c r="V48">
        <f>SUM(Table1[[#This Row],[Total intl charge]],Table1[[#This Row],[Total night charge]],Table1[[#This Row],[Total eve charge]],Table1[[#This Row],[Total day charge]])</f>
        <v>58.2</v>
      </c>
      <c r="W48">
        <f>SUM(Table1[[#This Row],[Total intl calls]],Table1[[#This Row],[Total night calls]],Table1[[#This Row],[Total eve calls]],Table1[[#This Row],[Total day calls]])</f>
        <v>313</v>
      </c>
      <c r="X48" t="str" cm="1">
        <f t="array" ref="X48">_xlfn.IFS(Table1[[#This Row],[Customer service calls]]&gt;=4,"High risk",Table1[[#This Row],[Customer service calls]]&gt;=2,"Medium risk",TRUE,"Low risk")</f>
        <v>High risk</v>
      </c>
      <c r="Y48" t="str" cm="1">
        <f t="array" ref="Y48">IFERROR(_xlfn.IFS(Table1[[#This Row],[Total usage(Min)]]&gt;=AVERAGE(U:U)*1.1,"High risk",Table1[[#This Row],[Total usage(Min)]]&lt;= AVERAGE(U:U)*0.9,"Low risk",TRUE,"Medium risk"),"N/A")</f>
        <v>Medium risk</v>
      </c>
      <c r="Z48" t="str" cm="1">
        <f t="array" ref="Z48">IFERROR(_xlfn.IFS(Table1[[#This Row],[Total charges]]&gt;=AVERAGE(V:V)*1.1,"High risk",Table1[[#This Row],[Total charges]]&lt;=AVERAGE(V:V)*0.9,"Low risk",TRUE,"Medium risk"),"N/A")</f>
        <v>Medium risk</v>
      </c>
      <c r="AA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8" t="str" cm="1">
        <f t="array" ref="AC48">_xlfn.IFS(
AND(Table1[[#This Row],[Customer service risk level]]="High risk", Table1[[#This Row],[Intl usage behaviour]]="Unplanned Usage"),"High Risk",
OR(Table1[[#This Row],[Customer service risk level]]="Medium risk", Table1[[#This Row],[Charges risk level]]="High risk "),"Medium Risk",
TRUE,"Low Risk"
)</f>
        <v>High Risk</v>
      </c>
    </row>
    <row r="49" spans="1:29" x14ac:dyDescent="0.25">
      <c r="A49" t="s">
        <v>52</v>
      </c>
      <c r="B49">
        <v>92</v>
      </c>
      <c r="C49">
        <v>408</v>
      </c>
      <c r="D49" t="s">
        <v>27</v>
      </c>
      <c r="E49" t="s">
        <v>21</v>
      </c>
      <c r="F49">
        <v>0</v>
      </c>
      <c r="G49">
        <v>62.6</v>
      </c>
      <c r="H49">
        <v>111</v>
      </c>
      <c r="I49">
        <v>10.64</v>
      </c>
      <c r="J49">
        <v>180.6</v>
      </c>
      <c r="K49">
        <v>126</v>
      </c>
      <c r="L49">
        <v>15.35</v>
      </c>
      <c r="M49">
        <v>221.7</v>
      </c>
      <c r="N49">
        <v>80</v>
      </c>
      <c r="O49">
        <v>9.98</v>
      </c>
      <c r="P49">
        <v>10.4</v>
      </c>
      <c r="Q49">
        <v>2</v>
      </c>
      <c r="R49">
        <v>2.81</v>
      </c>
      <c r="S49">
        <v>1</v>
      </c>
      <c r="T49" t="b">
        <v>1</v>
      </c>
      <c r="U49">
        <f>IFERROR(SUM(Table1[[#This Row],[Total day minutes]],Table1[[#This Row],[Total eve minutes]],Table1[[#This Row],[Total night minutes]],Table1[[#This Row],[Total intl minutes]]),0)</f>
        <v>475.29999999999995</v>
      </c>
      <c r="V49">
        <f>SUM(Table1[[#This Row],[Total intl charge]],Table1[[#This Row],[Total night charge]],Table1[[#This Row],[Total eve charge]],Table1[[#This Row],[Total day charge]])</f>
        <v>38.78</v>
      </c>
      <c r="W49">
        <f>SUM(Table1[[#This Row],[Total intl calls]],Table1[[#This Row],[Total night calls]],Table1[[#This Row],[Total eve calls]],Table1[[#This Row],[Total day calls]])</f>
        <v>319</v>
      </c>
      <c r="X49" t="str" cm="1">
        <f t="array" ref="X49">_xlfn.IFS(Table1[[#This Row],[Customer service calls]]&gt;=4,"High risk",Table1[[#This Row],[Customer service calls]]&gt;=2,"Medium risk",TRUE,"Low risk")</f>
        <v>Low risk</v>
      </c>
      <c r="Y49" t="str" cm="1">
        <f t="array" ref="Y49">IFERROR(_xlfn.IFS(Table1[[#This Row],[Total usage(Min)]]&gt;=AVERAGE(U:U)*1.1,"High risk",Table1[[#This Row],[Total usage(Min)]]&lt;= AVERAGE(U:U)*0.9,"Low risk",TRUE,"Medium risk"),"N/A")</f>
        <v>Low risk</v>
      </c>
      <c r="Z49" t="str" cm="1">
        <f t="array" ref="Z49">IFERROR(_xlfn.IFS(Table1[[#This Row],[Total charges]]&gt;=AVERAGE(V:V)*1.1,"High risk",Table1[[#This Row],[Total charges]]&lt;=AVERAGE(V:V)*0.9,"Low risk",TRUE,"Medium risk"),"N/A")</f>
        <v>Low risk</v>
      </c>
      <c r="AA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 t="str" cm="1">
        <f t="array" ref="AC49">_xlfn.IFS(
AND(Table1[[#This Row],[Customer service risk level]]="High risk", Table1[[#This Row],[Intl usage behaviour]]="Unplanned Usage"),"High Risk",
OR(Table1[[#This Row],[Customer service risk level]]="Medium risk", Table1[[#This Row],[Charges risk level]]="High risk "),"Medium Risk",
TRUE,"Low Risk"
)</f>
        <v>Low Risk</v>
      </c>
    </row>
    <row r="50" spans="1:29" x14ac:dyDescent="0.25">
      <c r="A50" t="s">
        <v>24</v>
      </c>
      <c r="B50">
        <v>78</v>
      </c>
      <c r="C50">
        <v>510</v>
      </c>
      <c r="D50" t="s">
        <v>21</v>
      </c>
      <c r="E50" t="s">
        <v>21</v>
      </c>
      <c r="F50">
        <v>0</v>
      </c>
      <c r="G50">
        <v>168.3</v>
      </c>
      <c r="H50">
        <v>110</v>
      </c>
      <c r="I50">
        <v>28.61</v>
      </c>
      <c r="J50">
        <v>221.2</v>
      </c>
      <c r="K50">
        <v>73</v>
      </c>
      <c r="L50">
        <v>18.8</v>
      </c>
      <c r="M50">
        <v>241</v>
      </c>
      <c r="N50">
        <v>136</v>
      </c>
      <c r="O50">
        <v>10.85</v>
      </c>
      <c r="P50">
        <v>12.5</v>
      </c>
      <c r="Q50">
        <v>1</v>
      </c>
      <c r="R50">
        <v>3.38</v>
      </c>
      <c r="S50">
        <v>1</v>
      </c>
      <c r="T50" t="b">
        <v>0</v>
      </c>
      <c r="U50">
        <f>IFERROR(SUM(Table1[[#This Row],[Total day minutes]],Table1[[#This Row],[Total eve minutes]],Table1[[#This Row],[Total night minutes]],Table1[[#This Row],[Total intl minutes]]),0)</f>
        <v>643</v>
      </c>
      <c r="V50">
        <f>SUM(Table1[[#This Row],[Total intl charge]],Table1[[#This Row],[Total night charge]],Table1[[#This Row],[Total eve charge]],Table1[[#This Row],[Total day charge]])</f>
        <v>61.64</v>
      </c>
      <c r="W50">
        <f>SUM(Table1[[#This Row],[Total intl calls]],Table1[[#This Row],[Total night calls]],Table1[[#This Row],[Total eve calls]],Table1[[#This Row],[Total day calls]])</f>
        <v>320</v>
      </c>
      <c r="X50" t="str" cm="1">
        <f t="array" ref="X50">_xlfn.IFS(Table1[[#This Row],[Customer service calls]]&gt;=4,"High risk",Table1[[#This Row],[Customer service calls]]&gt;=2,"Medium risk",TRUE,"Low risk")</f>
        <v>Low risk</v>
      </c>
      <c r="Y50" t="str" cm="1">
        <f t="array" ref="Y50">IFERROR(_xlfn.IFS(Table1[[#This Row],[Total usage(Min)]]&gt;=AVERAGE(U:U)*1.1,"High risk",Table1[[#This Row],[Total usage(Min)]]&lt;= AVERAGE(U:U)*0.9,"Low risk",TRUE,"Medium risk"),"N/A")</f>
        <v>Medium risk</v>
      </c>
      <c r="Z50" t="str" cm="1">
        <f t="array" ref="Z50">IFERROR(_xlfn.IFS(Table1[[#This Row],[Total charges]]&gt;=AVERAGE(V:V)*1.1,"High risk",Table1[[#This Row],[Total charges]]&lt;=AVERAGE(V:V)*0.9,"Low risk",TRUE,"Medium risk"),"N/A")</f>
        <v>Medium risk</v>
      </c>
      <c r="AA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 t="str" cm="1">
        <f t="array" ref="AC50">_xlfn.IFS(
AND(Table1[[#This Row],[Customer service risk level]]="High risk", Table1[[#This Row],[Intl usage behaviour]]="Unplanned Usage"),"High Risk",
OR(Table1[[#This Row],[Customer service risk level]]="Medium risk", Table1[[#This Row],[Charges risk level]]="High risk "),"Medium Risk",
TRUE,"Low Risk"
)</f>
        <v>Low Risk</v>
      </c>
    </row>
    <row r="51" spans="1:29" x14ac:dyDescent="0.25">
      <c r="A51" t="s">
        <v>53</v>
      </c>
      <c r="B51">
        <v>155</v>
      </c>
      <c r="C51">
        <v>408</v>
      </c>
      <c r="D51" t="s">
        <v>21</v>
      </c>
      <c r="E51" t="s">
        <v>21</v>
      </c>
      <c r="F51">
        <v>0</v>
      </c>
      <c r="G51">
        <v>262.39999999999998</v>
      </c>
      <c r="H51">
        <v>55</v>
      </c>
      <c r="I51">
        <v>44.61</v>
      </c>
      <c r="J51">
        <v>194.6</v>
      </c>
      <c r="K51">
        <v>113</v>
      </c>
      <c r="L51">
        <v>16.54</v>
      </c>
      <c r="M51">
        <v>146.5</v>
      </c>
      <c r="N51">
        <v>85</v>
      </c>
      <c r="O51">
        <v>6.59</v>
      </c>
      <c r="P51">
        <v>8.3000000000000007</v>
      </c>
      <c r="Q51">
        <v>6</v>
      </c>
      <c r="R51">
        <v>2.2400000000000002</v>
      </c>
      <c r="S51">
        <v>2</v>
      </c>
      <c r="T51" t="b">
        <v>0</v>
      </c>
      <c r="U51">
        <f>IFERROR(SUM(Table1[[#This Row],[Total day minutes]],Table1[[#This Row],[Total eve minutes]],Table1[[#This Row],[Total night minutes]],Table1[[#This Row],[Total intl minutes]]),0)</f>
        <v>611.79999999999995</v>
      </c>
      <c r="V51">
        <f>SUM(Table1[[#This Row],[Total intl charge]],Table1[[#This Row],[Total night charge]],Table1[[#This Row],[Total eve charge]],Table1[[#This Row],[Total day charge]])</f>
        <v>69.97999999999999</v>
      </c>
      <c r="W51">
        <f>SUM(Table1[[#This Row],[Total intl calls]],Table1[[#This Row],[Total night calls]],Table1[[#This Row],[Total eve calls]],Table1[[#This Row],[Total day calls]])</f>
        <v>259</v>
      </c>
      <c r="X51" t="str" cm="1">
        <f t="array" ref="X51">_xlfn.IFS(Table1[[#This Row],[Customer service calls]]&gt;=4,"High risk",Table1[[#This Row],[Customer service calls]]&gt;=2,"Medium risk",TRUE,"Low risk")</f>
        <v>Medium risk</v>
      </c>
      <c r="Y51" t="str" cm="1">
        <f t="array" ref="Y51">IFERROR(_xlfn.IFS(Table1[[#This Row],[Total usage(Min)]]&gt;=AVERAGE(U:U)*1.1,"High risk",Table1[[#This Row],[Total usage(Min)]]&lt;= AVERAGE(U:U)*0.9,"Low risk",TRUE,"Medium risk"),"N/A")</f>
        <v>Medium risk</v>
      </c>
      <c r="Z51" t="str" cm="1">
        <f t="array" ref="Z51">IFERROR(_xlfn.IFS(Table1[[#This Row],[Total charges]]&gt;=AVERAGE(V:V)*1.1,"High risk",Table1[[#This Row],[Total charges]]&lt;=AVERAGE(V:V)*0.9,"Low risk",TRUE,"Medium risk"),"N/A")</f>
        <v>High risk</v>
      </c>
      <c r="AA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 t="str" cm="1">
        <f t="array" ref="AC51">_xlfn.IFS(
AND(Table1[[#This Row],[Customer service risk level]]="High risk", Table1[[#This Row],[Intl usage behaviour]]="Unplanned Usage"),"High Risk",
OR(Table1[[#This Row],[Customer service risk level]]="Medium risk", Table1[[#This Row],[Charges risk level]]="High risk "),"Medium Risk",
TRUE,"Low Risk"
)</f>
        <v>Medium Risk</v>
      </c>
    </row>
    <row r="52" spans="1:29" x14ac:dyDescent="0.25">
      <c r="A52" t="s">
        <v>43</v>
      </c>
      <c r="B52">
        <v>64</v>
      </c>
      <c r="C52">
        <v>510</v>
      </c>
      <c r="D52" t="s">
        <v>21</v>
      </c>
      <c r="E52" t="s">
        <v>27</v>
      </c>
      <c r="F52">
        <v>48</v>
      </c>
      <c r="G52">
        <v>94.4</v>
      </c>
      <c r="H52">
        <v>104</v>
      </c>
      <c r="I52">
        <v>16.05</v>
      </c>
      <c r="J52">
        <v>136.19999999999999</v>
      </c>
      <c r="K52">
        <v>101</v>
      </c>
      <c r="L52">
        <v>11.58</v>
      </c>
      <c r="M52">
        <v>147.4</v>
      </c>
      <c r="N52">
        <v>89</v>
      </c>
      <c r="O52">
        <v>6.63</v>
      </c>
      <c r="P52">
        <v>4.5</v>
      </c>
      <c r="Q52">
        <v>4</v>
      </c>
      <c r="R52">
        <v>1.22</v>
      </c>
      <c r="S52">
        <v>0</v>
      </c>
      <c r="T52" t="b">
        <v>0</v>
      </c>
      <c r="U52">
        <f>IFERROR(SUM(Table1[[#This Row],[Total day minutes]],Table1[[#This Row],[Total eve minutes]],Table1[[#This Row],[Total night minutes]],Table1[[#This Row],[Total intl minutes]]),0)</f>
        <v>382.5</v>
      </c>
      <c r="V52">
        <f>SUM(Table1[[#This Row],[Total intl charge]],Table1[[#This Row],[Total night charge]],Table1[[#This Row],[Total eve charge]],Table1[[#This Row],[Total day charge]])</f>
        <v>35.480000000000004</v>
      </c>
      <c r="W52">
        <f>SUM(Table1[[#This Row],[Total intl calls]],Table1[[#This Row],[Total night calls]],Table1[[#This Row],[Total eve calls]],Table1[[#This Row],[Total day calls]])</f>
        <v>298</v>
      </c>
      <c r="X52" t="str" cm="1">
        <f t="array" ref="X52">_xlfn.IFS(Table1[[#This Row],[Customer service calls]]&gt;=4,"High risk",Table1[[#This Row],[Customer service calls]]&gt;=2,"Medium risk",TRUE,"Low risk")</f>
        <v>Low risk</v>
      </c>
      <c r="Y52" t="str" cm="1">
        <f t="array" ref="Y52">IFERROR(_xlfn.IFS(Table1[[#This Row],[Total usage(Min)]]&gt;=AVERAGE(U:U)*1.1,"High risk",Table1[[#This Row],[Total usage(Min)]]&lt;= AVERAGE(U:U)*0.9,"Low risk",TRUE,"Medium risk"),"N/A")</f>
        <v>Low risk</v>
      </c>
      <c r="Z52" t="str" cm="1">
        <f t="array" ref="Z52">IFERROR(_xlfn.IFS(Table1[[#This Row],[Total charges]]&gt;=AVERAGE(V:V)*1.1,"High risk",Table1[[#This Row],[Total charges]]&lt;=AVERAGE(V:V)*0.9,"Low risk",TRUE,"Medium risk"),"N/A")</f>
        <v>Low risk</v>
      </c>
      <c r="AA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2" t="str" cm="1">
        <f t="array" ref="AC52">_xlfn.IFS(
AND(Table1[[#This Row],[Customer service risk level]]="High risk", Table1[[#This Row],[Intl usage behaviour]]="Unplanned Usage"),"High Risk",
OR(Table1[[#This Row],[Customer service risk level]]="Medium risk", Table1[[#This Row],[Charges risk level]]="High risk "),"Medium Risk",
TRUE,"Low Risk"
)</f>
        <v>Low Risk</v>
      </c>
    </row>
    <row r="53" spans="1:29" x14ac:dyDescent="0.25">
      <c r="A53" t="s">
        <v>40</v>
      </c>
      <c r="B53">
        <v>83</v>
      </c>
      <c r="C53">
        <v>415</v>
      </c>
      <c r="D53" t="s">
        <v>21</v>
      </c>
      <c r="E53" t="s">
        <v>21</v>
      </c>
      <c r="F53">
        <v>0</v>
      </c>
      <c r="G53">
        <v>221.4</v>
      </c>
      <c r="H53">
        <v>103</v>
      </c>
      <c r="I53">
        <v>37.64</v>
      </c>
      <c r="J53">
        <v>231.8</v>
      </c>
      <c r="K53">
        <v>103</v>
      </c>
      <c r="L53">
        <v>19.7</v>
      </c>
      <c r="M53">
        <v>122.5</v>
      </c>
      <c r="N53">
        <v>100</v>
      </c>
      <c r="O53">
        <v>5.51</v>
      </c>
      <c r="P53">
        <v>9.8000000000000007</v>
      </c>
      <c r="Q53">
        <v>5</v>
      </c>
      <c r="R53">
        <v>2.65</v>
      </c>
      <c r="S53">
        <v>3</v>
      </c>
      <c r="T53" t="b">
        <v>0</v>
      </c>
      <c r="U53">
        <f>IFERROR(SUM(Table1[[#This Row],[Total day minutes]],Table1[[#This Row],[Total eve minutes]],Table1[[#This Row],[Total night minutes]],Table1[[#This Row],[Total intl minutes]]),0)</f>
        <v>585.5</v>
      </c>
      <c r="V53">
        <f>SUM(Table1[[#This Row],[Total intl charge]],Table1[[#This Row],[Total night charge]],Table1[[#This Row],[Total eve charge]],Table1[[#This Row],[Total day charge]])</f>
        <v>65.5</v>
      </c>
      <c r="W53">
        <f>SUM(Table1[[#This Row],[Total intl calls]],Table1[[#This Row],[Total night calls]],Table1[[#This Row],[Total eve calls]],Table1[[#This Row],[Total day calls]])</f>
        <v>311</v>
      </c>
      <c r="X53" t="str" cm="1">
        <f t="array" ref="X53">_xlfn.IFS(Table1[[#This Row],[Customer service calls]]&gt;=4,"High risk",Table1[[#This Row],[Customer service calls]]&gt;=2,"Medium risk",TRUE,"Low risk")</f>
        <v>Medium risk</v>
      </c>
      <c r="Y53" t="str" cm="1">
        <f t="array" ref="Y53">IFERROR(_xlfn.IFS(Table1[[#This Row],[Total usage(Min)]]&gt;=AVERAGE(U:U)*1.1,"High risk",Table1[[#This Row],[Total usage(Min)]]&lt;= AVERAGE(U:U)*0.9,"Low risk",TRUE,"Medium risk"),"N/A")</f>
        <v>Medium risk</v>
      </c>
      <c r="Z53" t="str" cm="1">
        <f t="array" ref="Z53">IFERROR(_xlfn.IFS(Table1[[#This Row],[Total charges]]&gt;=AVERAGE(V:V)*1.1,"High risk",Table1[[#This Row],[Total charges]]&lt;=AVERAGE(V:V)*0.9,"Low risk",TRUE,"Medium risk"),"N/A")</f>
        <v>Medium risk</v>
      </c>
      <c r="AA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 t="str" cm="1">
        <f t="array" ref="AC53">_xlfn.IFS(
AND(Table1[[#This Row],[Customer service risk level]]="High risk", Table1[[#This Row],[Intl usage behaviour]]="Unplanned Usage"),"High Risk",
OR(Table1[[#This Row],[Customer service risk level]]="Medium risk", Table1[[#This Row],[Charges risk level]]="High risk "),"Medium Risk",
TRUE,"Low Risk"
)</f>
        <v>Medium Risk</v>
      </c>
    </row>
    <row r="54" spans="1:29" x14ac:dyDescent="0.25">
      <c r="A54" t="s">
        <v>54</v>
      </c>
      <c r="B54">
        <v>144</v>
      </c>
      <c r="C54">
        <v>408</v>
      </c>
      <c r="D54" t="s">
        <v>21</v>
      </c>
      <c r="E54" t="s">
        <v>27</v>
      </c>
      <c r="F54">
        <v>48</v>
      </c>
      <c r="G54">
        <v>189.8</v>
      </c>
      <c r="H54">
        <v>96</v>
      </c>
      <c r="I54">
        <v>32.270000000000003</v>
      </c>
      <c r="J54">
        <v>123.4</v>
      </c>
      <c r="K54">
        <v>67</v>
      </c>
      <c r="L54">
        <v>10.49</v>
      </c>
      <c r="M54">
        <v>214.2</v>
      </c>
      <c r="N54">
        <v>106</v>
      </c>
      <c r="O54">
        <v>9.64</v>
      </c>
      <c r="P54">
        <v>6.5</v>
      </c>
      <c r="Q54">
        <v>2</v>
      </c>
      <c r="R54">
        <v>1.76</v>
      </c>
      <c r="S54">
        <v>2</v>
      </c>
      <c r="T54" t="b">
        <v>1</v>
      </c>
      <c r="U54">
        <f>IFERROR(SUM(Table1[[#This Row],[Total day minutes]],Table1[[#This Row],[Total eve minutes]],Table1[[#This Row],[Total night minutes]],Table1[[#This Row],[Total intl minutes]]),0)</f>
        <v>533.90000000000009</v>
      </c>
      <c r="V54">
        <f>SUM(Table1[[#This Row],[Total intl charge]],Table1[[#This Row],[Total night charge]],Table1[[#This Row],[Total eve charge]],Table1[[#This Row],[Total day charge]])</f>
        <v>54.160000000000004</v>
      </c>
      <c r="W54">
        <f>SUM(Table1[[#This Row],[Total intl calls]],Table1[[#This Row],[Total night calls]],Table1[[#This Row],[Total eve calls]],Table1[[#This Row],[Total day calls]])</f>
        <v>271</v>
      </c>
      <c r="X54" t="str" cm="1">
        <f t="array" ref="X54">_xlfn.IFS(Table1[[#This Row],[Customer service calls]]&gt;=4,"High risk",Table1[[#This Row],[Customer service calls]]&gt;=2,"Medium risk",TRUE,"Low risk")</f>
        <v>Medium risk</v>
      </c>
      <c r="Y54" t="str" cm="1">
        <f t="array" ref="Y54">IFERROR(_xlfn.IFS(Table1[[#This Row],[Total usage(Min)]]&gt;=AVERAGE(U:U)*1.1,"High risk",Table1[[#This Row],[Total usage(Min)]]&lt;= AVERAGE(U:U)*0.9,"Low risk",TRUE,"Medium risk"),"N/A")</f>
        <v>Low risk</v>
      </c>
      <c r="Z54" t="str" cm="1">
        <f t="array" ref="Z54">IFERROR(_xlfn.IFS(Table1[[#This Row],[Total charges]]&gt;=AVERAGE(V:V)*1.1,"High risk",Table1[[#This Row],[Total charges]]&lt;=AVERAGE(V:V)*0.9,"Low risk",TRUE,"Medium risk"),"N/A")</f>
        <v>Medium risk</v>
      </c>
      <c r="AA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 t="str" cm="1">
        <f t="array" ref="AC54">_xlfn.IFS(
AND(Table1[[#This Row],[Customer service risk level]]="High risk", Table1[[#This Row],[Intl usage behaviour]]="Unplanned Usage"),"High Risk",
OR(Table1[[#This Row],[Customer service risk level]]="Medium risk", Table1[[#This Row],[Charges risk level]]="High risk "),"Medium Risk",
TRUE,"Low Risk"
)</f>
        <v>Medium Risk</v>
      </c>
    </row>
    <row r="55" spans="1:29" x14ac:dyDescent="0.25">
      <c r="A55" t="s">
        <v>34</v>
      </c>
      <c r="B55">
        <v>143</v>
      </c>
      <c r="C55">
        <v>415</v>
      </c>
      <c r="D55" t="s">
        <v>21</v>
      </c>
      <c r="E55" t="s">
        <v>21</v>
      </c>
      <c r="F55">
        <v>0</v>
      </c>
      <c r="G55">
        <v>172.3</v>
      </c>
      <c r="H55">
        <v>97</v>
      </c>
      <c r="I55">
        <v>29.29</v>
      </c>
      <c r="J55">
        <v>174</v>
      </c>
      <c r="K55">
        <v>108</v>
      </c>
      <c r="L55">
        <v>14.79</v>
      </c>
      <c r="M55">
        <v>188.2</v>
      </c>
      <c r="N55">
        <v>119</v>
      </c>
      <c r="O55">
        <v>8.4700000000000006</v>
      </c>
      <c r="P55">
        <v>13</v>
      </c>
      <c r="Q55">
        <v>4</v>
      </c>
      <c r="R55">
        <v>3.51</v>
      </c>
      <c r="S55">
        <v>2</v>
      </c>
      <c r="T55" t="b">
        <v>0</v>
      </c>
      <c r="U55">
        <f>IFERROR(SUM(Table1[[#This Row],[Total day minutes]],Table1[[#This Row],[Total eve minutes]],Table1[[#This Row],[Total night minutes]],Table1[[#This Row],[Total intl minutes]]),0)</f>
        <v>547.5</v>
      </c>
      <c r="V55">
        <f>SUM(Table1[[#This Row],[Total intl charge]],Table1[[#This Row],[Total night charge]],Table1[[#This Row],[Total eve charge]],Table1[[#This Row],[Total day charge]])</f>
        <v>56.06</v>
      </c>
      <c r="W55">
        <f>SUM(Table1[[#This Row],[Total intl calls]],Table1[[#This Row],[Total night calls]],Table1[[#This Row],[Total eve calls]],Table1[[#This Row],[Total day calls]])</f>
        <v>328</v>
      </c>
      <c r="X55" t="str" cm="1">
        <f t="array" ref="X55">_xlfn.IFS(Table1[[#This Row],[Customer service calls]]&gt;=4,"High risk",Table1[[#This Row],[Customer service calls]]&gt;=2,"Medium risk",TRUE,"Low risk")</f>
        <v>Medium risk</v>
      </c>
      <c r="Y55" t="str" cm="1">
        <f t="array" ref="Y55">IFERROR(_xlfn.IFS(Table1[[#This Row],[Total usage(Min)]]&gt;=AVERAGE(U:U)*1.1,"High risk",Table1[[#This Row],[Total usage(Min)]]&lt;= AVERAGE(U:U)*0.9,"Low risk",TRUE,"Medium risk"),"N/A")</f>
        <v>Medium risk</v>
      </c>
      <c r="Z55" t="str" cm="1">
        <f t="array" ref="Z55">IFERROR(_xlfn.IFS(Table1[[#This Row],[Total charges]]&gt;=AVERAGE(V:V)*1.1,"High risk",Table1[[#This Row],[Total charges]]&lt;=AVERAGE(V:V)*0.9,"Low risk",TRUE,"Medium risk"),"N/A")</f>
        <v>Medium risk</v>
      </c>
      <c r="AA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 t="str" cm="1">
        <f t="array" ref="AC55">_xlfn.IFS(
AND(Table1[[#This Row],[Customer service risk level]]="High risk", Table1[[#This Row],[Intl usage behaviour]]="Unplanned Usage"),"High Risk",
OR(Table1[[#This Row],[Customer service risk level]]="Medium risk", Table1[[#This Row],[Charges risk level]]="High risk "),"Medium Risk",
TRUE,"Low Risk"
)</f>
        <v>Medium Risk</v>
      </c>
    </row>
    <row r="56" spans="1:29" x14ac:dyDescent="0.25">
      <c r="A56" t="s">
        <v>32</v>
      </c>
      <c r="B56">
        <v>81</v>
      </c>
      <c r="C56">
        <v>415</v>
      </c>
      <c r="D56" t="s">
        <v>21</v>
      </c>
      <c r="E56" t="s">
        <v>21</v>
      </c>
      <c r="F56">
        <v>0</v>
      </c>
      <c r="G56">
        <v>198.4</v>
      </c>
      <c r="H56">
        <v>93</v>
      </c>
      <c r="I56">
        <v>33.729999999999997</v>
      </c>
      <c r="J56">
        <v>210.9</v>
      </c>
      <c r="K56">
        <v>108</v>
      </c>
      <c r="L56">
        <v>17.93</v>
      </c>
      <c r="M56">
        <v>193.3</v>
      </c>
      <c r="N56">
        <v>71</v>
      </c>
      <c r="O56">
        <v>8.6999999999999993</v>
      </c>
      <c r="P56">
        <v>10.4</v>
      </c>
      <c r="Q56">
        <v>6</v>
      </c>
      <c r="R56">
        <v>2.81</v>
      </c>
      <c r="S56">
        <v>2</v>
      </c>
      <c r="T56" t="b">
        <v>0</v>
      </c>
      <c r="U56">
        <f>IFERROR(SUM(Table1[[#This Row],[Total day minutes]],Table1[[#This Row],[Total eve minutes]],Table1[[#This Row],[Total night minutes]],Table1[[#This Row],[Total intl minutes]]),0)</f>
        <v>613</v>
      </c>
      <c r="V56">
        <f>SUM(Table1[[#This Row],[Total intl charge]],Table1[[#This Row],[Total night charge]],Table1[[#This Row],[Total eve charge]],Table1[[#This Row],[Total day charge]])</f>
        <v>63.169999999999995</v>
      </c>
      <c r="W56">
        <f>SUM(Table1[[#This Row],[Total intl calls]],Table1[[#This Row],[Total night calls]],Table1[[#This Row],[Total eve calls]],Table1[[#This Row],[Total day calls]])</f>
        <v>278</v>
      </c>
      <c r="X56" t="str" cm="1">
        <f t="array" ref="X56">_xlfn.IFS(Table1[[#This Row],[Customer service calls]]&gt;=4,"High risk",Table1[[#This Row],[Customer service calls]]&gt;=2,"Medium risk",TRUE,"Low risk")</f>
        <v>Medium risk</v>
      </c>
      <c r="Y56" t="str" cm="1">
        <f t="array" ref="Y56">IFERROR(_xlfn.IFS(Table1[[#This Row],[Total usage(Min)]]&gt;=AVERAGE(U:U)*1.1,"High risk",Table1[[#This Row],[Total usage(Min)]]&lt;= AVERAGE(U:U)*0.9,"Low risk",TRUE,"Medium risk"),"N/A")</f>
        <v>Medium risk</v>
      </c>
      <c r="Z56" t="str" cm="1">
        <f t="array" ref="Z56">IFERROR(_xlfn.IFS(Table1[[#This Row],[Total charges]]&gt;=AVERAGE(V:V)*1.1,"High risk",Table1[[#This Row],[Total charges]]&lt;=AVERAGE(V:V)*0.9,"Low risk",TRUE,"Medium risk"),"N/A")</f>
        <v>Medium risk</v>
      </c>
      <c r="AA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 t="str" cm="1">
        <f t="array" ref="AC56">_xlfn.IFS(
AND(Table1[[#This Row],[Customer service risk level]]="High risk", Table1[[#This Row],[Intl usage behaviour]]="Unplanned Usage"),"High Risk",
OR(Table1[[#This Row],[Customer service risk level]]="Medium risk", Table1[[#This Row],[Charges risk level]]="High risk "),"Medium Risk",
TRUE,"Low Risk"
)</f>
        <v>Medium Risk</v>
      </c>
    </row>
    <row r="57" spans="1:29" x14ac:dyDescent="0.25">
      <c r="A57" t="s">
        <v>54</v>
      </c>
      <c r="B57">
        <v>145</v>
      </c>
      <c r="C57">
        <v>408</v>
      </c>
      <c r="D57" t="s">
        <v>21</v>
      </c>
      <c r="E57" t="s">
        <v>27</v>
      </c>
      <c r="F57">
        <v>24</v>
      </c>
      <c r="G57">
        <v>147.5</v>
      </c>
      <c r="H57">
        <v>90</v>
      </c>
      <c r="I57">
        <v>25.08</v>
      </c>
      <c r="J57">
        <v>175.7</v>
      </c>
      <c r="K57">
        <v>108</v>
      </c>
      <c r="L57">
        <v>14.93</v>
      </c>
      <c r="M57">
        <v>252.1</v>
      </c>
      <c r="N57">
        <v>102</v>
      </c>
      <c r="O57">
        <v>11.34</v>
      </c>
      <c r="P57">
        <v>15.6</v>
      </c>
      <c r="Q57">
        <v>3</v>
      </c>
      <c r="R57">
        <v>4.21</v>
      </c>
      <c r="S57">
        <v>2</v>
      </c>
      <c r="T57" t="b">
        <v>0</v>
      </c>
      <c r="U57">
        <f>IFERROR(SUM(Table1[[#This Row],[Total day minutes]],Table1[[#This Row],[Total eve minutes]],Table1[[#This Row],[Total night minutes]],Table1[[#This Row],[Total intl minutes]]),0)</f>
        <v>590.9</v>
      </c>
      <c r="V57">
        <f>SUM(Table1[[#This Row],[Total intl charge]],Table1[[#This Row],[Total night charge]],Table1[[#This Row],[Total eve charge]],Table1[[#This Row],[Total day charge]])</f>
        <v>55.56</v>
      </c>
      <c r="W57">
        <f>SUM(Table1[[#This Row],[Total intl calls]],Table1[[#This Row],[Total night calls]],Table1[[#This Row],[Total eve calls]],Table1[[#This Row],[Total day calls]])</f>
        <v>303</v>
      </c>
      <c r="X57" t="str" cm="1">
        <f t="array" ref="X57">_xlfn.IFS(Table1[[#This Row],[Customer service calls]]&gt;=4,"High risk",Table1[[#This Row],[Customer service calls]]&gt;=2,"Medium risk",TRUE,"Low risk")</f>
        <v>Medium risk</v>
      </c>
      <c r="Y57" t="str" cm="1">
        <f t="array" ref="Y57">IFERROR(_xlfn.IFS(Table1[[#This Row],[Total usage(Min)]]&gt;=AVERAGE(U:U)*1.1,"High risk",Table1[[#This Row],[Total usage(Min)]]&lt;= AVERAGE(U:U)*0.9,"Low risk",TRUE,"Medium risk"),"N/A")</f>
        <v>Medium risk</v>
      </c>
      <c r="Z57" t="str" cm="1">
        <f t="array" ref="Z57">IFERROR(_xlfn.IFS(Table1[[#This Row],[Total charges]]&gt;=AVERAGE(V:V)*1.1,"High risk",Table1[[#This Row],[Total charges]]&lt;=AVERAGE(V:V)*0.9,"Low risk",TRUE,"Medium risk"),"N/A")</f>
        <v>Medium risk</v>
      </c>
      <c r="AA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7" t="str" cm="1">
        <f t="array" ref="AC57">_xlfn.IFS(
AND(Table1[[#This Row],[Customer service risk level]]="High risk", Table1[[#This Row],[Intl usage behaviour]]="Unplanned Usage"),"High Risk",
OR(Table1[[#This Row],[Customer service risk level]]="Medium risk", Table1[[#This Row],[Charges risk level]]="High risk "),"Medium Risk",
TRUE,"Low Risk"
)</f>
        <v>Medium Risk</v>
      </c>
    </row>
    <row r="58" spans="1:29" x14ac:dyDescent="0.25">
      <c r="A58" t="s">
        <v>55</v>
      </c>
      <c r="B58">
        <v>89</v>
      </c>
      <c r="C58">
        <v>510</v>
      </c>
      <c r="D58" t="s">
        <v>21</v>
      </c>
      <c r="E58" t="s">
        <v>21</v>
      </c>
      <c r="F58">
        <v>0</v>
      </c>
      <c r="G58">
        <v>303.89999999999998</v>
      </c>
      <c r="H58">
        <v>95</v>
      </c>
      <c r="I58">
        <v>51.66</v>
      </c>
      <c r="J58">
        <v>260.89999999999998</v>
      </c>
      <c r="K58">
        <v>114</v>
      </c>
      <c r="L58">
        <v>22.18</v>
      </c>
      <c r="M58">
        <v>312.10000000000002</v>
      </c>
      <c r="N58">
        <v>89</v>
      </c>
      <c r="O58">
        <v>14.04</v>
      </c>
      <c r="P58">
        <v>5.3</v>
      </c>
      <c r="Q58">
        <v>3</v>
      </c>
      <c r="R58">
        <v>1.43</v>
      </c>
      <c r="S58">
        <v>1</v>
      </c>
      <c r="T58" t="b">
        <v>1</v>
      </c>
      <c r="U58">
        <f>IFERROR(SUM(Table1[[#This Row],[Total day minutes]],Table1[[#This Row],[Total eve minutes]],Table1[[#This Row],[Total night minutes]],Table1[[#This Row],[Total intl minutes]]),0)</f>
        <v>882.19999999999993</v>
      </c>
      <c r="V58">
        <f>SUM(Table1[[#This Row],[Total intl charge]],Table1[[#This Row],[Total night charge]],Table1[[#This Row],[Total eve charge]],Table1[[#This Row],[Total day charge]])</f>
        <v>89.31</v>
      </c>
      <c r="W58">
        <f>SUM(Table1[[#This Row],[Total intl calls]],Table1[[#This Row],[Total night calls]],Table1[[#This Row],[Total eve calls]],Table1[[#This Row],[Total day calls]])</f>
        <v>301</v>
      </c>
      <c r="X58" t="str" cm="1">
        <f t="array" ref="X58">_xlfn.IFS(Table1[[#This Row],[Customer service calls]]&gt;=4,"High risk",Table1[[#This Row],[Customer service calls]]&gt;=2,"Medium risk",TRUE,"Low risk")</f>
        <v>Low risk</v>
      </c>
      <c r="Y58" t="str" cm="1">
        <f t="array" ref="Y58">IFERROR(_xlfn.IFS(Table1[[#This Row],[Total usage(Min)]]&gt;=AVERAGE(U:U)*1.1,"High risk",Table1[[#This Row],[Total usage(Min)]]&lt;= AVERAGE(U:U)*0.9,"Low risk",TRUE,"Medium risk"),"N/A")</f>
        <v>High risk</v>
      </c>
      <c r="Z58" t="str" cm="1">
        <f t="array" ref="Z58">IFERROR(_xlfn.IFS(Table1[[#This Row],[Total charges]]&gt;=AVERAGE(V:V)*1.1,"High risk",Table1[[#This Row],[Total charges]]&lt;=AVERAGE(V:V)*0.9,"Low risk",TRUE,"Medium risk"),"N/A")</f>
        <v>High risk</v>
      </c>
      <c r="AA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 t="str" cm="1">
        <f t="array" ref="AC58">_xlfn.IFS(
AND(Table1[[#This Row],[Customer service risk level]]="High risk", Table1[[#This Row],[Intl usage behaviour]]="Unplanned Usage"),"High Risk",
OR(Table1[[#This Row],[Customer service risk level]]="Medium risk", Table1[[#This Row],[Charges risk level]]="High risk "),"Medium Risk",
TRUE,"Low Risk"
)</f>
        <v>Low Risk</v>
      </c>
    </row>
    <row r="59" spans="1:29" x14ac:dyDescent="0.25">
      <c r="A59" t="s">
        <v>56</v>
      </c>
      <c r="B59">
        <v>199</v>
      </c>
      <c r="C59">
        <v>415</v>
      </c>
      <c r="D59" t="s">
        <v>21</v>
      </c>
      <c r="E59" t="s">
        <v>27</v>
      </c>
      <c r="F59">
        <v>34</v>
      </c>
      <c r="G59">
        <v>230.6</v>
      </c>
      <c r="H59">
        <v>121</v>
      </c>
      <c r="I59">
        <v>39.200000000000003</v>
      </c>
      <c r="J59">
        <v>219.4</v>
      </c>
      <c r="K59">
        <v>99</v>
      </c>
      <c r="L59">
        <v>18.649999999999999</v>
      </c>
      <c r="M59">
        <v>299.3</v>
      </c>
      <c r="N59">
        <v>94</v>
      </c>
      <c r="O59">
        <v>13.47</v>
      </c>
      <c r="P59">
        <v>8</v>
      </c>
      <c r="Q59">
        <v>2</v>
      </c>
      <c r="R59">
        <v>2.16</v>
      </c>
      <c r="S59">
        <v>0</v>
      </c>
      <c r="T59" t="b">
        <v>0</v>
      </c>
      <c r="U59">
        <f>IFERROR(SUM(Table1[[#This Row],[Total day minutes]],Table1[[#This Row],[Total eve minutes]],Table1[[#This Row],[Total night minutes]],Table1[[#This Row],[Total intl minutes]]),0)</f>
        <v>757.3</v>
      </c>
      <c r="V59">
        <f>SUM(Table1[[#This Row],[Total intl charge]],Table1[[#This Row],[Total night charge]],Table1[[#This Row],[Total eve charge]],Table1[[#This Row],[Total day charge]])</f>
        <v>73.48</v>
      </c>
      <c r="W59">
        <f>SUM(Table1[[#This Row],[Total intl calls]],Table1[[#This Row],[Total night calls]],Table1[[#This Row],[Total eve calls]],Table1[[#This Row],[Total day calls]])</f>
        <v>316</v>
      </c>
      <c r="X59" t="str" cm="1">
        <f t="array" ref="X59">_xlfn.IFS(Table1[[#This Row],[Customer service calls]]&gt;=4,"High risk",Table1[[#This Row],[Customer service calls]]&gt;=2,"Medium risk",TRUE,"Low risk")</f>
        <v>Low risk</v>
      </c>
      <c r="Y59" t="str" cm="1">
        <f t="array" ref="Y59">IFERROR(_xlfn.IFS(Table1[[#This Row],[Total usage(Min)]]&gt;=AVERAGE(U:U)*1.1,"High risk",Table1[[#This Row],[Total usage(Min)]]&lt;= AVERAGE(U:U)*0.9,"Low risk",TRUE,"Medium risk"),"N/A")</f>
        <v>High risk</v>
      </c>
      <c r="Z59" t="str" cm="1">
        <f t="array" ref="Z59">IFERROR(_xlfn.IFS(Table1[[#This Row],[Total charges]]&gt;=AVERAGE(V:V)*1.1,"High risk",Table1[[#This Row],[Total charges]]&lt;=AVERAGE(V:V)*0.9,"Low risk",TRUE,"Medium risk"),"N/A")</f>
        <v>High risk</v>
      </c>
      <c r="AA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9" t="str" cm="1">
        <f t="array" ref="AC59">_xlfn.IFS(
AND(Table1[[#This Row],[Customer service risk level]]="High risk", Table1[[#This Row],[Intl usage behaviour]]="Unplanned Usage"),"High Risk",
OR(Table1[[#This Row],[Customer service risk level]]="Medium risk", Table1[[#This Row],[Charges risk level]]="High risk "),"Medium Risk",
TRUE,"Low Risk"
)</f>
        <v>Low Risk</v>
      </c>
    </row>
    <row r="60" spans="1:29" x14ac:dyDescent="0.25">
      <c r="A60" t="s">
        <v>56</v>
      </c>
      <c r="B60">
        <v>96</v>
      </c>
      <c r="C60">
        <v>415</v>
      </c>
      <c r="D60" t="s">
        <v>21</v>
      </c>
      <c r="E60" t="s">
        <v>27</v>
      </c>
      <c r="F60">
        <v>37</v>
      </c>
      <c r="G60">
        <v>172.7</v>
      </c>
      <c r="H60">
        <v>93</v>
      </c>
      <c r="I60">
        <v>29.36</v>
      </c>
      <c r="J60">
        <v>120.1</v>
      </c>
      <c r="K60">
        <v>116</v>
      </c>
      <c r="L60">
        <v>10.210000000000001</v>
      </c>
      <c r="M60">
        <v>216.1</v>
      </c>
      <c r="N60">
        <v>86</v>
      </c>
      <c r="O60">
        <v>9.7200000000000006</v>
      </c>
      <c r="P60">
        <v>10.3</v>
      </c>
      <c r="Q60">
        <v>5</v>
      </c>
      <c r="R60">
        <v>2.78</v>
      </c>
      <c r="S60">
        <v>5</v>
      </c>
      <c r="T60" t="b">
        <v>1</v>
      </c>
      <c r="U60">
        <f>IFERROR(SUM(Table1[[#This Row],[Total day minutes]],Table1[[#This Row],[Total eve minutes]],Table1[[#This Row],[Total night minutes]],Table1[[#This Row],[Total intl minutes]]),0)</f>
        <v>519.19999999999993</v>
      </c>
      <c r="V60">
        <f>SUM(Table1[[#This Row],[Total intl charge]],Table1[[#This Row],[Total night charge]],Table1[[#This Row],[Total eve charge]],Table1[[#This Row],[Total day charge]])</f>
        <v>52.07</v>
      </c>
      <c r="W60">
        <f>SUM(Table1[[#This Row],[Total intl calls]],Table1[[#This Row],[Total night calls]],Table1[[#This Row],[Total eve calls]],Table1[[#This Row],[Total day calls]])</f>
        <v>300</v>
      </c>
      <c r="X60" t="str" cm="1">
        <f t="array" ref="X60">_xlfn.IFS(Table1[[#This Row],[Customer service calls]]&gt;=4,"High risk",Table1[[#This Row],[Customer service calls]]&gt;=2,"Medium risk",TRUE,"Low risk")</f>
        <v>High risk</v>
      </c>
      <c r="Y60" t="str" cm="1">
        <f t="array" ref="Y60">IFERROR(_xlfn.IFS(Table1[[#This Row],[Total usage(Min)]]&gt;=AVERAGE(U:U)*1.1,"High risk",Table1[[#This Row],[Total usage(Min)]]&lt;= AVERAGE(U:U)*0.9,"Low risk",TRUE,"Medium risk"),"N/A")</f>
        <v>Low risk</v>
      </c>
      <c r="Z60" t="str" cm="1">
        <f t="array" ref="Z60">IFERROR(_xlfn.IFS(Table1[[#This Row],[Total charges]]&gt;=AVERAGE(V:V)*1.1,"High risk",Table1[[#This Row],[Total charges]]&lt;=AVERAGE(V:V)*0.9,"Low risk",TRUE,"Medium risk"),"N/A")</f>
        <v>Low risk</v>
      </c>
      <c r="AA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0" t="str" cm="1">
        <f t="array" ref="AC60">_xlfn.IFS(
AND(Table1[[#This Row],[Customer service risk level]]="High risk", Table1[[#This Row],[Intl usage behaviour]]="Unplanned Usage"),"High Risk",
OR(Table1[[#This Row],[Customer service risk level]]="Medium risk", Table1[[#This Row],[Charges risk level]]="High risk "),"Medium Risk",
TRUE,"Low Risk"
)</f>
        <v>High Risk</v>
      </c>
    </row>
    <row r="61" spans="1:29" x14ac:dyDescent="0.25">
      <c r="A61" t="s">
        <v>32</v>
      </c>
      <c r="B61">
        <v>94</v>
      </c>
      <c r="C61">
        <v>415</v>
      </c>
      <c r="D61" t="s">
        <v>21</v>
      </c>
      <c r="E61" t="s">
        <v>21</v>
      </c>
      <c r="F61">
        <v>0</v>
      </c>
      <c r="G61">
        <v>181.5</v>
      </c>
      <c r="H61">
        <v>98</v>
      </c>
      <c r="I61">
        <v>30.86</v>
      </c>
      <c r="J61">
        <v>199.9</v>
      </c>
      <c r="K61">
        <v>88</v>
      </c>
      <c r="L61">
        <v>16.989999999999998</v>
      </c>
      <c r="M61">
        <v>287.7</v>
      </c>
      <c r="N61">
        <v>114</v>
      </c>
      <c r="O61">
        <v>12.95</v>
      </c>
      <c r="P61">
        <v>6.6</v>
      </c>
      <c r="Q61">
        <v>5</v>
      </c>
      <c r="R61">
        <v>1.78</v>
      </c>
      <c r="S61">
        <v>1</v>
      </c>
      <c r="T61" t="b">
        <v>0</v>
      </c>
      <c r="U61">
        <f>IFERROR(SUM(Table1[[#This Row],[Total day minutes]],Table1[[#This Row],[Total eve minutes]],Table1[[#This Row],[Total night minutes]],Table1[[#This Row],[Total intl minutes]]),0)</f>
        <v>675.69999999999993</v>
      </c>
      <c r="V61">
        <f>SUM(Table1[[#This Row],[Total intl charge]],Table1[[#This Row],[Total night charge]],Table1[[#This Row],[Total eve charge]],Table1[[#This Row],[Total day charge]])</f>
        <v>62.58</v>
      </c>
      <c r="W61">
        <f>SUM(Table1[[#This Row],[Total intl calls]],Table1[[#This Row],[Total night calls]],Table1[[#This Row],[Total eve calls]],Table1[[#This Row],[Total day calls]])</f>
        <v>305</v>
      </c>
      <c r="X61" t="str" cm="1">
        <f t="array" ref="X61">_xlfn.IFS(Table1[[#This Row],[Customer service calls]]&gt;=4,"High risk",Table1[[#This Row],[Customer service calls]]&gt;=2,"Medium risk",TRUE,"Low risk")</f>
        <v>Low risk</v>
      </c>
      <c r="Y61" t="str" cm="1">
        <f t="array" ref="Y61">IFERROR(_xlfn.IFS(Table1[[#This Row],[Total usage(Min)]]&gt;=AVERAGE(U:U)*1.1,"High risk",Table1[[#This Row],[Total usage(Min)]]&lt;= AVERAGE(U:U)*0.9,"Low risk",TRUE,"Medium risk"),"N/A")</f>
        <v>High risk</v>
      </c>
      <c r="Z61" t="str" cm="1">
        <f t="array" ref="Z61">IFERROR(_xlfn.IFS(Table1[[#This Row],[Total charges]]&gt;=AVERAGE(V:V)*1.1,"High risk",Table1[[#This Row],[Total charges]]&lt;=AVERAGE(V:V)*0.9,"Low risk",TRUE,"Medium risk"),"N/A")</f>
        <v>Medium risk</v>
      </c>
      <c r="AA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 t="str" cm="1">
        <f t="array" ref="AC61">_xlfn.IFS(
AND(Table1[[#This Row],[Customer service risk level]]="High risk", Table1[[#This Row],[Intl usage behaviour]]="Unplanned Usage"),"High Risk",
OR(Table1[[#This Row],[Customer service risk level]]="Medium risk", Table1[[#This Row],[Charges risk level]]="High risk "),"Medium Risk",
TRUE,"Low Risk"
)</f>
        <v>Low Risk</v>
      </c>
    </row>
    <row r="62" spans="1:29" x14ac:dyDescent="0.25">
      <c r="A62" t="s">
        <v>51</v>
      </c>
      <c r="B62">
        <v>127</v>
      </c>
      <c r="C62">
        <v>415</v>
      </c>
      <c r="D62" t="s">
        <v>21</v>
      </c>
      <c r="E62" t="s">
        <v>21</v>
      </c>
      <c r="F62">
        <v>0</v>
      </c>
      <c r="G62">
        <v>266.60000000000002</v>
      </c>
      <c r="H62">
        <v>106</v>
      </c>
      <c r="I62">
        <v>45.32</v>
      </c>
      <c r="J62">
        <v>264.8</v>
      </c>
      <c r="K62">
        <v>168</v>
      </c>
      <c r="L62">
        <v>22.51</v>
      </c>
      <c r="M62">
        <v>207.2</v>
      </c>
      <c r="N62">
        <v>119</v>
      </c>
      <c r="O62">
        <v>9.32</v>
      </c>
      <c r="P62">
        <v>5.9</v>
      </c>
      <c r="Q62">
        <v>2</v>
      </c>
      <c r="R62">
        <v>1.59</v>
      </c>
      <c r="S62">
        <v>1</v>
      </c>
      <c r="T62" t="b">
        <v>1</v>
      </c>
      <c r="U62">
        <f>IFERROR(SUM(Table1[[#This Row],[Total day minutes]],Table1[[#This Row],[Total eve minutes]],Table1[[#This Row],[Total night minutes]],Table1[[#This Row],[Total intl minutes]]),0)</f>
        <v>744.50000000000011</v>
      </c>
      <c r="V62">
        <f>SUM(Table1[[#This Row],[Total intl charge]],Table1[[#This Row],[Total night charge]],Table1[[#This Row],[Total eve charge]],Table1[[#This Row],[Total day charge]])</f>
        <v>78.740000000000009</v>
      </c>
      <c r="W62">
        <f>SUM(Table1[[#This Row],[Total intl calls]],Table1[[#This Row],[Total night calls]],Table1[[#This Row],[Total eve calls]],Table1[[#This Row],[Total day calls]])</f>
        <v>395</v>
      </c>
      <c r="X62" t="str" cm="1">
        <f t="array" ref="X62">_xlfn.IFS(Table1[[#This Row],[Customer service calls]]&gt;=4,"High risk",Table1[[#This Row],[Customer service calls]]&gt;=2,"Medium risk",TRUE,"Low risk")</f>
        <v>Low risk</v>
      </c>
      <c r="Y62" t="str" cm="1">
        <f t="array" ref="Y62">IFERROR(_xlfn.IFS(Table1[[#This Row],[Total usage(Min)]]&gt;=AVERAGE(U:U)*1.1,"High risk",Table1[[#This Row],[Total usage(Min)]]&lt;= AVERAGE(U:U)*0.9,"Low risk",TRUE,"Medium risk"),"N/A")</f>
        <v>High risk</v>
      </c>
      <c r="Z62" t="str" cm="1">
        <f t="array" ref="Z62">IFERROR(_xlfn.IFS(Table1[[#This Row],[Total charges]]&gt;=AVERAGE(V:V)*1.1,"High risk",Table1[[#This Row],[Total charges]]&lt;=AVERAGE(V:V)*0.9,"Low risk",TRUE,"Medium risk"),"N/A")</f>
        <v>High risk</v>
      </c>
      <c r="AA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 t="str" cm="1">
        <f t="array" ref="AC62">_xlfn.IFS(
AND(Table1[[#This Row],[Customer service risk level]]="High risk", Table1[[#This Row],[Intl usage behaviour]]="Unplanned Usage"),"High Risk",
OR(Table1[[#This Row],[Customer service risk level]]="Medium risk", Table1[[#This Row],[Charges risk level]]="High risk "),"Medium Risk",
TRUE,"Low Risk"
)</f>
        <v>Low Risk</v>
      </c>
    </row>
    <row r="63" spans="1:29" x14ac:dyDescent="0.25">
      <c r="A63" t="s">
        <v>57</v>
      </c>
      <c r="B63">
        <v>121</v>
      </c>
      <c r="C63">
        <v>408</v>
      </c>
      <c r="D63" t="s">
        <v>21</v>
      </c>
      <c r="E63" t="s">
        <v>21</v>
      </c>
      <c r="F63">
        <v>0</v>
      </c>
      <c r="G63">
        <v>170.4</v>
      </c>
      <c r="H63">
        <v>108</v>
      </c>
      <c r="I63">
        <v>28.97</v>
      </c>
      <c r="J63">
        <v>350.5</v>
      </c>
      <c r="K63">
        <v>68</v>
      </c>
      <c r="L63">
        <v>29.79</v>
      </c>
      <c r="M63">
        <v>297</v>
      </c>
      <c r="N63">
        <v>87</v>
      </c>
      <c r="O63">
        <v>13.37</v>
      </c>
      <c r="P63">
        <v>11.2</v>
      </c>
      <c r="Q63">
        <v>3</v>
      </c>
      <c r="R63">
        <v>3.02</v>
      </c>
      <c r="S63">
        <v>0</v>
      </c>
      <c r="T63" t="b">
        <v>1</v>
      </c>
      <c r="U63">
        <f>IFERROR(SUM(Table1[[#This Row],[Total day minutes]],Table1[[#This Row],[Total eve minutes]],Table1[[#This Row],[Total night minutes]],Table1[[#This Row],[Total intl minutes]]),0)</f>
        <v>829.1</v>
      </c>
      <c r="V63">
        <f>SUM(Table1[[#This Row],[Total intl charge]],Table1[[#This Row],[Total night charge]],Table1[[#This Row],[Total eve charge]],Table1[[#This Row],[Total day charge]])</f>
        <v>75.150000000000006</v>
      </c>
      <c r="W63">
        <f>SUM(Table1[[#This Row],[Total intl calls]],Table1[[#This Row],[Total night calls]],Table1[[#This Row],[Total eve calls]],Table1[[#This Row],[Total day calls]])</f>
        <v>266</v>
      </c>
      <c r="X63" t="str" cm="1">
        <f t="array" ref="X63">_xlfn.IFS(Table1[[#This Row],[Customer service calls]]&gt;=4,"High risk",Table1[[#This Row],[Customer service calls]]&gt;=2,"Medium risk",TRUE,"Low risk")</f>
        <v>Low risk</v>
      </c>
      <c r="Y63" t="str" cm="1">
        <f t="array" ref="Y63">IFERROR(_xlfn.IFS(Table1[[#This Row],[Total usage(Min)]]&gt;=AVERAGE(U:U)*1.1,"High risk",Table1[[#This Row],[Total usage(Min)]]&lt;= AVERAGE(U:U)*0.9,"Low risk",TRUE,"Medium risk"),"N/A")</f>
        <v>High risk</v>
      </c>
      <c r="Z63" t="str" cm="1">
        <f t="array" ref="Z63">IFERROR(_xlfn.IFS(Table1[[#This Row],[Total charges]]&gt;=AVERAGE(V:V)*1.1,"High risk",Table1[[#This Row],[Total charges]]&lt;=AVERAGE(V:V)*0.9,"Low risk",TRUE,"Medium risk"),"N/A")</f>
        <v>High risk</v>
      </c>
      <c r="AA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 t="str" cm="1">
        <f t="array" ref="AC63">_xlfn.IFS(
AND(Table1[[#This Row],[Customer service risk level]]="High risk", Table1[[#This Row],[Intl usage behaviour]]="Unplanned Usage"),"High Risk",
OR(Table1[[#This Row],[Customer service risk level]]="Medium risk", Table1[[#This Row],[Charges risk level]]="High risk "),"Medium Risk",
TRUE,"Low Risk"
)</f>
        <v>Low Risk</v>
      </c>
    </row>
    <row r="64" spans="1:29" x14ac:dyDescent="0.25">
      <c r="A64" t="s">
        <v>22</v>
      </c>
      <c r="B64">
        <v>122</v>
      </c>
      <c r="C64">
        <v>408</v>
      </c>
      <c r="D64" t="s">
        <v>21</v>
      </c>
      <c r="E64" t="s">
        <v>21</v>
      </c>
      <c r="F64">
        <v>0</v>
      </c>
      <c r="G64">
        <v>296.39999999999998</v>
      </c>
      <c r="H64">
        <v>99</v>
      </c>
      <c r="I64">
        <v>50.39</v>
      </c>
      <c r="J64">
        <v>214.8</v>
      </c>
      <c r="K64">
        <v>89</v>
      </c>
      <c r="L64">
        <v>18.260000000000002</v>
      </c>
      <c r="M64">
        <v>133.9</v>
      </c>
      <c r="N64">
        <v>107</v>
      </c>
      <c r="O64">
        <v>6.03</v>
      </c>
      <c r="P64">
        <v>11.4</v>
      </c>
      <c r="Q64">
        <v>3</v>
      </c>
      <c r="R64">
        <v>3.08</v>
      </c>
      <c r="S64">
        <v>4</v>
      </c>
      <c r="T64" t="b">
        <v>1</v>
      </c>
      <c r="U64">
        <f>IFERROR(SUM(Table1[[#This Row],[Total day minutes]],Table1[[#This Row],[Total eve minutes]],Table1[[#This Row],[Total night minutes]],Table1[[#This Row],[Total intl minutes]]),0)</f>
        <v>656.5</v>
      </c>
      <c r="V64">
        <f>SUM(Table1[[#This Row],[Total intl charge]],Table1[[#This Row],[Total night charge]],Table1[[#This Row],[Total eve charge]],Table1[[#This Row],[Total day charge]])</f>
        <v>77.760000000000005</v>
      </c>
      <c r="W64">
        <f>SUM(Table1[[#This Row],[Total intl calls]],Table1[[#This Row],[Total night calls]],Table1[[#This Row],[Total eve calls]],Table1[[#This Row],[Total day calls]])</f>
        <v>298</v>
      </c>
      <c r="X64" t="str" cm="1">
        <f t="array" ref="X64">_xlfn.IFS(Table1[[#This Row],[Customer service calls]]&gt;=4,"High risk",Table1[[#This Row],[Customer service calls]]&gt;=2,"Medium risk",TRUE,"Low risk")</f>
        <v>High risk</v>
      </c>
      <c r="Y64" t="str" cm="1">
        <f t="array" ref="Y64">IFERROR(_xlfn.IFS(Table1[[#This Row],[Total usage(Min)]]&gt;=AVERAGE(U:U)*1.1,"High risk",Table1[[#This Row],[Total usage(Min)]]&lt;= AVERAGE(U:U)*0.9,"Low risk",TRUE,"Medium risk"),"N/A")</f>
        <v>High risk</v>
      </c>
      <c r="Z64" t="str" cm="1">
        <f t="array" ref="Z64">IFERROR(_xlfn.IFS(Table1[[#This Row],[Total charges]]&gt;=AVERAGE(V:V)*1.1,"High risk",Table1[[#This Row],[Total charges]]&lt;=AVERAGE(V:V)*0.9,"Low risk",TRUE,"Medium risk"),"N/A")</f>
        <v>High risk</v>
      </c>
      <c r="AA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 t="str" cm="1">
        <f t="array" ref="AC64">_xlfn.IFS(
AND(Table1[[#This Row],[Customer service risk level]]="High risk", Table1[[#This Row],[Intl usage behaviour]]="Unplanned Usage"),"High Risk",
OR(Table1[[#This Row],[Customer service risk level]]="Medium risk", Table1[[#This Row],[Charges risk level]]="High risk "),"Medium Risk",
TRUE,"Low Risk"
)</f>
        <v>High Risk</v>
      </c>
    </row>
    <row r="65" spans="1:29" x14ac:dyDescent="0.25">
      <c r="A65" t="s">
        <v>44</v>
      </c>
      <c r="B65">
        <v>121</v>
      </c>
      <c r="C65">
        <v>408</v>
      </c>
      <c r="D65" t="s">
        <v>21</v>
      </c>
      <c r="E65" t="s">
        <v>27</v>
      </c>
      <c r="F65">
        <v>35</v>
      </c>
      <c r="G65">
        <v>68.7</v>
      </c>
      <c r="H65">
        <v>95</v>
      </c>
      <c r="I65">
        <v>11.68</v>
      </c>
      <c r="J65">
        <v>209.2</v>
      </c>
      <c r="K65">
        <v>69</v>
      </c>
      <c r="L65">
        <v>17.78</v>
      </c>
      <c r="M65">
        <v>197.4</v>
      </c>
      <c r="N65">
        <v>42</v>
      </c>
      <c r="O65">
        <v>8.8800000000000008</v>
      </c>
      <c r="P65">
        <v>11.4</v>
      </c>
      <c r="Q65">
        <v>4</v>
      </c>
      <c r="R65">
        <v>3.08</v>
      </c>
      <c r="S65">
        <v>1</v>
      </c>
      <c r="T65" t="b">
        <v>0</v>
      </c>
      <c r="U65">
        <f>IFERROR(SUM(Table1[[#This Row],[Total day minutes]],Table1[[#This Row],[Total eve minutes]],Table1[[#This Row],[Total night minutes]],Table1[[#This Row],[Total intl minutes]]),0)</f>
        <v>486.69999999999993</v>
      </c>
      <c r="V65">
        <f>SUM(Table1[[#This Row],[Total intl charge]],Table1[[#This Row],[Total night charge]],Table1[[#This Row],[Total eve charge]],Table1[[#This Row],[Total day charge]])</f>
        <v>41.42</v>
      </c>
      <c r="W65">
        <f>SUM(Table1[[#This Row],[Total intl calls]],Table1[[#This Row],[Total night calls]],Table1[[#This Row],[Total eve calls]],Table1[[#This Row],[Total day calls]])</f>
        <v>210</v>
      </c>
      <c r="X65" t="str" cm="1">
        <f t="array" ref="X65">_xlfn.IFS(Table1[[#This Row],[Customer service calls]]&gt;=4,"High risk",Table1[[#This Row],[Customer service calls]]&gt;=2,"Medium risk",TRUE,"Low risk")</f>
        <v>Low risk</v>
      </c>
      <c r="Y65" t="str" cm="1">
        <f t="array" ref="Y65">IFERROR(_xlfn.IFS(Table1[[#This Row],[Total usage(Min)]]&gt;=AVERAGE(U:U)*1.1,"High risk",Table1[[#This Row],[Total usage(Min)]]&lt;= AVERAGE(U:U)*0.9,"Low risk",TRUE,"Medium risk"),"N/A")</f>
        <v>Low risk</v>
      </c>
      <c r="Z65" t="str" cm="1">
        <f t="array" ref="Z65">IFERROR(_xlfn.IFS(Table1[[#This Row],[Total charges]]&gt;=AVERAGE(V:V)*1.1,"High risk",Table1[[#This Row],[Total charges]]&lt;=AVERAGE(V:V)*0.9,"Low risk",TRUE,"Medium risk"),"N/A")</f>
        <v>Low risk</v>
      </c>
      <c r="AA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5" t="str" cm="1">
        <f t="array" ref="AC65">_xlfn.IFS(
AND(Table1[[#This Row],[Customer service risk level]]="High risk", Table1[[#This Row],[Intl usage behaviour]]="Unplanned Usage"),"High Risk",
OR(Table1[[#This Row],[Customer service risk level]]="Medium risk", Table1[[#This Row],[Charges risk level]]="High risk "),"Medium Risk",
TRUE,"Low Risk"
)</f>
        <v>Low Risk</v>
      </c>
    </row>
    <row r="66" spans="1:29" x14ac:dyDescent="0.25">
      <c r="A66" t="s">
        <v>47</v>
      </c>
      <c r="B66">
        <v>77</v>
      </c>
      <c r="C66">
        <v>510</v>
      </c>
      <c r="D66" t="s">
        <v>21</v>
      </c>
      <c r="E66" t="s">
        <v>21</v>
      </c>
      <c r="F66">
        <v>0</v>
      </c>
      <c r="G66">
        <v>233.8</v>
      </c>
      <c r="H66">
        <v>104</v>
      </c>
      <c r="I66">
        <v>39.75</v>
      </c>
      <c r="J66">
        <v>266.5</v>
      </c>
      <c r="K66">
        <v>94</v>
      </c>
      <c r="L66">
        <v>22.65</v>
      </c>
      <c r="M66">
        <v>212.7</v>
      </c>
      <c r="N66">
        <v>104</v>
      </c>
      <c r="O66">
        <v>9.57</v>
      </c>
      <c r="P66">
        <v>7.6</v>
      </c>
      <c r="Q66">
        <v>3</v>
      </c>
      <c r="R66">
        <v>2.0499999999999998</v>
      </c>
      <c r="S66">
        <v>2</v>
      </c>
      <c r="T66" t="b">
        <v>0</v>
      </c>
      <c r="U66">
        <f>IFERROR(SUM(Table1[[#This Row],[Total day minutes]],Table1[[#This Row],[Total eve minutes]],Table1[[#This Row],[Total night minutes]],Table1[[#This Row],[Total intl minutes]]),0)</f>
        <v>720.6</v>
      </c>
      <c r="V66">
        <f>SUM(Table1[[#This Row],[Total intl charge]],Table1[[#This Row],[Total night charge]],Table1[[#This Row],[Total eve charge]],Table1[[#This Row],[Total day charge]])</f>
        <v>74.02</v>
      </c>
      <c r="W66">
        <f>SUM(Table1[[#This Row],[Total intl calls]],Table1[[#This Row],[Total night calls]],Table1[[#This Row],[Total eve calls]],Table1[[#This Row],[Total day calls]])</f>
        <v>305</v>
      </c>
      <c r="X66" t="str" cm="1">
        <f t="array" ref="X66">_xlfn.IFS(Table1[[#This Row],[Customer service calls]]&gt;=4,"High risk",Table1[[#This Row],[Customer service calls]]&gt;=2,"Medium risk",TRUE,"Low risk")</f>
        <v>Medium risk</v>
      </c>
      <c r="Y66" t="str" cm="1">
        <f t="array" ref="Y66">IFERROR(_xlfn.IFS(Table1[[#This Row],[Total usage(Min)]]&gt;=AVERAGE(U:U)*1.1,"High risk",Table1[[#This Row],[Total usage(Min)]]&lt;= AVERAGE(U:U)*0.9,"Low risk",TRUE,"Medium risk"),"N/A")</f>
        <v>High risk</v>
      </c>
      <c r="Z66" t="str" cm="1">
        <f t="array" ref="Z66">IFERROR(_xlfn.IFS(Table1[[#This Row],[Total charges]]&gt;=AVERAGE(V:V)*1.1,"High risk",Table1[[#This Row],[Total charges]]&lt;=AVERAGE(V:V)*0.9,"Low risk",TRUE,"Medium risk"),"N/A")</f>
        <v>High risk</v>
      </c>
      <c r="AA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 t="str" cm="1">
        <f t="array" ref="AC66">_xlfn.IFS(
AND(Table1[[#This Row],[Customer service risk level]]="High risk", Table1[[#This Row],[Intl usage behaviour]]="Unplanned Usage"),"High Risk",
OR(Table1[[#This Row],[Customer service risk level]]="Medium risk", Table1[[#This Row],[Charges risk level]]="High risk "),"Medium Risk",
TRUE,"Low Risk"
)</f>
        <v>Medium Risk</v>
      </c>
    </row>
    <row r="67" spans="1:29" x14ac:dyDescent="0.25">
      <c r="A67" t="s">
        <v>49</v>
      </c>
      <c r="B67">
        <v>64</v>
      </c>
      <c r="C67">
        <v>408</v>
      </c>
      <c r="D67" t="s">
        <v>27</v>
      </c>
      <c r="E67" t="s">
        <v>21</v>
      </c>
      <c r="F67">
        <v>0</v>
      </c>
      <c r="G67">
        <v>236.2</v>
      </c>
      <c r="H67">
        <v>77</v>
      </c>
      <c r="I67">
        <v>40.15</v>
      </c>
      <c r="J67">
        <v>218.6</v>
      </c>
      <c r="K67">
        <v>85</v>
      </c>
      <c r="L67">
        <v>18.579999999999998</v>
      </c>
      <c r="M67">
        <v>194.1</v>
      </c>
      <c r="N67">
        <v>97</v>
      </c>
      <c r="O67">
        <v>8.73</v>
      </c>
      <c r="P67">
        <v>13.2</v>
      </c>
      <c r="Q67">
        <v>2</v>
      </c>
      <c r="R67">
        <v>3.56</v>
      </c>
      <c r="S67">
        <v>2</v>
      </c>
      <c r="T67" t="b">
        <v>1</v>
      </c>
      <c r="U67">
        <f>IFERROR(SUM(Table1[[#This Row],[Total day minutes]],Table1[[#This Row],[Total eve minutes]],Table1[[#This Row],[Total night minutes]],Table1[[#This Row],[Total intl minutes]]),0)</f>
        <v>662.1</v>
      </c>
      <c r="V67">
        <f>SUM(Table1[[#This Row],[Total intl charge]],Table1[[#This Row],[Total night charge]],Table1[[#This Row],[Total eve charge]],Table1[[#This Row],[Total day charge]])</f>
        <v>71.02</v>
      </c>
      <c r="W67">
        <f>SUM(Table1[[#This Row],[Total intl calls]],Table1[[#This Row],[Total night calls]],Table1[[#This Row],[Total eve calls]],Table1[[#This Row],[Total day calls]])</f>
        <v>261</v>
      </c>
      <c r="X67" t="str" cm="1">
        <f t="array" ref="X67">_xlfn.IFS(Table1[[#This Row],[Customer service calls]]&gt;=4,"High risk",Table1[[#This Row],[Customer service calls]]&gt;=2,"Medium risk",TRUE,"Low risk")</f>
        <v>Medium risk</v>
      </c>
      <c r="Y67" t="str" cm="1">
        <f t="array" ref="Y67">IFERROR(_xlfn.IFS(Table1[[#This Row],[Total usage(Min)]]&gt;=AVERAGE(U:U)*1.1,"High risk",Table1[[#This Row],[Total usage(Min)]]&lt;= AVERAGE(U:U)*0.9,"Low risk",TRUE,"Medium risk"),"N/A")</f>
        <v>High risk</v>
      </c>
      <c r="Z67" t="str" cm="1">
        <f t="array" ref="Z67">IFERROR(_xlfn.IFS(Table1[[#This Row],[Total charges]]&gt;=AVERAGE(V:V)*1.1,"High risk",Table1[[#This Row],[Total charges]]&lt;=AVERAGE(V:V)*0.9,"Low risk",TRUE,"Medium risk"),"N/A")</f>
        <v>High risk</v>
      </c>
      <c r="AA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6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7" t="str" cm="1">
        <f t="array" ref="AC67">_xlfn.IFS(
AND(Table1[[#This Row],[Customer service risk level]]="High risk", Table1[[#This Row],[Intl usage behaviour]]="Unplanned Usage"),"High Risk",
OR(Table1[[#This Row],[Customer service risk level]]="Medium risk", Table1[[#This Row],[Charges risk level]]="High risk "),"Medium Risk",
TRUE,"Low Risk"
)</f>
        <v>Medium Risk</v>
      </c>
    </row>
    <row r="68" spans="1:29" x14ac:dyDescent="0.25">
      <c r="A68" t="s">
        <v>39</v>
      </c>
      <c r="B68">
        <v>124</v>
      </c>
      <c r="C68">
        <v>408</v>
      </c>
      <c r="D68" t="s">
        <v>27</v>
      </c>
      <c r="E68" t="s">
        <v>21</v>
      </c>
      <c r="F68">
        <v>0</v>
      </c>
      <c r="G68">
        <v>244.6</v>
      </c>
      <c r="H68">
        <v>89</v>
      </c>
      <c r="I68">
        <v>41.58</v>
      </c>
      <c r="J68">
        <v>188.8</v>
      </c>
      <c r="K68">
        <v>80</v>
      </c>
      <c r="L68">
        <v>16.05</v>
      </c>
      <c r="M68">
        <v>206</v>
      </c>
      <c r="N68">
        <v>114</v>
      </c>
      <c r="O68">
        <v>9.27</v>
      </c>
      <c r="P68">
        <v>11.3</v>
      </c>
      <c r="Q68">
        <v>4</v>
      </c>
      <c r="R68">
        <v>3.05</v>
      </c>
      <c r="S68">
        <v>1</v>
      </c>
      <c r="T68" t="b">
        <v>0</v>
      </c>
      <c r="U68">
        <f>IFERROR(SUM(Table1[[#This Row],[Total day minutes]],Table1[[#This Row],[Total eve minutes]],Table1[[#This Row],[Total night minutes]],Table1[[#This Row],[Total intl minutes]]),0)</f>
        <v>650.69999999999993</v>
      </c>
      <c r="V68">
        <f>SUM(Table1[[#This Row],[Total intl charge]],Table1[[#This Row],[Total night charge]],Table1[[#This Row],[Total eve charge]],Table1[[#This Row],[Total day charge]])</f>
        <v>69.95</v>
      </c>
      <c r="W68">
        <f>SUM(Table1[[#This Row],[Total intl calls]],Table1[[#This Row],[Total night calls]],Table1[[#This Row],[Total eve calls]],Table1[[#This Row],[Total day calls]])</f>
        <v>287</v>
      </c>
      <c r="X68" t="str" cm="1">
        <f t="array" ref="X68">_xlfn.IFS(Table1[[#This Row],[Customer service calls]]&gt;=4,"High risk",Table1[[#This Row],[Customer service calls]]&gt;=2,"Medium risk",TRUE,"Low risk")</f>
        <v>Low risk</v>
      </c>
      <c r="Y68" t="str" cm="1">
        <f t="array" ref="Y68">IFERROR(_xlfn.IFS(Table1[[#This Row],[Total usage(Min)]]&gt;=AVERAGE(U:U)*1.1,"High risk",Table1[[#This Row],[Total usage(Min)]]&lt;= AVERAGE(U:U)*0.9,"Low risk",TRUE,"Medium risk"),"N/A")</f>
        <v>Medium risk</v>
      </c>
      <c r="Z68" t="str" cm="1">
        <f t="array" ref="Z68">IFERROR(_xlfn.IFS(Table1[[#This Row],[Total charges]]&gt;=AVERAGE(V:V)*1.1,"High risk",Table1[[#This Row],[Total charges]]&lt;=AVERAGE(V:V)*0.9,"Low risk",TRUE,"Medium risk"),"N/A")</f>
        <v>High risk</v>
      </c>
      <c r="AA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6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8" t="str" cm="1">
        <f t="array" ref="AC68">_xlfn.IFS(
AND(Table1[[#This Row],[Customer service risk level]]="High risk", Table1[[#This Row],[Intl usage behaviour]]="Unplanned Usage"),"High Risk",
OR(Table1[[#This Row],[Customer service risk level]]="Medium risk", Table1[[#This Row],[Charges risk level]]="High risk "),"Medium Risk",
TRUE,"Low Risk"
)</f>
        <v>Low Risk</v>
      </c>
    </row>
    <row r="69" spans="1:29" x14ac:dyDescent="0.25">
      <c r="A69" t="s">
        <v>58</v>
      </c>
      <c r="B69">
        <v>148</v>
      </c>
      <c r="C69">
        <v>415</v>
      </c>
      <c r="D69" t="s">
        <v>21</v>
      </c>
      <c r="E69" t="s">
        <v>21</v>
      </c>
      <c r="F69">
        <v>0</v>
      </c>
      <c r="G69">
        <v>124.4</v>
      </c>
      <c r="H69">
        <v>83</v>
      </c>
      <c r="I69">
        <v>21.15</v>
      </c>
      <c r="J69">
        <v>179.7</v>
      </c>
      <c r="K69">
        <v>81</v>
      </c>
      <c r="L69">
        <v>15.27</v>
      </c>
      <c r="M69">
        <v>253</v>
      </c>
      <c r="N69">
        <v>99</v>
      </c>
      <c r="O69">
        <v>11.39</v>
      </c>
      <c r="P69">
        <v>11.3</v>
      </c>
      <c r="Q69">
        <v>6</v>
      </c>
      <c r="R69">
        <v>3.05</v>
      </c>
      <c r="S69">
        <v>0</v>
      </c>
      <c r="T69" t="b">
        <v>0</v>
      </c>
      <c r="U69">
        <f>IFERROR(SUM(Table1[[#This Row],[Total day minutes]],Table1[[#This Row],[Total eve minutes]],Table1[[#This Row],[Total night minutes]],Table1[[#This Row],[Total intl minutes]]),0)</f>
        <v>568.4</v>
      </c>
      <c r="V69">
        <f>SUM(Table1[[#This Row],[Total intl charge]],Table1[[#This Row],[Total night charge]],Table1[[#This Row],[Total eve charge]],Table1[[#This Row],[Total day charge]])</f>
        <v>50.86</v>
      </c>
      <c r="W69">
        <f>SUM(Table1[[#This Row],[Total intl calls]],Table1[[#This Row],[Total night calls]],Table1[[#This Row],[Total eve calls]],Table1[[#This Row],[Total day calls]])</f>
        <v>269</v>
      </c>
      <c r="X69" t="str" cm="1">
        <f t="array" ref="X69">_xlfn.IFS(Table1[[#This Row],[Customer service calls]]&gt;=4,"High risk",Table1[[#This Row],[Customer service calls]]&gt;=2,"Medium risk",TRUE,"Low risk")</f>
        <v>Low risk</v>
      </c>
      <c r="Y69" t="str" cm="1">
        <f t="array" ref="Y69">IFERROR(_xlfn.IFS(Table1[[#This Row],[Total usage(Min)]]&gt;=AVERAGE(U:U)*1.1,"High risk",Table1[[#This Row],[Total usage(Min)]]&lt;= AVERAGE(U:U)*0.9,"Low risk",TRUE,"Medium risk"),"N/A")</f>
        <v>Medium risk</v>
      </c>
      <c r="Z69" t="str" cm="1">
        <f t="array" ref="Z69">IFERROR(_xlfn.IFS(Table1[[#This Row],[Total charges]]&gt;=AVERAGE(V:V)*1.1,"High risk",Table1[[#This Row],[Total charges]]&lt;=AVERAGE(V:V)*0.9,"Low risk",TRUE,"Medium risk"),"N/A")</f>
        <v>Low risk</v>
      </c>
      <c r="AA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9" t="str" cm="1">
        <f t="array" ref="AC69">_xlfn.IFS(
AND(Table1[[#This Row],[Customer service risk level]]="High risk", Table1[[#This Row],[Intl usage behaviour]]="Unplanned Usage"),"High Risk",
OR(Table1[[#This Row],[Customer service risk level]]="Medium risk", Table1[[#This Row],[Charges risk level]]="High risk "),"Medium Risk",
TRUE,"Low Risk"
)</f>
        <v>Low Risk</v>
      </c>
    </row>
    <row r="70" spans="1:29" x14ac:dyDescent="0.25">
      <c r="A70" t="s">
        <v>49</v>
      </c>
      <c r="B70">
        <v>77</v>
      </c>
      <c r="C70">
        <v>408</v>
      </c>
      <c r="D70" t="s">
        <v>21</v>
      </c>
      <c r="E70" t="s">
        <v>21</v>
      </c>
      <c r="F70">
        <v>0</v>
      </c>
      <c r="G70">
        <v>230</v>
      </c>
      <c r="H70">
        <v>87</v>
      </c>
      <c r="I70">
        <v>39.1</v>
      </c>
      <c r="J70">
        <v>103.2</v>
      </c>
      <c r="K70">
        <v>138</v>
      </c>
      <c r="L70">
        <v>8.77</v>
      </c>
      <c r="M70">
        <v>309.60000000000002</v>
      </c>
      <c r="N70">
        <v>136</v>
      </c>
      <c r="O70">
        <v>13.93</v>
      </c>
      <c r="P70">
        <v>11.3</v>
      </c>
      <c r="Q70">
        <v>3</v>
      </c>
      <c r="R70">
        <v>3.05</v>
      </c>
      <c r="S70">
        <v>2</v>
      </c>
      <c r="T70" t="b">
        <v>0</v>
      </c>
      <c r="U70">
        <f>IFERROR(SUM(Table1[[#This Row],[Total day minutes]],Table1[[#This Row],[Total eve minutes]],Table1[[#This Row],[Total night minutes]],Table1[[#This Row],[Total intl minutes]]),0)</f>
        <v>654.09999999999991</v>
      </c>
      <c r="V70">
        <f>SUM(Table1[[#This Row],[Total intl charge]],Table1[[#This Row],[Total night charge]],Table1[[#This Row],[Total eve charge]],Table1[[#This Row],[Total day charge]])</f>
        <v>64.849999999999994</v>
      </c>
      <c r="W70">
        <f>SUM(Table1[[#This Row],[Total intl calls]],Table1[[#This Row],[Total night calls]],Table1[[#This Row],[Total eve calls]],Table1[[#This Row],[Total day calls]])</f>
        <v>364</v>
      </c>
      <c r="X70" t="str" cm="1">
        <f t="array" ref="X70">_xlfn.IFS(Table1[[#This Row],[Customer service calls]]&gt;=4,"High risk",Table1[[#This Row],[Customer service calls]]&gt;=2,"Medium risk",TRUE,"Low risk")</f>
        <v>Medium risk</v>
      </c>
      <c r="Y70" t="str" cm="1">
        <f t="array" ref="Y70">IFERROR(_xlfn.IFS(Table1[[#This Row],[Total usage(Min)]]&gt;=AVERAGE(U:U)*1.1,"High risk",Table1[[#This Row],[Total usage(Min)]]&lt;= AVERAGE(U:U)*0.9,"Low risk",TRUE,"Medium risk"),"N/A")</f>
        <v>High risk</v>
      </c>
      <c r="Z70" t="str" cm="1">
        <f t="array" ref="Z70">IFERROR(_xlfn.IFS(Table1[[#This Row],[Total charges]]&gt;=AVERAGE(V:V)*1.1,"High risk",Table1[[#This Row],[Total charges]]&lt;=AVERAGE(V:V)*0.9,"Low risk",TRUE,"Medium risk"),"N/A")</f>
        <v>Medium risk</v>
      </c>
      <c r="AA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0" t="str" cm="1">
        <f t="array" ref="AC70">_xlfn.IFS(
AND(Table1[[#This Row],[Customer service risk level]]="High risk", Table1[[#This Row],[Intl usage behaviour]]="Unplanned Usage"),"High Risk",
OR(Table1[[#This Row],[Customer service risk level]]="Medium risk", Table1[[#This Row],[Charges risk level]]="High risk "),"Medium Risk",
TRUE,"Low Risk"
)</f>
        <v>Medium Risk</v>
      </c>
    </row>
    <row r="71" spans="1:29" x14ac:dyDescent="0.25">
      <c r="A71" t="s">
        <v>53</v>
      </c>
      <c r="B71">
        <v>135</v>
      </c>
      <c r="C71">
        <v>415</v>
      </c>
      <c r="D71" t="s">
        <v>21</v>
      </c>
      <c r="E71" t="s">
        <v>21</v>
      </c>
      <c r="F71">
        <v>0</v>
      </c>
      <c r="G71">
        <v>201.8</v>
      </c>
      <c r="H71">
        <v>81</v>
      </c>
      <c r="I71">
        <v>34.31</v>
      </c>
      <c r="J71">
        <v>225</v>
      </c>
      <c r="K71">
        <v>114</v>
      </c>
      <c r="L71">
        <v>19.13</v>
      </c>
      <c r="M71">
        <v>204.4</v>
      </c>
      <c r="N71">
        <v>82</v>
      </c>
      <c r="O71">
        <v>9.1999999999999993</v>
      </c>
      <c r="P71">
        <v>10.3</v>
      </c>
      <c r="Q71">
        <v>6</v>
      </c>
      <c r="R71">
        <v>2.78</v>
      </c>
      <c r="S71">
        <v>1</v>
      </c>
      <c r="T71" t="b">
        <v>0</v>
      </c>
      <c r="U71">
        <f>IFERROR(SUM(Table1[[#This Row],[Total day minutes]],Table1[[#This Row],[Total eve minutes]],Table1[[#This Row],[Total night minutes]],Table1[[#This Row],[Total intl minutes]]),0)</f>
        <v>641.5</v>
      </c>
      <c r="V71">
        <f>SUM(Table1[[#This Row],[Total intl charge]],Table1[[#This Row],[Total night charge]],Table1[[#This Row],[Total eve charge]],Table1[[#This Row],[Total day charge]])</f>
        <v>65.42</v>
      </c>
      <c r="W71">
        <f>SUM(Table1[[#This Row],[Total intl calls]],Table1[[#This Row],[Total night calls]],Table1[[#This Row],[Total eve calls]],Table1[[#This Row],[Total day calls]])</f>
        <v>283</v>
      </c>
      <c r="X71" t="str" cm="1">
        <f t="array" ref="X71">_xlfn.IFS(Table1[[#This Row],[Customer service calls]]&gt;=4,"High risk",Table1[[#This Row],[Customer service calls]]&gt;=2,"Medium risk",TRUE,"Low risk")</f>
        <v>Low risk</v>
      </c>
      <c r="Y71" t="str" cm="1">
        <f t="array" ref="Y71">IFERROR(_xlfn.IFS(Table1[[#This Row],[Total usage(Min)]]&gt;=AVERAGE(U:U)*1.1,"High risk",Table1[[#This Row],[Total usage(Min)]]&lt;= AVERAGE(U:U)*0.9,"Low risk",TRUE,"Medium risk"),"N/A")</f>
        <v>Medium risk</v>
      </c>
      <c r="Z71" t="str" cm="1">
        <f t="array" ref="Z71">IFERROR(_xlfn.IFS(Table1[[#This Row],[Total charges]]&gt;=AVERAGE(V:V)*1.1,"High risk",Table1[[#This Row],[Total charges]]&lt;=AVERAGE(V:V)*0.9,"Low risk",TRUE,"Medium risk"),"N/A")</f>
        <v>Medium risk</v>
      </c>
      <c r="AA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1" t="str" cm="1">
        <f t="array" ref="AC71">_xlfn.IFS(
AND(Table1[[#This Row],[Customer service risk level]]="High risk", Table1[[#This Row],[Intl usage behaviour]]="Unplanned Usage"),"High Risk",
OR(Table1[[#This Row],[Customer service risk level]]="Medium risk", Table1[[#This Row],[Charges risk level]]="High risk "),"Medium Risk",
TRUE,"Low Risk"
)</f>
        <v>Low Risk</v>
      </c>
    </row>
    <row r="72" spans="1:29" x14ac:dyDescent="0.25">
      <c r="A72" t="s">
        <v>54</v>
      </c>
      <c r="B72">
        <v>87</v>
      </c>
      <c r="C72">
        <v>415</v>
      </c>
      <c r="D72" t="s">
        <v>21</v>
      </c>
      <c r="E72" t="s">
        <v>27</v>
      </c>
      <c r="F72">
        <v>21</v>
      </c>
      <c r="G72">
        <v>214</v>
      </c>
      <c r="H72">
        <v>113</v>
      </c>
      <c r="I72">
        <v>36.380000000000003</v>
      </c>
      <c r="J72">
        <v>180</v>
      </c>
      <c r="K72">
        <v>114</v>
      </c>
      <c r="L72">
        <v>15.3</v>
      </c>
      <c r="M72">
        <v>134.5</v>
      </c>
      <c r="N72">
        <v>82</v>
      </c>
      <c r="O72">
        <v>6.05</v>
      </c>
      <c r="P72">
        <v>10.6</v>
      </c>
      <c r="Q72">
        <v>5</v>
      </c>
      <c r="R72">
        <v>2.86</v>
      </c>
      <c r="S72">
        <v>0</v>
      </c>
      <c r="T72" t="b">
        <v>0</v>
      </c>
      <c r="U72">
        <f>IFERROR(SUM(Table1[[#This Row],[Total day minutes]],Table1[[#This Row],[Total eve minutes]],Table1[[#This Row],[Total night minutes]],Table1[[#This Row],[Total intl minutes]]),0)</f>
        <v>539.1</v>
      </c>
      <c r="V72">
        <f>SUM(Table1[[#This Row],[Total intl charge]],Table1[[#This Row],[Total night charge]],Table1[[#This Row],[Total eve charge]],Table1[[#This Row],[Total day charge]])</f>
        <v>60.59</v>
      </c>
      <c r="W72">
        <f>SUM(Table1[[#This Row],[Total intl calls]],Table1[[#This Row],[Total night calls]],Table1[[#This Row],[Total eve calls]],Table1[[#This Row],[Total day calls]])</f>
        <v>314</v>
      </c>
      <c r="X72" t="str" cm="1">
        <f t="array" ref="X72">_xlfn.IFS(Table1[[#This Row],[Customer service calls]]&gt;=4,"High risk",Table1[[#This Row],[Customer service calls]]&gt;=2,"Medium risk",TRUE,"Low risk")</f>
        <v>Low risk</v>
      </c>
      <c r="Y72" t="str" cm="1">
        <f t="array" ref="Y72">IFERROR(_xlfn.IFS(Table1[[#This Row],[Total usage(Min)]]&gt;=AVERAGE(U:U)*1.1,"High risk",Table1[[#This Row],[Total usage(Min)]]&lt;= AVERAGE(U:U)*0.9,"Low risk",TRUE,"Medium risk"),"N/A")</f>
        <v>Medium risk</v>
      </c>
      <c r="Z72" t="str" cm="1">
        <f t="array" ref="Z72">IFERROR(_xlfn.IFS(Table1[[#This Row],[Total charges]]&gt;=AVERAGE(V:V)*1.1,"High risk",Table1[[#This Row],[Total charges]]&lt;=AVERAGE(V:V)*0.9,"Low risk",TRUE,"Medium risk"),"N/A")</f>
        <v>Medium risk</v>
      </c>
      <c r="AA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72" t="str" cm="1">
        <f t="array" ref="AC72">_xlfn.IFS(
AND(Table1[[#This Row],[Customer service risk level]]="High risk", Table1[[#This Row],[Intl usage behaviour]]="Unplanned Usage"),"High Risk",
OR(Table1[[#This Row],[Customer service risk level]]="Medium risk", Table1[[#This Row],[Charges risk level]]="High risk "),"Medium Risk",
TRUE,"Low Risk"
)</f>
        <v>Low Risk</v>
      </c>
    </row>
    <row r="73" spans="1:29" x14ac:dyDescent="0.25">
      <c r="A73" t="s">
        <v>45</v>
      </c>
      <c r="B73">
        <v>54</v>
      </c>
      <c r="C73">
        <v>510</v>
      </c>
      <c r="D73" t="s">
        <v>21</v>
      </c>
      <c r="E73" t="s">
        <v>21</v>
      </c>
      <c r="F73">
        <v>0</v>
      </c>
      <c r="G73">
        <v>210.5</v>
      </c>
      <c r="H73">
        <v>102</v>
      </c>
      <c r="I73">
        <v>35.79</v>
      </c>
      <c r="J73">
        <v>204.5</v>
      </c>
      <c r="K73">
        <v>83</v>
      </c>
      <c r="L73">
        <v>17.38</v>
      </c>
      <c r="M73">
        <v>127.8</v>
      </c>
      <c r="N73">
        <v>53</v>
      </c>
      <c r="O73">
        <v>5.75</v>
      </c>
      <c r="P73">
        <v>8.5</v>
      </c>
      <c r="Q73">
        <v>5</v>
      </c>
      <c r="R73">
        <v>2.2999999999999998</v>
      </c>
      <c r="S73">
        <v>1</v>
      </c>
      <c r="T73" t="b">
        <v>0</v>
      </c>
      <c r="U73">
        <f>IFERROR(SUM(Table1[[#This Row],[Total day minutes]],Table1[[#This Row],[Total eve minutes]],Table1[[#This Row],[Total night minutes]],Table1[[#This Row],[Total intl minutes]]),0)</f>
        <v>551.29999999999995</v>
      </c>
      <c r="V73">
        <f>SUM(Table1[[#This Row],[Total intl charge]],Table1[[#This Row],[Total night charge]],Table1[[#This Row],[Total eve charge]],Table1[[#This Row],[Total day charge]])</f>
        <v>61.22</v>
      </c>
      <c r="W73">
        <f>SUM(Table1[[#This Row],[Total intl calls]],Table1[[#This Row],[Total night calls]],Table1[[#This Row],[Total eve calls]],Table1[[#This Row],[Total day calls]])</f>
        <v>243</v>
      </c>
      <c r="X73" t="str" cm="1">
        <f t="array" ref="X73">_xlfn.IFS(Table1[[#This Row],[Customer service calls]]&gt;=4,"High risk",Table1[[#This Row],[Customer service calls]]&gt;=2,"Medium risk",TRUE,"Low risk")</f>
        <v>Low risk</v>
      </c>
      <c r="Y73" t="str" cm="1">
        <f t="array" ref="Y73">IFERROR(_xlfn.IFS(Table1[[#This Row],[Total usage(Min)]]&gt;=AVERAGE(U:U)*1.1,"High risk",Table1[[#This Row],[Total usage(Min)]]&lt;= AVERAGE(U:U)*0.9,"Low risk",TRUE,"Medium risk"),"N/A")</f>
        <v>Medium risk</v>
      </c>
      <c r="Z73" t="str" cm="1">
        <f t="array" ref="Z73">IFERROR(_xlfn.IFS(Table1[[#This Row],[Total charges]]&gt;=AVERAGE(V:V)*1.1,"High risk",Table1[[#This Row],[Total charges]]&lt;=AVERAGE(V:V)*0.9,"Low risk",TRUE,"Medium risk"),"N/A")</f>
        <v>Medium risk</v>
      </c>
      <c r="AA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3" t="str" cm="1">
        <f t="array" ref="AC73">_xlfn.IFS(
AND(Table1[[#This Row],[Customer service risk level]]="High risk", Table1[[#This Row],[Intl usage behaviour]]="Unplanned Usage"),"High Risk",
OR(Table1[[#This Row],[Customer service risk level]]="Medium risk", Table1[[#This Row],[Charges risk level]]="High risk "),"Medium Risk",
TRUE,"Low Risk"
)</f>
        <v>Low Risk</v>
      </c>
    </row>
    <row r="74" spans="1:29" x14ac:dyDescent="0.25">
      <c r="A74" t="s">
        <v>35</v>
      </c>
      <c r="B74">
        <v>35</v>
      </c>
      <c r="C74">
        <v>415</v>
      </c>
      <c r="D74" t="s">
        <v>21</v>
      </c>
      <c r="E74" t="s">
        <v>21</v>
      </c>
      <c r="F74">
        <v>0</v>
      </c>
      <c r="G74">
        <v>105.6</v>
      </c>
      <c r="H74">
        <v>129</v>
      </c>
      <c r="I74">
        <v>17.95</v>
      </c>
      <c r="J74">
        <v>258.2</v>
      </c>
      <c r="K74">
        <v>129</v>
      </c>
      <c r="L74">
        <v>21.95</v>
      </c>
      <c r="M74">
        <v>213.1</v>
      </c>
      <c r="N74">
        <v>77</v>
      </c>
      <c r="O74">
        <v>9.59</v>
      </c>
      <c r="P74">
        <v>8.6999999999999993</v>
      </c>
      <c r="Q74">
        <v>3</v>
      </c>
      <c r="R74">
        <v>2.35</v>
      </c>
      <c r="S74">
        <v>0</v>
      </c>
      <c r="T74" t="b">
        <v>0</v>
      </c>
      <c r="U74">
        <f>IFERROR(SUM(Table1[[#This Row],[Total day minutes]],Table1[[#This Row],[Total eve minutes]],Table1[[#This Row],[Total night minutes]],Table1[[#This Row],[Total intl minutes]]),0)</f>
        <v>585.6</v>
      </c>
      <c r="V74">
        <f>SUM(Table1[[#This Row],[Total intl charge]],Table1[[#This Row],[Total night charge]],Table1[[#This Row],[Total eve charge]],Table1[[#This Row],[Total day charge]])</f>
        <v>51.84</v>
      </c>
      <c r="W74">
        <f>SUM(Table1[[#This Row],[Total intl calls]],Table1[[#This Row],[Total night calls]],Table1[[#This Row],[Total eve calls]],Table1[[#This Row],[Total day calls]])</f>
        <v>338</v>
      </c>
      <c r="X74" t="str" cm="1">
        <f t="array" ref="X74">_xlfn.IFS(Table1[[#This Row],[Customer service calls]]&gt;=4,"High risk",Table1[[#This Row],[Customer service calls]]&gt;=2,"Medium risk",TRUE,"Low risk")</f>
        <v>Low risk</v>
      </c>
      <c r="Y74" t="str" cm="1">
        <f t="array" ref="Y74">IFERROR(_xlfn.IFS(Table1[[#This Row],[Total usage(Min)]]&gt;=AVERAGE(U:U)*1.1,"High risk",Table1[[#This Row],[Total usage(Min)]]&lt;= AVERAGE(U:U)*0.9,"Low risk",TRUE,"Medium risk"),"N/A")</f>
        <v>Medium risk</v>
      </c>
      <c r="Z74" t="str" cm="1">
        <f t="array" ref="Z74">IFERROR(_xlfn.IFS(Table1[[#This Row],[Total charges]]&gt;=AVERAGE(V:V)*1.1,"High risk",Table1[[#This Row],[Total charges]]&lt;=AVERAGE(V:V)*0.9,"Low risk",TRUE,"Medium risk"),"N/A")</f>
        <v>Low risk</v>
      </c>
      <c r="AA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4" t="str" cm="1">
        <f t="array" ref="AC74">_xlfn.IFS(
AND(Table1[[#This Row],[Customer service risk level]]="High risk", Table1[[#This Row],[Intl usage behaviour]]="Unplanned Usage"),"High Risk",
OR(Table1[[#This Row],[Customer service risk level]]="Medium risk", Table1[[#This Row],[Charges risk level]]="High risk "),"Medium Risk",
TRUE,"Low Risk"
)</f>
        <v>Low Risk</v>
      </c>
    </row>
    <row r="75" spans="1:29" x14ac:dyDescent="0.25">
      <c r="A75" t="s">
        <v>48</v>
      </c>
      <c r="B75">
        <v>84</v>
      </c>
      <c r="C75">
        <v>408</v>
      </c>
      <c r="D75" t="s">
        <v>21</v>
      </c>
      <c r="E75" t="s">
        <v>21</v>
      </c>
      <c r="F75">
        <v>0</v>
      </c>
      <c r="G75">
        <v>138.6</v>
      </c>
      <c r="H75">
        <v>102</v>
      </c>
      <c r="I75">
        <v>23.56</v>
      </c>
      <c r="J75">
        <v>199</v>
      </c>
      <c r="K75">
        <v>93</v>
      </c>
      <c r="L75">
        <v>16.920000000000002</v>
      </c>
      <c r="M75">
        <v>204.1</v>
      </c>
      <c r="N75">
        <v>137</v>
      </c>
      <c r="O75">
        <v>9.18</v>
      </c>
      <c r="P75">
        <v>7.8</v>
      </c>
      <c r="Q75">
        <v>4</v>
      </c>
      <c r="R75">
        <v>2.11</v>
      </c>
      <c r="S75">
        <v>0</v>
      </c>
      <c r="T75" t="b">
        <v>0</v>
      </c>
      <c r="U75">
        <f>IFERROR(SUM(Table1[[#This Row],[Total day minutes]],Table1[[#This Row],[Total eve minutes]],Table1[[#This Row],[Total night minutes]],Table1[[#This Row],[Total intl minutes]]),0)</f>
        <v>549.5</v>
      </c>
      <c r="V75">
        <f>SUM(Table1[[#This Row],[Total intl charge]],Table1[[#This Row],[Total night charge]],Table1[[#This Row],[Total eve charge]],Table1[[#This Row],[Total day charge]])</f>
        <v>51.769999999999996</v>
      </c>
      <c r="W75">
        <f>SUM(Table1[[#This Row],[Total intl calls]],Table1[[#This Row],[Total night calls]],Table1[[#This Row],[Total eve calls]],Table1[[#This Row],[Total day calls]])</f>
        <v>336</v>
      </c>
      <c r="X75" t="str" cm="1">
        <f t="array" ref="X75">_xlfn.IFS(Table1[[#This Row],[Customer service calls]]&gt;=4,"High risk",Table1[[#This Row],[Customer service calls]]&gt;=2,"Medium risk",TRUE,"Low risk")</f>
        <v>Low risk</v>
      </c>
      <c r="Y75" t="str" cm="1">
        <f t="array" ref="Y75">IFERROR(_xlfn.IFS(Table1[[#This Row],[Total usage(Min)]]&gt;=AVERAGE(U:U)*1.1,"High risk",Table1[[#This Row],[Total usage(Min)]]&lt;= AVERAGE(U:U)*0.9,"Low risk",TRUE,"Medium risk"),"N/A")</f>
        <v>Medium risk</v>
      </c>
      <c r="Z75" t="str" cm="1">
        <f t="array" ref="Z75">IFERROR(_xlfn.IFS(Table1[[#This Row],[Total charges]]&gt;=AVERAGE(V:V)*1.1,"High risk",Table1[[#This Row],[Total charges]]&lt;=AVERAGE(V:V)*0.9,"Low risk",TRUE,"Medium risk"),"N/A")</f>
        <v>Low risk</v>
      </c>
      <c r="AA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5" t="str" cm="1">
        <f t="array" ref="AC75">_xlfn.IFS(
AND(Table1[[#This Row],[Customer service risk level]]="High risk", Table1[[#This Row],[Intl usage behaviour]]="Unplanned Usage"),"High Risk",
OR(Table1[[#This Row],[Customer service risk level]]="Medium risk", Table1[[#This Row],[Charges risk level]]="High risk "),"Medium Risk",
TRUE,"Low Risk"
)</f>
        <v>Low Risk</v>
      </c>
    </row>
    <row r="76" spans="1:29" x14ac:dyDescent="0.25">
      <c r="A76" t="s">
        <v>47</v>
      </c>
      <c r="B76">
        <v>94</v>
      </c>
      <c r="C76">
        <v>415</v>
      </c>
      <c r="D76" t="s">
        <v>21</v>
      </c>
      <c r="E76" t="s">
        <v>21</v>
      </c>
      <c r="F76">
        <v>0</v>
      </c>
      <c r="G76">
        <v>234.4</v>
      </c>
      <c r="H76">
        <v>103</v>
      </c>
      <c r="I76">
        <v>39.85</v>
      </c>
      <c r="J76">
        <v>279.3</v>
      </c>
      <c r="K76">
        <v>109</v>
      </c>
      <c r="L76">
        <v>23.74</v>
      </c>
      <c r="M76">
        <v>234.2</v>
      </c>
      <c r="N76">
        <v>121</v>
      </c>
      <c r="O76">
        <v>10.54</v>
      </c>
      <c r="P76">
        <v>2</v>
      </c>
      <c r="Q76">
        <v>2</v>
      </c>
      <c r="R76">
        <v>0.54</v>
      </c>
      <c r="S76">
        <v>1</v>
      </c>
      <c r="T76" t="b">
        <v>1</v>
      </c>
      <c r="U76">
        <f>IFERROR(SUM(Table1[[#This Row],[Total day minutes]],Table1[[#This Row],[Total eve minutes]],Table1[[#This Row],[Total night minutes]],Table1[[#This Row],[Total intl minutes]]),0)</f>
        <v>749.90000000000009</v>
      </c>
      <c r="V76">
        <f>SUM(Table1[[#This Row],[Total intl charge]],Table1[[#This Row],[Total night charge]],Table1[[#This Row],[Total eve charge]],Table1[[#This Row],[Total day charge]])</f>
        <v>74.669999999999987</v>
      </c>
      <c r="W76">
        <f>SUM(Table1[[#This Row],[Total intl calls]],Table1[[#This Row],[Total night calls]],Table1[[#This Row],[Total eve calls]],Table1[[#This Row],[Total day calls]])</f>
        <v>335</v>
      </c>
      <c r="X76" t="str" cm="1">
        <f t="array" ref="X76">_xlfn.IFS(Table1[[#This Row],[Customer service calls]]&gt;=4,"High risk",Table1[[#This Row],[Customer service calls]]&gt;=2,"Medium risk",TRUE,"Low risk")</f>
        <v>Low risk</v>
      </c>
      <c r="Y76" t="str" cm="1">
        <f t="array" ref="Y76">IFERROR(_xlfn.IFS(Table1[[#This Row],[Total usage(Min)]]&gt;=AVERAGE(U:U)*1.1,"High risk",Table1[[#This Row],[Total usage(Min)]]&lt;= AVERAGE(U:U)*0.9,"Low risk",TRUE,"Medium risk"),"N/A")</f>
        <v>High risk</v>
      </c>
      <c r="Z76" t="str" cm="1">
        <f t="array" ref="Z76">IFERROR(_xlfn.IFS(Table1[[#This Row],[Total charges]]&gt;=AVERAGE(V:V)*1.1,"High risk",Table1[[#This Row],[Total charges]]&lt;=AVERAGE(V:V)*0.9,"Low risk",TRUE,"Medium risk"),"N/A")</f>
        <v>High risk</v>
      </c>
      <c r="AA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6" t="str" cm="1">
        <f t="array" ref="AC76">_xlfn.IFS(
AND(Table1[[#This Row],[Customer service risk level]]="High risk", Table1[[#This Row],[Intl usage behaviour]]="Unplanned Usage"),"High Risk",
OR(Table1[[#This Row],[Customer service risk level]]="Medium risk", Table1[[#This Row],[Charges risk level]]="High risk "),"Medium Risk",
TRUE,"Low Risk"
)</f>
        <v>Low Risk</v>
      </c>
    </row>
    <row r="77" spans="1:29" x14ac:dyDescent="0.25">
      <c r="A77" t="s">
        <v>59</v>
      </c>
      <c r="B77">
        <v>96</v>
      </c>
      <c r="C77">
        <v>408</v>
      </c>
      <c r="D77" t="s">
        <v>21</v>
      </c>
      <c r="E77" t="s">
        <v>27</v>
      </c>
      <c r="F77">
        <v>26</v>
      </c>
      <c r="G77">
        <v>145.80000000000001</v>
      </c>
      <c r="H77">
        <v>108</v>
      </c>
      <c r="I77">
        <v>24.79</v>
      </c>
      <c r="J77">
        <v>192.2</v>
      </c>
      <c r="K77">
        <v>89</v>
      </c>
      <c r="L77">
        <v>16.34</v>
      </c>
      <c r="M77">
        <v>165.1</v>
      </c>
      <c r="N77">
        <v>96</v>
      </c>
      <c r="O77">
        <v>7.43</v>
      </c>
      <c r="P77">
        <v>9.9</v>
      </c>
      <c r="Q77">
        <v>2</v>
      </c>
      <c r="R77">
        <v>2.67</v>
      </c>
      <c r="S77">
        <v>1</v>
      </c>
      <c r="T77" t="b">
        <v>0</v>
      </c>
      <c r="U77">
        <f>IFERROR(SUM(Table1[[#This Row],[Total day minutes]],Table1[[#This Row],[Total eve minutes]],Table1[[#This Row],[Total night minutes]],Table1[[#This Row],[Total intl minutes]]),0)</f>
        <v>513</v>
      </c>
      <c r="V77">
        <f>SUM(Table1[[#This Row],[Total intl charge]],Table1[[#This Row],[Total night charge]],Table1[[#This Row],[Total eve charge]],Table1[[#This Row],[Total day charge]])</f>
        <v>51.23</v>
      </c>
      <c r="W77">
        <f>SUM(Table1[[#This Row],[Total intl calls]],Table1[[#This Row],[Total night calls]],Table1[[#This Row],[Total eve calls]],Table1[[#This Row],[Total day calls]])</f>
        <v>295</v>
      </c>
      <c r="X77" t="str" cm="1">
        <f t="array" ref="X77">_xlfn.IFS(Table1[[#This Row],[Customer service calls]]&gt;=4,"High risk",Table1[[#This Row],[Customer service calls]]&gt;=2,"Medium risk",TRUE,"Low risk")</f>
        <v>Low risk</v>
      </c>
      <c r="Y77" t="str" cm="1">
        <f t="array" ref="Y77">IFERROR(_xlfn.IFS(Table1[[#This Row],[Total usage(Min)]]&gt;=AVERAGE(U:U)*1.1,"High risk",Table1[[#This Row],[Total usage(Min)]]&lt;= AVERAGE(U:U)*0.9,"Low risk",TRUE,"Medium risk"),"N/A")</f>
        <v>Low risk</v>
      </c>
      <c r="Z77" t="str" cm="1">
        <f t="array" ref="Z77">IFERROR(_xlfn.IFS(Table1[[#This Row],[Total charges]]&gt;=AVERAGE(V:V)*1.1,"High risk",Table1[[#This Row],[Total charges]]&lt;=AVERAGE(V:V)*0.9,"Low risk",TRUE,"Medium risk"),"N/A")</f>
        <v>Low risk</v>
      </c>
      <c r="AA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77" t="str" cm="1">
        <f t="array" ref="AC77">_xlfn.IFS(
AND(Table1[[#This Row],[Customer service risk level]]="High risk", Table1[[#This Row],[Intl usage behaviour]]="Unplanned Usage"),"High Risk",
OR(Table1[[#This Row],[Customer service risk level]]="Medium risk", Table1[[#This Row],[Charges risk level]]="High risk "),"Medium Risk",
TRUE,"Low Risk"
)</f>
        <v>Low Risk</v>
      </c>
    </row>
    <row r="78" spans="1:29" x14ac:dyDescent="0.25">
      <c r="A78" t="s">
        <v>60</v>
      </c>
      <c r="B78">
        <v>64</v>
      </c>
      <c r="C78">
        <v>415</v>
      </c>
      <c r="D78" t="s">
        <v>21</v>
      </c>
      <c r="E78" t="s">
        <v>21</v>
      </c>
      <c r="F78">
        <v>0</v>
      </c>
      <c r="G78">
        <v>97.2</v>
      </c>
      <c r="H78">
        <v>80</v>
      </c>
      <c r="I78">
        <v>16.52</v>
      </c>
      <c r="J78">
        <v>186.2</v>
      </c>
      <c r="K78">
        <v>90</v>
      </c>
      <c r="L78">
        <v>15.83</v>
      </c>
      <c r="M78">
        <v>189</v>
      </c>
      <c r="N78">
        <v>92</v>
      </c>
      <c r="O78">
        <v>8.5</v>
      </c>
      <c r="P78">
        <v>10.4</v>
      </c>
      <c r="Q78">
        <v>6</v>
      </c>
      <c r="R78">
        <v>2.81</v>
      </c>
      <c r="S78">
        <v>2</v>
      </c>
      <c r="T78" t="b">
        <v>0</v>
      </c>
      <c r="U78">
        <f>IFERROR(SUM(Table1[[#This Row],[Total day minutes]],Table1[[#This Row],[Total eve minutes]],Table1[[#This Row],[Total night minutes]],Table1[[#This Row],[Total intl minutes]]),0)</f>
        <v>482.79999999999995</v>
      </c>
      <c r="V78">
        <f>SUM(Table1[[#This Row],[Total intl charge]],Table1[[#This Row],[Total night charge]],Table1[[#This Row],[Total eve charge]],Table1[[#This Row],[Total day charge]])</f>
        <v>43.66</v>
      </c>
      <c r="W78">
        <f>SUM(Table1[[#This Row],[Total intl calls]],Table1[[#This Row],[Total night calls]],Table1[[#This Row],[Total eve calls]],Table1[[#This Row],[Total day calls]])</f>
        <v>268</v>
      </c>
      <c r="X78" t="str" cm="1">
        <f t="array" ref="X78">_xlfn.IFS(Table1[[#This Row],[Customer service calls]]&gt;=4,"High risk",Table1[[#This Row],[Customer service calls]]&gt;=2,"Medium risk",TRUE,"Low risk")</f>
        <v>Medium risk</v>
      </c>
      <c r="Y78" t="str" cm="1">
        <f t="array" ref="Y78">IFERROR(_xlfn.IFS(Table1[[#This Row],[Total usage(Min)]]&gt;=AVERAGE(U:U)*1.1,"High risk",Table1[[#This Row],[Total usage(Min)]]&lt;= AVERAGE(U:U)*0.9,"Low risk",TRUE,"Medium risk"),"N/A")</f>
        <v>Low risk</v>
      </c>
      <c r="Z78" t="str" cm="1">
        <f t="array" ref="Z78">IFERROR(_xlfn.IFS(Table1[[#This Row],[Total charges]]&gt;=AVERAGE(V:V)*1.1,"High risk",Table1[[#This Row],[Total charges]]&lt;=AVERAGE(V:V)*0.9,"Low risk",TRUE,"Medium risk"),"N/A")</f>
        <v>Low risk</v>
      </c>
      <c r="AA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8" t="str" cm="1">
        <f t="array" ref="AC78">_xlfn.IFS(
AND(Table1[[#This Row],[Customer service risk level]]="High risk", Table1[[#This Row],[Intl usage behaviour]]="Unplanned Usage"),"High Risk",
OR(Table1[[#This Row],[Customer service risk level]]="Medium risk", Table1[[#This Row],[Charges risk level]]="High risk "),"Medium Risk",
TRUE,"Low Risk"
)</f>
        <v>Medium Risk</v>
      </c>
    </row>
    <row r="79" spans="1:29" x14ac:dyDescent="0.25">
      <c r="A79" t="s">
        <v>41</v>
      </c>
      <c r="B79">
        <v>85</v>
      </c>
      <c r="C79">
        <v>415</v>
      </c>
      <c r="D79" t="s">
        <v>21</v>
      </c>
      <c r="E79" t="s">
        <v>21</v>
      </c>
      <c r="F79">
        <v>0</v>
      </c>
      <c r="G79">
        <v>259.8</v>
      </c>
      <c r="H79">
        <v>85</v>
      </c>
      <c r="I79">
        <v>44.17</v>
      </c>
      <c r="J79">
        <v>242.3</v>
      </c>
      <c r="K79">
        <v>117</v>
      </c>
      <c r="L79">
        <v>20.6</v>
      </c>
      <c r="M79">
        <v>168.8</v>
      </c>
      <c r="N79">
        <v>72</v>
      </c>
      <c r="O79">
        <v>7.6</v>
      </c>
      <c r="P79">
        <v>5.4</v>
      </c>
      <c r="Q79">
        <v>1</v>
      </c>
      <c r="R79">
        <v>1.46</v>
      </c>
      <c r="S79">
        <v>0</v>
      </c>
      <c r="T79" t="b">
        <v>0</v>
      </c>
      <c r="U79">
        <f>IFERROR(SUM(Table1[[#This Row],[Total day minutes]],Table1[[#This Row],[Total eve minutes]],Table1[[#This Row],[Total night minutes]],Table1[[#This Row],[Total intl minutes]]),0)</f>
        <v>676.30000000000007</v>
      </c>
      <c r="V79">
        <f>SUM(Table1[[#This Row],[Total intl charge]],Table1[[#This Row],[Total night charge]],Table1[[#This Row],[Total eve charge]],Table1[[#This Row],[Total day charge]])</f>
        <v>73.83</v>
      </c>
      <c r="W79">
        <f>SUM(Table1[[#This Row],[Total intl calls]],Table1[[#This Row],[Total night calls]],Table1[[#This Row],[Total eve calls]],Table1[[#This Row],[Total day calls]])</f>
        <v>275</v>
      </c>
      <c r="X79" t="str" cm="1">
        <f t="array" ref="X79">_xlfn.IFS(Table1[[#This Row],[Customer service calls]]&gt;=4,"High risk",Table1[[#This Row],[Customer service calls]]&gt;=2,"Medium risk",TRUE,"Low risk")</f>
        <v>Low risk</v>
      </c>
      <c r="Y79" t="str" cm="1">
        <f t="array" ref="Y79">IFERROR(_xlfn.IFS(Table1[[#This Row],[Total usage(Min)]]&gt;=AVERAGE(U:U)*1.1,"High risk",Table1[[#This Row],[Total usage(Min)]]&lt;= AVERAGE(U:U)*0.9,"Low risk",TRUE,"Medium risk"),"N/A")</f>
        <v>High risk</v>
      </c>
      <c r="Z79" t="str" cm="1">
        <f t="array" ref="Z79">IFERROR(_xlfn.IFS(Table1[[#This Row],[Total charges]]&gt;=AVERAGE(V:V)*1.1,"High risk",Table1[[#This Row],[Total charges]]&lt;=AVERAGE(V:V)*0.9,"Low risk",TRUE,"Medium risk"),"N/A")</f>
        <v>High risk</v>
      </c>
      <c r="AA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7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79" t="str" cm="1">
        <f t="array" ref="AC79">_xlfn.IFS(
AND(Table1[[#This Row],[Customer service risk level]]="High risk", Table1[[#This Row],[Intl usage behaviour]]="Unplanned Usage"),"High Risk",
OR(Table1[[#This Row],[Customer service risk level]]="Medium risk", Table1[[#This Row],[Charges risk level]]="High risk "),"Medium Risk",
TRUE,"Low Risk"
)</f>
        <v>Low Risk</v>
      </c>
    </row>
    <row r="80" spans="1:29" x14ac:dyDescent="0.25">
      <c r="A80" t="s">
        <v>38</v>
      </c>
      <c r="B80">
        <v>117</v>
      </c>
      <c r="C80">
        <v>408</v>
      </c>
      <c r="D80" t="s">
        <v>21</v>
      </c>
      <c r="E80" t="s">
        <v>21</v>
      </c>
      <c r="F80">
        <v>0</v>
      </c>
      <c r="G80">
        <v>239.9</v>
      </c>
      <c r="H80">
        <v>84</v>
      </c>
      <c r="I80">
        <v>40.78</v>
      </c>
      <c r="J80">
        <v>174.8</v>
      </c>
      <c r="K80">
        <v>106</v>
      </c>
      <c r="L80">
        <v>14.86</v>
      </c>
      <c r="M80">
        <v>209.5</v>
      </c>
      <c r="N80">
        <v>93</v>
      </c>
      <c r="O80">
        <v>9.43</v>
      </c>
      <c r="P80">
        <v>9.8000000000000007</v>
      </c>
      <c r="Q80">
        <v>2</v>
      </c>
      <c r="R80">
        <v>2.65</v>
      </c>
      <c r="S80">
        <v>0</v>
      </c>
      <c r="T80" t="b">
        <v>0</v>
      </c>
      <c r="U80">
        <f>IFERROR(SUM(Table1[[#This Row],[Total day minutes]],Table1[[#This Row],[Total eve minutes]],Table1[[#This Row],[Total night minutes]],Table1[[#This Row],[Total intl minutes]]),0)</f>
        <v>634</v>
      </c>
      <c r="V80">
        <f>SUM(Table1[[#This Row],[Total intl charge]],Table1[[#This Row],[Total night charge]],Table1[[#This Row],[Total eve charge]],Table1[[#This Row],[Total day charge]])</f>
        <v>67.72</v>
      </c>
      <c r="W80">
        <f>SUM(Table1[[#This Row],[Total intl calls]],Table1[[#This Row],[Total night calls]],Table1[[#This Row],[Total eve calls]],Table1[[#This Row],[Total day calls]])</f>
        <v>285</v>
      </c>
      <c r="X80" t="str" cm="1">
        <f t="array" ref="X80">_xlfn.IFS(Table1[[#This Row],[Customer service calls]]&gt;=4,"High risk",Table1[[#This Row],[Customer service calls]]&gt;=2,"Medium risk",TRUE,"Low risk")</f>
        <v>Low risk</v>
      </c>
      <c r="Y80" t="str" cm="1">
        <f t="array" ref="Y80">IFERROR(_xlfn.IFS(Table1[[#This Row],[Total usage(Min)]]&gt;=AVERAGE(U:U)*1.1,"High risk",Table1[[#This Row],[Total usage(Min)]]&lt;= AVERAGE(U:U)*0.9,"Low risk",TRUE,"Medium risk"),"N/A")</f>
        <v>Medium risk</v>
      </c>
      <c r="Z80" t="str" cm="1">
        <f t="array" ref="Z80">IFERROR(_xlfn.IFS(Table1[[#This Row],[Total charges]]&gt;=AVERAGE(V:V)*1.1,"High risk",Table1[[#This Row],[Total charges]]&lt;=AVERAGE(V:V)*0.9,"Low risk",TRUE,"Medium risk"),"N/A")</f>
        <v>High risk</v>
      </c>
      <c r="AA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0" t="str" cm="1">
        <f t="array" ref="AC80">_xlfn.IFS(
AND(Table1[[#This Row],[Customer service risk level]]="High risk", Table1[[#This Row],[Intl usage behaviour]]="Unplanned Usage"),"High Risk",
OR(Table1[[#This Row],[Customer service risk level]]="Medium risk", Table1[[#This Row],[Charges risk level]]="High risk "),"Medium Risk",
TRUE,"Low Risk"
)</f>
        <v>Low Risk</v>
      </c>
    </row>
    <row r="81" spans="1:29" x14ac:dyDescent="0.25">
      <c r="A81" t="s">
        <v>61</v>
      </c>
      <c r="B81">
        <v>112</v>
      </c>
      <c r="C81">
        <v>415</v>
      </c>
      <c r="D81" t="s">
        <v>21</v>
      </c>
      <c r="E81" t="s">
        <v>27</v>
      </c>
      <c r="F81">
        <v>16</v>
      </c>
      <c r="G81">
        <v>221.6</v>
      </c>
      <c r="H81">
        <v>110</v>
      </c>
      <c r="I81">
        <v>37.67</v>
      </c>
      <c r="J81">
        <v>130.19999999999999</v>
      </c>
      <c r="K81">
        <v>123</v>
      </c>
      <c r="L81">
        <v>11.07</v>
      </c>
      <c r="M81">
        <v>200</v>
      </c>
      <c r="N81">
        <v>108</v>
      </c>
      <c r="O81">
        <v>9</v>
      </c>
      <c r="P81">
        <v>11.3</v>
      </c>
      <c r="Q81">
        <v>3</v>
      </c>
      <c r="R81">
        <v>3.05</v>
      </c>
      <c r="S81">
        <v>1</v>
      </c>
      <c r="T81" t="b">
        <v>0</v>
      </c>
      <c r="U81">
        <f>IFERROR(SUM(Table1[[#This Row],[Total day minutes]],Table1[[#This Row],[Total eve minutes]],Table1[[#This Row],[Total night minutes]],Table1[[#This Row],[Total intl minutes]]),0)</f>
        <v>563.09999999999991</v>
      </c>
      <c r="V81">
        <f>SUM(Table1[[#This Row],[Total intl charge]],Table1[[#This Row],[Total night charge]],Table1[[#This Row],[Total eve charge]],Table1[[#This Row],[Total day charge]])</f>
        <v>60.790000000000006</v>
      </c>
      <c r="W81">
        <f>SUM(Table1[[#This Row],[Total intl calls]],Table1[[#This Row],[Total night calls]],Table1[[#This Row],[Total eve calls]],Table1[[#This Row],[Total day calls]])</f>
        <v>344</v>
      </c>
      <c r="X81" t="str" cm="1">
        <f t="array" ref="X81">_xlfn.IFS(Table1[[#This Row],[Customer service calls]]&gt;=4,"High risk",Table1[[#This Row],[Customer service calls]]&gt;=2,"Medium risk",TRUE,"Low risk")</f>
        <v>Low risk</v>
      </c>
      <c r="Y81" t="str" cm="1">
        <f t="array" ref="Y81">IFERROR(_xlfn.IFS(Table1[[#This Row],[Total usage(Min)]]&gt;=AVERAGE(U:U)*1.1,"High risk",Table1[[#This Row],[Total usage(Min)]]&lt;= AVERAGE(U:U)*0.9,"Low risk",TRUE,"Medium risk"),"N/A")</f>
        <v>Medium risk</v>
      </c>
      <c r="Z81" t="str" cm="1">
        <f t="array" ref="Z81">IFERROR(_xlfn.IFS(Table1[[#This Row],[Total charges]]&gt;=AVERAGE(V:V)*1.1,"High risk",Table1[[#This Row],[Total charges]]&lt;=AVERAGE(V:V)*0.9,"Low risk",TRUE,"Medium risk"),"N/A")</f>
        <v>Medium risk</v>
      </c>
      <c r="AA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81" t="str" cm="1">
        <f t="array" ref="AC81">_xlfn.IFS(
AND(Table1[[#This Row],[Customer service risk level]]="High risk", Table1[[#This Row],[Intl usage behaviour]]="Unplanned Usage"),"High Risk",
OR(Table1[[#This Row],[Customer service risk level]]="Medium risk", Table1[[#This Row],[Charges risk level]]="High risk "),"Medium Risk",
TRUE,"Low Risk"
)</f>
        <v>Low Risk</v>
      </c>
    </row>
    <row r="82" spans="1:29" x14ac:dyDescent="0.25">
      <c r="A82" t="s">
        <v>35</v>
      </c>
      <c r="B82">
        <v>129</v>
      </c>
      <c r="C82">
        <v>510</v>
      </c>
      <c r="D82" t="s">
        <v>27</v>
      </c>
      <c r="E82" t="s">
        <v>21</v>
      </c>
      <c r="F82">
        <v>0</v>
      </c>
      <c r="G82">
        <v>192.9</v>
      </c>
      <c r="H82">
        <v>131</v>
      </c>
      <c r="I82">
        <v>32.79</v>
      </c>
      <c r="J82">
        <v>185.5</v>
      </c>
      <c r="K82">
        <v>101</v>
      </c>
      <c r="L82">
        <v>15.77</v>
      </c>
      <c r="M82">
        <v>205.2</v>
      </c>
      <c r="N82">
        <v>130</v>
      </c>
      <c r="O82">
        <v>9.23</v>
      </c>
      <c r="P82">
        <v>10.9</v>
      </c>
      <c r="Q82">
        <v>4</v>
      </c>
      <c r="R82">
        <v>2.94</v>
      </c>
      <c r="S82">
        <v>1</v>
      </c>
      <c r="T82" t="b">
        <v>0</v>
      </c>
      <c r="U82">
        <f>IFERROR(SUM(Table1[[#This Row],[Total day minutes]],Table1[[#This Row],[Total eve minutes]],Table1[[#This Row],[Total night minutes]],Table1[[#This Row],[Total intl minutes]]),0)</f>
        <v>594.49999999999989</v>
      </c>
      <c r="V82">
        <f>SUM(Table1[[#This Row],[Total intl charge]],Table1[[#This Row],[Total night charge]],Table1[[#This Row],[Total eve charge]],Table1[[#This Row],[Total day charge]])</f>
        <v>60.73</v>
      </c>
      <c r="W82">
        <f>SUM(Table1[[#This Row],[Total intl calls]],Table1[[#This Row],[Total night calls]],Table1[[#This Row],[Total eve calls]],Table1[[#This Row],[Total day calls]])</f>
        <v>366</v>
      </c>
      <c r="X82" t="str" cm="1">
        <f t="array" ref="X82">_xlfn.IFS(Table1[[#This Row],[Customer service calls]]&gt;=4,"High risk",Table1[[#This Row],[Customer service calls]]&gt;=2,"Medium risk",TRUE,"Low risk")</f>
        <v>Low risk</v>
      </c>
      <c r="Y82" t="str" cm="1">
        <f t="array" ref="Y82">IFERROR(_xlfn.IFS(Table1[[#This Row],[Total usage(Min)]]&gt;=AVERAGE(U:U)*1.1,"High risk",Table1[[#This Row],[Total usage(Min)]]&lt;= AVERAGE(U:U)*0.9,"Low risk",TRUE,"Medium risk"),"N/A")</f>
        <v>Medium risk</v>
      </c>
      <c r="Z82" t="str" cm="1">
        <f t="array" ref="Z82">IFERROR(_xlfn.IFS(Table1[[#This Row],[Total charges]]&gt;=AVERAGE(V:V)*1.1,"High risk",Table1[[#This Row],[Total charges]]&lt;=AVERAGE(V:V)*0.9,"Low risk",TRUE,"Medium risk"),"N/A")</f>
        <v>Medium risk</v>
      </c>
      <c r="AA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8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2" t="str" cm="1">
        <f t="array" ref="AC82">_xlfn.IFS(
AND(Table1[[#This Row],[Customer service risk level]]="High risk", Table1[[#This Row],[Intl usage behaviour]]="Unplanned Usage"),"High Risk",
OR(Table1[[#This Row],[Customer service risk level]]="Medium risk", Table1[[#This Row],[Charges risk level]]="High risk "),"Medium Risk",
TRUE,"Low Risk"
)</f>
        <v>Low Risk</v>
      </c>
    </row>
    <row r="83" spans="1:29" x14ac:dyDescent="0.25">
      <c r="A83" t="s">
        <v>38</v>
      </c>
      <c r="B83">
        <v>140</v>
      </c>
      <c r="C83">
        <v>408</v>
      </c>
      <c r="D83" t="s">
        <v>21</v>
      </c>
      <c r="E83" t="s">
        <v>21</v>
      </c>
      <c r="F83">
        <v>0</v>
      </c>
      <c r="G83">
        <v>173.2</v>
      </c>
      <c r="H83">
        <v>91</v>
      </c>
      <c r="I83">
        <v>29.44</v>
      </c>
      <c r="J83">
        <v>196.8</v>
      </c>
      <c r="K83">
        <v>106</v>
      </c>
      <c r="L83">
        <v>16.73</v>
      </c>
      <c r="M83">
        <v>209.3</v>
      </c>
      <c r="N83">
        <v>128</v>
      </c>
      <c r="O83">
        <v>9.42</v>
      </c>
      <c r="P83">
        <v>11.2</v>
      </c>
      <c r="Q83">
        <v>5</v>
      </c>
      <c r="R83">
        <v>3.02</v>
      </c>
      <c r="S83">
        <v>3</v>
      </c>
      <c r="T83" t="b">
        <v>0</v>
      </c>
      <c r="U83">
        <f>IFERROR(SUM(Table1[[#This Row],[Total day minutes]],Table1[[#This Row],[Total eve minutes]],Table1[[#This Row],[Total night minutes]],Table1[[#This Row],[Total intl minutes]]),0)</f>
        <v>590.5</v>
      </c>
      <c r="V83">
        <f>SUM(Table1[[#This Row],[Total intl charge]],Table1[[#This Row],[Total night charge]],Table1[[#This Row],[Total eve charge]],Table1[[#This Row],[Total day charge]])</f>
        <v>58.61</v>
      </c>
      <c r="W83">
        <f>SUM(Table1[[#This Row],[Total intl calls]],Table1[[#This Row],[Total night calls]],Table1[[#This Row],[Total eve calls]],Table1[[#This Row],[Total day calls]])</f>
        <v>330</v>
      </c>
      <c r="X83" t="str" cm="1">
        <f t="array" ref="X83">_xlfn.IFS(Table1[[#This Row],[Customer service calls]]&gt;=4,"High risk",Table1[[#This Row],[Customer service calls]]&gt;=2,"Medium risk",TRUE,"Low risk")</f>
        <v>Medium risk</v>
      </c>
      <c r="Y83" t="str" cm="1">
        <f t="array" ref="Y83">IFERROR(_xlfn.IFS(Table1[[#This Row],[Total usage(Min)]]&gt;=AVERAGE(U:U)*1.1,"High risk",Table1[[#This Row],[Total usage(Min)]]&lt;= AVERAGE(U:U)*0.9,"Low risk",TRUE,"Medium risk"),"N/A")</f>
        <v>Medium risk</v>
      </c>
      <c r="Z83" t="str" cm="1">
        <f t="array" ref="Z83">IFERROR(_xlfn.IFS(Table1[[#This Row],[Total charges]]&gt;=AVERAGE(V:V)*1.1,"High risk",Table1[[#This Row],[Total charges]]&lt;=AVERAGE(V:V)*0.9,"Low risk",TRUE,"Medium risk"),"N/A")</f>
        <v>Medium risk</v>
      </c>
      <c r="AA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3" t="str" cm="1">
        <f t="array" ref="AC83">_xlfn.IFS(
AND(Table1[[#This Row],[Customer service risk level]]="High risk", Table1[[#This Row],[Intl usage behaviour]]="Unplanned Usage"),"High Risk",
OR(Table1[[#This Row],[Customer service risk level]]="Medium risk", Table1[[#This Row],[Charges risk level]]="High risk "),"Medium Risk",
TRUE,"Low Risk"
)</f>
        <v>Medium Risk</v>
      </c>
    </row>
    <row r="84" spans="1:29" x14ac:dyDescent="0.25">
      <c r="A84" t="s">
        <v>28</v>
      </c>
      <c r="B84">
        <v>81</v>
      </c>
      <c r="C84">
        <v>415</v>
      </c>
      <c r="D84" t="s">
        <v>21</v>
      </c>
      <c r="E84" t="s">
        <v>21</v>
      </c>
      <c r="F84">
        <v>0</v>
      </c>
      <c r="G84">
        <v>153.5</v>
      </c>
      <c r="H84">
        <v>99</v>
      </c>
      <c r="I84">
        <v>26.1</v>
      </c>
      <c r="J84">
        <v>197.6</v>
      </c>
      <c r="K84">
        <v>102</v>
      </c>
      <c r="L84">
        <v>16.8</v>
      </c>
      <c r="M84">
        <v>198.5</v>
      </c>
      <c r="N84">
        <v>86</v>
      </c>
      <c r="O84">
        <v>8.93</v>
      </c>
      <c r="P84">
        <v>6.3</v>
      </c>
      <c r="Q84">
        <v>2</v>
      </c>
      <c r="R84">
        <v>1.7</v>
      </c>
      <c r="S84">
        <v>2</v>
      </c>
      <c r="T84" t="b">
        <v>0</v>
      </c>
      <c r="U84">
        <f>IFERROR(SUM(Table1[[#This Row],[Total day minutes]],Table1[[#This Row],[Total eve minutes]],Table1[[#This Row],[Total night minutes]],Table1[[#This Row],[Total intl minutes]]),0)</f>
        <v>555.9</v>
      </c>
      <c r="V84">
        <f>SUM(Table1[[#This Row],[Total intl charge]],Table1[[#This Row],[Total night charge]],Table1[[#This Row],[Total eve charge]],Table1[[#This Row],[Total day charge]])</f>
        <v>53.53</v>
      </c>
      <c r="W84">
        <f>SUM(Table1[[#This Row],[Total intl calls]],Table1[[#This Row],[Total night calls]],Table1[[#This Row],[Total eve calls]],Table1[[#This Row],[Total day calls]])</f>
        <v>289</v>
      </c>
      <c r="X84" t="str" cm="1">
        <f t="array" ref="X84">_xlfn.IFS(Table1[[#This Row],[Customer service calls]]&gt;=4,"High risk",Table1[[#This Row],[Customer service calls]]&gt;=2,"Medium risk",TRUE,"Low risk")</f>
        <v>Medium risk</v>
      </c>
      <c r="Y84" t="str" cm="1">
        <f t="array" ref="Y84">IFERROR(_xlfn.IFS(Table1[[#This Row],[Total usage(Min)]]&gt;=AVERAGE(U:U)*1.1,"High risk",Table1[[#This Row],[Total usage(Min)]]&lt;= AVERAGE(U:U)*0.9,"Low risk",TRUE,"Medium risk"),"N/A")</f>
        <v>Medium risk</v>
      </c>
      <c r="Z84" t="str" cm="1">
        <f t="array" ref="Z84">IFERROR(_xlfn.IFS(Table1[[#This Row],[Total charges]]&gt;=AVERAGE(V:V)*1.1,"High risk",Table1[[#This Row],[Total charges]]&lt;=AVERAGE(V:V)*0.9,"Low risk",TRUE,"Medium risk"),"N/A")</f>
        <v>Low risk</v>
      </c>
      <c r="AA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4" t="str" cm="1">
        <f t="array" ref="AC84">_xlfn.IFS(
AND(Table1[[#This Row],[Customer service risk level]]="High risk", Table1[[#This Row],[Intl usage behaviour]]="Unplanned Usage"),"High Risk",
OR(Table1[[#This Row],[Customer service risk level]]="Medium risk", Table1[[#This Row],[Charges risk level]]="High risk "),"Medium Risk",
TRUE,"Low Risk"
)</f>
        <v>Medium Risk</v>
      </c>
    </row>
    <row r="85" spans="1:29" x14ac:dyDescent="0.25">
      <c r="A85" t="s">
        <v>48</v>
      </c>
      <c r="B85">
        <v>70</v>
      </c>
      <c r="C85">
        <v>510</v>
      </c>
      <c r="D85" t="s">
        <v>21</v>
      </c>
      <c r="E85" t="s">
        <v>21</v>
      </c>
      <c r="F85">
        <v>0</v>
      </c>
      <c r="G85">
        <v>59.5</v>
      </c>
      <c r="H85">
        <v>103</v>
      </c>
      <c r="I85">
        <v>10.119999999999999</v>
      </c>
      <c r="J85">
        <v>257.2</v>
      </c>
      <c r="K85">
        <v>106</v>
      </c>
      <c r="L85">
        <v>21.86</v>
      </c>
      <c r="M85">
        <v>208.3</v>
      </c>
      <c r="N85">
        <v>86</v>
      </c>
      <c r="O85">
        <v>9.3699999999999992</v>
      </c>
      <c r="P85">
        <v>11.1</v>
      </c>
      <c r="Q85">
        <v>6</v>
      </c>
      <c r="R85">
        <v>3</v>
      </c>
      <c r="S85">
        <v>0</v>
      </c>
      <c r="T85" t="b">
        <v>0</v>
      </c>
      <c r="U85">
        <f>IFERROR(SUM(Table1[[#This Row],[Total day minutes]],Table1[[#This Row],[Total eve minutes]],Table1[[#This Row],[Total night minutes]],Table1[[#This Row],[Total intl minutes]]),0)</f>
        <v>536.1</v>
      </c>
      <c r="V85">
        <f>SUM(Table1[[#This Row],[Total intl charge]],Table1[[#This Row],[Total night charge]],Table1[[#This Row],[Total eve charge]],Table1[[#This Row],[Total day charge]])</f>
        <v>44.349999999999994</v>
      </c>
      <c r="W85">
        <f>SUM(Table1[[#This Row],[Total intl calls]],Table1[[#This Row],[Total night calls]],Table1[[#This Row],[Total eve calls]],Table1[[#This Row],[Total day calls]])</f>
        <v>301</v>
      </c>
      <c r="X85" t="str" cm="1">
        <f t="array" ref="X85">_xlfn.IFS(Table1[[#This Row],[Customer service calls]]&gt;=4,"High risk",Table1[[#This Row],[Customer service calls]]&gt;=2,"Medium risk",TRUE,"Low risk")</f>
        <v>Low risk</v>
      </c>
      <c r="Y85" t="str" cm="1">
        <f t="array" ref="Y85">IFERROR(_xlfn.IFS(Table1[[#This Row],[Total usage(Min)]]&gt;=AVERAGE(U:U)*1.1,"High risk",Table1[[#This Row],[Total usage(Min)]]&lt;= AVERAGE(U:U)*0.9,"Low risk",TRUE,"Medium risk"),"N/A")</f>
        <v>Medium risk</v>
      </c>
      <c r="Z85" t="str" cm="1">
        <f t="array" ref="Z85">IFERROR(_xlfn.IFS(Table1[[#This Row],[Total charges]]&gt;=AVERAGE(V:V)*1.1,"High risk",Table1[[#This Row],[Total charges]]&lt;=AVERAGE(V:V)*0.9,"Low risk",TRUE,"Medium risk"),"N/A")</f>
        <v>Low risk</v>
      </c>
      <c r="AA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5" t="str" cm="1">
        <f t="array" ref="AC85">_xlfn.IFS(
AND(Table1[[#This Row],[Customer service risk level]]="High risk", Table1[[#This Row],[Intl usage behaviour]]="Unplanned Usage"),"High Risk",
OR(Table1[[#This Row],[Customer service risk level]]="Medium risk", Table1[[#This Row],[Charges risk level]]="High risk "),"Medium Risk",
TRUE,"Low Risk"
)</f>
        <v>Low Risk</v>
      </c>
    </row>
    <row r="86" spans="1:29" x14ac:dyDescent="0.25">
      <c r="A86" t="s">
        <v>29</v>
      </c>
      <c r="B86">
        <v>79</v>
      </c>
      <c r="C86">
        <v>510</v>
      </c>
      <c r="D86" t="s">
        <v>21</v>
      </c>
      <c r="E86" t="s">
        <v>27</v>
      </c>
      <c r="F86">
        <v>21</v>
      </c>
      <c r="G86">
        <v>264.3</v>
      </c>
      <c r="H86">
        <v>79</v>
      </c>
      <c r="I86">
        <v>44.93</v>
      </c>
      <c r="J86">
        <v>202.8</v>
      </c>
      <c r="K86">
        <v>118</v>
      </c>
      <c r="L86">
        <v>17.239999999999998</v>
      </c>
      <c r="M86">
        <v>173.4</v>
      </c>
      <c r="N86">
        <v>92</v>
      </c>
      <c r="O86">
        <v>7.8</v>
      </c>
      <c r="P86">
        <v>6.3</v>
      </c>
      <c r="Q86">
        <v>3</v>
      </c>
      <c r="R86">
        <v>1.7</v>
      </c>
      <c r="S86">
        <v>4</v>
      </c>
      <c r="T86" t="b">
        <v>0</v>
      </c>
      <c r="U86">
        <f>IFERROR(SUM(Table1[[#This Row],[Total day minutes]],Table1[[#This Row],[Total eve minutes]],Table1[[#This Row],[Total night minutes]],Table1[[#This Row],[Total intl minutes]]),0)</f>
        <v>646.79999999999995</v>
      </c>
      <c r="V86">
        <f>SUM(Table1[[#This Row],[Total intl charge]],Table1[[#This Row],[Total night charge]],Table1[[#This Row],[Total eve charge]],Table1[[#This Row],[Total day charge]])</f>
        <v>71.67</v>
      </c>
      <c r="W86">
        <f>SUM(Table1[[#This Row],[Total intl calls]],Table1[[#This Row],[Total night calls]],Table1[[#This Row],[Total eve calls]],Table1[[#This Row],[Total day calls]])</f>
        <v>292</v>
      </c>
      <c r="X86" t="str" cm="1">
        <f t="array" ref="X86">_xlfn.IFS(Table1[[#This Row],[Customer service calls]]&gt;=4,"High risk",Table1[[#This Row],[Customer service calls]]&gt;=2,"Medium risk",TRUE,"Low risk")</f>
        <v>High risk</v>
      </c>
      <c r="Y86" t="str" cm="1">
        <f t="array" ref="Y86">IFERROR(_xlfn.IFS(Table1[[#This Row],[Total usage(Min)]]&gt;=AVERAGE(U:U)*1.1,"High risk",Table1[[#This Row],[Total usage(Min)]]&lt;= AVERAGE(U:U)*0.9,"Low risk",TRUE,"Medium risk"),"N/A")</f>
        <v>Medium risk</v>
      </c>
      <c r="Z86" t="str" cm="1">
        <f t="array" ref="Z86">IFERROR(_xlfn.IFS(Table1[[#This Row],[Total charges]]&gt;=AVERAGE(V:V)*1.1,"High risk",Table1[[#This Row],[Total charges]]&lt;=AVERAGE(V:V)*0.9,"Low risk",TRUE,"Medium risk"),"N/A")</f>
        <v>High risk</v>
      </c>
      <c r="AA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86" t="str" cm="1">
        <f t="array" ref="AC86">_xlfn.IFS(
AND(Table1[[#This Row],[Customer service risk level]]="High risk", Table1[[#This Row],[Intl usage behaviour]]="Unplanned Usage"),"High Risk",
OR(Table1[[#This Row],[Customer service risk level]]="Medium risk", Table1[[#This Row],[Charges risk level]]="High risk "),"Medium Risk",
TRUE,"Low Risk"
)</f>
        <v>High Risk</v>
      </c>
    </row>
    <row r="87" spans="1:29" x14ac:dyDescent="0.25">
      <c r="A87" t="s">
        <v>44</v>
      </c>
      <c r="B87">
        <v>85</v>
      </c>
      <c r="C87">
        <v>408</v>
      </c>
      <c r="D87" t="s">
        <v>21</v>
      </c>
      <c r="E87" t="s">
        <v>21</v>
      </c>
      <c r="F87">
        <v>0</v>
      </c>
      <c r="G87">
        <v>127.9</v>
      </c>
      <c r="H87">
        <v>107</v>
      </c>
      <c r="I87">
        <v>21.74</v>
      </c>
      <c r="J87">
        <v>271.2</v>
      </c>
      <c r="K87">
        <v>124</v>
      </c>
      <c r="L87">
        <v>23.05</v>
      </c>
      <c r="M87">
        <v>202.2</v>
      </c>
      <c r="N87">
        <v>76</v>
      </c>
      <c r="O87">
        <v>9.1</v>
      </c>
      <c r="P87">
        <v>12.5</v>
      </c>
      <c r="Q87">
        <v>5</v>
      </c>
      <c r="R87">
        <v>3.38</v>
      </c>
      <c r="S87">
        <v>0</v>
      </c>
      <c r="T87" t="b">
        <v>0</v>
      </c>
      <c r="U87">
        <f>IFERROR(SUM(Table1[[#This Row],[Total day minutes]],Table1[[#This Row],[Total eve minutes]],Table1[[#This Row],[Total night minutes]],Table1[[#This Row],[Total intl minutes]]),0)</f>
        <v>613.79999999999995</v>
      </c>
      <c r="V87">
        <f>SUM(Table1[[#This Row],[Total intl charge]],Table1[[#This Row],[Total night charge]],Table1[[#This Row],[Total eve charge]],Table1[[#This Row],[Total day charge]])</f>
        <v>57.269999999999996</v>
      </c>
      <c r="W87">
        <f>SUM(Table1[[#This Row],[Total intl calls]],Table1[[#This Row],[Total night calls]],Table1[[#This Row],[Total eve calls]],Table1[[#This Row],[Total day calls]])</f>
        <v>312</v>
      </c>
      <c r="X87" t="str" cm="1">
        <f t="array" ref="X87">_xlfn.IFS(Table1[[#This Row],[Customer service calls]]&gt;=4,"High risk",Table1[[#This Row],[Customer service calls]]&gt;=2,"Medium risk",TRUE,"Low risk")</f>
        <v>Low risk</v>
      </c>
      <c r="Y87" t="str" cm="1">
        <f t="array" ref="Y87">IFERROR(_xlfn.IFS(Table1[[#This Row],[Total usage(Min)]]&gt;=AVERAGE(U:U)*1.1,"High risk",Table1[[#This Row],[Total usage(Min)]]&lt;= AVERAGE(U:U)*0.9,"Low risk",TRUE,"Medium risk"),"N/A")</f>
        <v>Medium risk</v>
      </c>
      <c r="Z87" t="str" cm="1">
        <f t="array" ref="Z87">IFERROR(_xlfn.IFS(Table1[[#This Row],[Total charges]]&gt;=AVERAGE(V:V)*1.1,"High risk",Table1[[#This Row],[Total charges]]&lt;=AVERAGE(V:V)*0.9,"Low risk",TRUE,"Medium risk"),"N/A")</f>
        <v>Medium risk</v>
      </c>
      <c r="AA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7" t="str" cm="1">
        <f t="array" ref="AC87">_xlfn.IFS(
AND(Table1[[#This Row],[Customer service risk level]]="High risk", Table1[[#This Row],[Intl usage behaviour]]="Unplanned Usage"),"High Risk",
OR(Table1[[#This Row],[Customer service risk level]]="Medium risk", Table1[[#This Row],[Charges risk level]]="High risk "),"Medium Risk",
TRUE,"Low Risk"
)</f>
        <v>Low Risk</v>
      </c>
    </row>
    <row r="88" spans="1:29" x14ac:dyDescent="0.25">
      <c r="A88" t="s">
        <v>54</v>
      </c>
      <c r="B88">
        <v>91</v>
      </c>
      <c r="C88">
        <v>510</v>
      </c>
      <c r="D88" t="s">
        <v>21</v>
      </c>
      <c r="E88" t="s">
        <v>21</v>
      </c>
      <c r="F88">
        <v>0</v>
      </c>
      <c r="G88">
        <v>149</v>
      </c>
      <c r="H88">
        <v>115</v>
      </c>
      <c r="I88">
        <v>25.33</v>
      </c>
      <c r="J88">
        <v>245.3</v>
      </c>
      <c r="K88">
        <v>105</v>
      </c>
      <c r="L88">
        <v>20.85</v>
      </c>
      <c r="M88">
        <v>260</v>
      </c>
      <c r="N88">
        <v>94</v>
      </c>
      <c r="O88">
        <v>11.7</v>
      </c>
      <c r="P88">
        <v>8.3000000000000007</v>
      </c>
      <c r="Q88">
        <v>3</v>
      </c>
      <c r="R88">
        <v>2.2400000000000002</v>
      </c>
      <c r="S88">
        <v>0</v>
      </c>
      <c r="T88" t="b">
        <v>0</v>
      </c>
      <c r="U88">
        <f>IFERROR(SUM(Table1[[#This Row],[Total day minutes]],Table1[[#This Row],[Total eve minutes]],Table1[[#This Row],[Total night minutes]],Table1[[#This Row],[Total intl minutes]]),0)</f>
        <v>662.59999999999991</v>
      </c>
      <c r="V88">
        <f>SUM(Table1[[#This Row],[Total intl charge]],Table1[[#This Row],[Total night charge]],Table1[[#This Row],[Total eve charge]],Table1[[#This Row],[Total day charge]])</f>
        <v>60.12</v>
      </c>
      <c r="W88">
        <f>SUM(Table1[[#This Row],[Total intl calls]],Table1[[#This Row],[Total night calls]],Table1[[#This Row],[Total eve calls]],Table1[[#This Row],[Total day calls]])</f>
        <v>317</v>
      </c>
      <c r="X88" t="str" cm="1">
        <f t="array" ref="X88">_xlfn.IFS(Table1[[#This Row],[Customer service calls]]&gt;=4,"High risk",Table1[[#This Row],[Customer service calls]]&gt;=2,"Medium risk",TRUE,"Low risk")</f>
        <v>Low risk</v>
      </c>
      <c r="Y88" t="str" cm="1">
        <f t="array" ref="Y88">IFERROR(_xlfn.IFS(Table1[[#This Row],[Total usage(Min)]]&gt;=AVERAGE(U:U)*1.1,"High risk",Table1[[#This Row],[Total usage(Min)]]&lt;= AVERAGE(U:U)*0.9,"Low risk",TRUE,"Medium risk"),"N/A")</f>
        <v>High risk</v>
      </c>
      <c r="Z88" t="str" cm="1">
        <f t="array" ref="Z88">IFERROR(_xlfn.IFS(Table1[[#This Row],[Total charges]]&gt;=AVERAGE(V:V)*1.1,"High risk",Table1[[#This Row],[Total charges]]&lt;=AVERAGE(V:V)*0.9,"Low risk",TRUE,"Medium risk"),"N/A")</f>
        <v>Medium risk</v>
      </c>
      <c r="AA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88" t="str" cm="1">
        <f t="array" ref="AC88">_xlfn.IFS(
AND(Table1[[#This Row],[Customer service risk level]]="High risk", Table1[[#This Row],[Intl usage behaviour]]="Unplanned Usage"),"High Risk",
OR(Table1[[#This Row],[Customer service risk level]]="Medium risk", Table1[[#This Row],[Charges risk level]]="High risk "),"Medium Risk",
TRUE,"Low Risk"
)</f>
        <v>Low Risk</v>
      </c>
    </row>
    <row r="89" spans="1:29" x14ac:dyDescent="0.25">
      <c r="A89" t="s">
        <v>20</v>
      </c>
      <c r="B89">
        <v>149</v>
      </c>
      <c r="C89">
        <v>415</v>
      </c>
      <c r="D89" t="s">
        <v>21</v>
      </c>
      <c r="E89" t="s">
        <v>27</v>
      </c>
      <c r="F89">
        <v>20</v>
      </c>
      <c r="G89">
        <v>198.9</v>
      </c>
      <c r="H89">
        <v>77</v>
      </c>
      <c r="I89">
        <v>33.81</v>
      </c>
      <c r="J89">
        <v>274</v>
      </c>
      <c r="K89">
        <v>88</v>
      </c>
      <c r="L89">
        <v>23.29</v>
      </c>
      <c r="M89">
        <v>190.7</v>
      </c>
      <c r="N89">
        <v>76</v>
      </c>
      <c r="O89">
        <v>8.58</v>
      </c>
      <c r="P89">
        <v>14.3</v>
      </c>
      <c r="Q89">
        <v>9</v>
      </c>
      <c r="R89">
        <v>3.86</v>
      </c>
      <c r="S89">
        <v>1</v>
      </c>
      <c r="T89" t="b">
        <v>0</v>
      </c>
      <c r="U89">
        <f>IFERROR(SUM(Table1[[#This Row],[Total day minutes]],Table1[[#This Row],[Total eve minutes]],Table1[[#This Row],[Total night minutes]],Table1[[#This Row],[Total intl minutes]]),0)</f>
        <v>677.89999999999986</v>
      </c>
      <c r="V89">
        <f>SUM(Table1[[#This Row],[Total intl charge]],Table1[[#This Row],[Total night charge]],Table1[[#This Row],[Total eve charge]],Table1[[#This Row],[Total day charge]])</f>
        <v>69.539999999999992</v>
      </c>
      <c r="W89">
        <f>SUM(Table1[[#This Row],[Total intl calls]],Table1[[#This Row],[Total night calls]],Table1[[#This Row],[Total eve calls]],Table1[[#This Row],[Total day calls]])</f>
        <v>250</v>
      </c>
      <c r="X89" t="str" cm="1">
        <f t="array" ref="X89">_xlfn.IFS(Table1[[#This Row],[Customer service calls]]&gt;=4,"High risk",Table1[[#This Row],[Customer service calls]]&gt;=2,"Medium risk",TRUE,"Low risk")</f>
        <v>Low risk</v>
      </c>
      <c r="Y89" t="str" cm="1">
        <f t="array" ref="Y89">IFERROR(_xlfn.IFS(Table1[[#This Row],[Total usage(Min)]]&gt;=AVERAGE(U:U)*1.1,"High risk",Table1[[#This Row],[Total usage(Min)]]&lt;= AVERAGE(U:U)*0.9,"Low risk",TRUE,"Medium risk"),"N/A")</f>
        <v>High risk</v>
      </c>
      <c r="Z89" t="str" cm="1">
        <f t="array" ref="Z89">IFERROR(_xlfn.IFS(Table1[[#This Row],[Total charges]]&gt;=AVERAGE(V:V)*1.1,"High risk",Table1[[#This Row],[Total charges]]&lt;=AVERAGE(V:V)*0.9,"Low risk",TRUE,"Medium risk"),"N/A")</f>
        <v>High risk</v>
      </c>
      <c r="AA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8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89" t="str" cm="1">
        <f t="array" ref="AC89">_xlfn.IFS(
AND(Table1[[#This Row],[Customer service risk level]]="High risk", Table1[[#This Row],[Intl usage behaviour]]="Unplanned Usage"),"High Risk",
OR(Table1[[#This Row],[Customer service risk level]]="Medium risk", Table1[[#This Row],[Charges risk level]]="High risk "),"Medium Risk",
TRUE,"Low Risk"
)</f>
        <v>Low Risk</v>
      </c>
    </row>
    <row r="90" spans="1:29" x14ac:dyDescent="0.25">
      <c r="A90" t="s">
        <v>38</v>
      </c>
      <c r="B90">
        <v>60</v>
      </c>
      <c r="C90">
        <v>415</v>
      </c>
      <c r="D90" t="s">
        <v>21</v>
      </c>
      <c r="E90" t="s">
        <v>21</v>
      </c>
      <c r="F90">
        <v>0</v>
      </c>
      <c r="G90">
        <v>98.2</v>
      </c>
      <c r="H90">
        <v>88</v>
      </c>
      <c r="I90">
        <v>16.690000000000001</v>
      </c>
      <c r="J90">
        <v>180.5</v>
      </c>
      <c r="K90">
        <v>69</v>
      </c>
      <c r="L90">
        <v>15.34</v>
      </c>
      <c r="M90">
        <v>223.6</v>
      </c>
      <c r="N90">
        <v>69</v>
      </c>
      <c r="O90">
        <v>10.06</v>
      </c>
      <c r="P90">
        <v>9.3000000000000007</v>
      </c>
      <c r="Q90">
        <v>2</v>
      </c>
      <c r="R90">
        <v>2.5099999999999998</v>
      </c>
      <c r="S90">
        <v>2</v>
      </c>
      <c r="T90" t="b">
        <v>0</v>
      </c>
      <c r="U90">
        <f>IFERROR(SUM(Table1[[#This Row],[Total day minutes]],Table1[[#This Row],[Total eve minutes]],Table1[[#This Row],[Total night minutes]],Table1[[#This Row],[Total intl minutes]]),0)</f>
        <v>511.59999999999997</v>
      </c>
      <c r="V90">
        <f>SUM(Table1[[#This Row],[Total intl charge]],Table1[[#This Row],[Total night charge]],Table1[[#This Row],[Total eve charge]],Table1[[#This Row],[Total day charge]])</f>
        <v>44.6</v>
      </c>
      <c r="W90">
        <f>SUM(Table1[[#This Row],[Total intl calls]],Table1[[#This Row],[Total night calls]],Table1[[#This Row],[Total eve calls]],Table1[[#This Row],[Total day calls]])</f>
        <v>228</v>
      </c>
      <c r="X90" t="str" cm="1">
        <f t="array" ref="X90">_xlfn.IFS(Table1[[#This Row],[Customer service calls]]&gt;=4,"High risk",Table1[[#This Row],[Customer service calls]]&gt;=2,"Medium risk",TRUE,"Low risk")</f>
        <v>Medium risk</v>
      </c>
      <c r="Y90" t="str" cm="1">
        <f t="array" ref="Y90">IFERROR(_xlfn.IFS(Table1[[#This Row],[Total usage(Min)]]&gt;=AVERAGE(U:U)*1.1,"High risk",Table1[[#This Row],[Total usage(Min)]]&lt;= AVERAGE(U:U)*0.9,"Low risk",TRUE,"Medium risk"),"N/A")</f>
        <v>Low risk</v>
      </c>
      <c r="Z90" t="str" cm="1">
        <f t="array" ref="Z90">IFERROR(_xlfn.IFS(Table1[[#This Row],[Total charges]]&gt;=AVERAGE(V:V)*1.1,"High risk",Table1[[#This Row],[Total charges]]&lt;=AVERAGE(V:V)*0.9,"Low risk",TRUE,"Medium risk"),"N/A")</f>
        <v>Low risk</v>
      </c>
      <c r="AA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0" t="str" cm="1">
        <f t="array" ref="AC90">_xlfn.IFS(
AND(Table1[[#This Row],[Customer service risk level]]="High risk", Table1[[#This Row],[Intl usage behaviour]]="Unplanned Usage"),"High Risk",
OR(Table1[[#This Row],[Customer service risk level]]="Medium risk", Table1[[#This Row],[Charges risk level]]="High risk "),"Medium Risk",
TRUE,"Low Risk"
)</f>
        <v>Medium Risk</v>
      </c>
    </row>
    <row r="91" spans="1:29" x14ac:dyDescent="0.25">
      <c r="A91" t="s">
        <v>57</v>
      </c>
      <c r="B91">
        <v>115</v>
      </c>
      <c r="C91">
        <v>408</v>
      </c>
      <c r="D91" t="s">
        <v>21</v>
      </c>
      <c r="E91" t="s">
        <v>21</v>
      </c>
      <c r="F91">
        <v>0</v>
      </c>
      <c r="G91">
        <v>147.9</v>
      </c>
      <c r="H91">
        <v>109</v>
      </c>
      <c r="I91">
        <v>25.14</v>
      </c>
      <c r="J91">
        <v>228.4</v>
      </c>
      <c r="K91">
        <v>117</v>
      </c>
      <c r="L91">
        <v>19.41</v>
      </c>
      <c r="M91">
        <v>299.7</v>
      </c>
      <c r="N91">
        <v>90</v>
      </c>
      <c r="O91">
        <v>13.49</v>
      </c>
      <c r="P91">
        <v>9.6</v>
      </c>
      <c r="Q91">
        <v>9</v>
      </c>
      <c r="R91">
        <v>2.59</v>
      </c>
      <c r="S91">
        <v>3</v>
      </c>
      <c r="T91" t="b">
        <v>0</v>
      </c>
      <c r="U91">
        <f>IFERROR(SUM(Table1[[#This Row],[Total day minutes]],Table1[[#This Row],[Total eve minutes]],Table1[[#This Row],[Total night minutes]],Table1[[#This Row],[Total intl minutes]]),0)</f>
        <v>685.6</v>
      </c>
      <c r="V91">
        <f>SUM(Table1[[#This Row],[Total intl charge]],Table1[[#This Row],[Total night charge]],Table1[[#This Row],[Total eve charge]],Table1[[#This Row],[Total day charge]])</f>
        <v>60.629999999999995</v>
      </c>
      <c r="W91">
        <f>SUM(Table1[[#This Row],[Total intl calls]],Table1[[#This Row],[Total night calls]],Table1[[#This Row],[Total eve calls]],Table1[[#This Row],[Total day calls]])</f>
        <v>325</v>
      </c>
      <c r="X91" t="str" cm="1">
        <f t="array" ref="X91">_xlfn.IFS(Table1[[#This Row],[Customer service calls]]&gt;=4,"High risk",Table1[[#This Row],[Customer service calls]]&gt;=2,"Medium risk",TRUE,"Low risk")</f>
        <v>Medium risk</v>
      </c>
      <c r="Y91" t="str" cm="1">
        <f t="array" ref="Y91">IFERROR(_xlfn.IFS(Table1[[#This Row],[Total usage(Min)]]&gt;=AVERAGE(U:U)*1.1,"High risk",Table1[[#This Row],[Total usage(Min)]]&lt;= AVERAGE(U:U)*0.9,"Low risk",TRUE,"Medium risk"),"N/A")</f>
        <v>High risk</v>
      </c>
      <c r="Z91" t="str" cm="1">
        <f t="array" ref="Z91">IFERROR(_xlfn.IFS(Table1[[#This Row],[Total charges]]&gt;=AVERAGE(V:V)*1.1,"High risk",Table1[[#This Row],[Total charges]]&lt;=AVERAGE(V:V)*0.9,"Low risk",TRUE,"Medium risk"),"N/A")</f>
        <v>Medium risk</v>
      </c>
      <c r="AA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1" t="str" cm="1">
        <f t="array" ref="AC91">_xlfn.IFS(
AND(Table1[[#This Row],[Customer service risk level]]="High risk", Table1[[#This Row],[Intl usage behaviour]]="Unplanned Usage"),"High Risk",
OR(Table1[[#This Row],[Customer service risk level]]="Medium risk", Table1[[#This Row],[Charges risk level]]="High risk "),"Medium Risk",
TRUE,"Low Risk"
)</f>
        <v>Medium Risk</v>
      </c>
    </row>
    <row r="92" spans="1:29" x14ac:dyDescent="0.25">
      <c r="A92" t="s">
        <v>42</v>
      </c>
      <c r="B92">
        <v>144</v>
      </c>
      <c r="C92">
        <v>415</v>
      </c>
      <c r="D92" t="s">
        <v>21</v>
      </c>
      <c r="E92" t="s">
        <v>27</v>
      </c>
      <c r="F92">
        <v>18</v>
      </c>
      <c r="G92">
        <v>106.4</v>
      </c>
      <c r="H92">
        <v>109</v>
      </c>
      <c r="I92">
        <v>18.09</v>
      </c>
      <c r="J92">
        <v>108.1</v>
      </c>
      <c r="K92">
        <v>113</v>
      </c>
      <c r="L92">
        <v>9.19</v>
      </c>
      <c r="M92">
        <v>208.4</v>
      </c>
      <c r="N92">
        <v>111</v>
      </c>
      <c r="O92">
        <v>9.3800000000000008</v>
      </c>
      <c r="P92">
        <v>10.1</v>
      </c>
      <c r="Q92">
        <v>5</v>
      </c>
      <c r="R92">
        <v>2.73</v>
      </c>
      <c r="S92">
        <v>1</v>
      </c>
      <c r="T92" t="b">
        <v>0</v>
      </c>
      <c r="U92">
        <f>IFERROR(SUM(Table1[[#This Row],[Total day minutes]],Table1[[#This Row],[Total eve minutes]],Table1[[#This Row],[Total night minutes]],Table1[[#This Row],[Total intl minutes]]),0)</f>
        <v>433</v>
      </c>
      <c r="V92">
        <f>SUM(Table1[[#This Row],[Total intl charge]],Table1[[#This Row],[Total night charge]],Table1[[#This Row],[Total eve charge]],Table1[[#This Row],[Total day charge]])</f>
        <v>39.39</v>
      </c>
      <c r="W92">
        <f>SUM(Table1[[#This Row],[Total intl calls]],Table1[[#This Row],[Total night calls]],Table1[[#This Row],[Total eve calls]],Table1[[#This Row],[Total day calls]])</f>
        <v>338</v>
      </c>
      <c r="X92" t="str" cm="1">
        <f t="array" ref="X92">_xlfn.IFS(Table1[[#This Row],[Customer service calls]]&gt;=4,"High risk",Table1[[#This Row],[Customer service calls]]&gt;=2,"Medium risk",TRUE,"Low risk")</f>
        <v>Low risk</v>
      </c>
      <c r="Y92" t="str" cm="1">
        <f t="array" ref="Y92">IFERROR(_xlfn.IFS(Table1[[#This Row],[Total usage(Min)]]&gt;=AVERAGE(U:U)*1.1,"High risk",Table1[[#This Row],[Total usage(Min)]]&lt;= AVERAGE(U:U)*0.9,"Low risk",TRUE,"Medium risk"),"N/A")</f>
        <v>Low risk</v>
      </c>
      <c r="Z92" t="str" cm="1">
        <f t="array" ref="Z92">IFERROR(_xlfn.IFS(Table1[[#This Row],[Total charges]]&gt;=AVERAGE(V:V)*1.1,"High risk",Table1[[#This Row],[Total charges]]&lt;=AVERAGE(V:V)*0.9,"Low risk",TRUE,"Medium risk"),"N/A")</f>
        <v>Low risk</v>
      </c>
      <c r="AA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92" t="str" cm="1">
        <f t="array" ref="AC92">_xlfn.IFS(
AND(Table1[[#This Row],[Customer service risk level]]="High risk", Table1[[#This Row],[Intl usage behaviour]]="Unplanned Usage"),"High Risk",
OR(Table1[[#This Row],[Customer service risk level]]="Medium risk", Table1[[#This Row],[Charges risk level]]="High risk "),"Medium Risk",
TRUE,"Low Risk"
)</f>
        <v>Low Risk</v>
      </c>
    </row>
    <row r="93" spans="1:29" x14ac:dyDescent="0.25">
      <c r="A93" t="s">
        <v>38</v>
      </c>
      <c r="B93">
        <v>86</v>
      </c>
      <c r="C93">
        <v>415</v>
      </c>
      <c r="D93" t="s">
        <v>21</v>
      </c>
      <c r="E93" t="s">
        <v>27</v>
      </c>
      <c r="F93">
        <v>32</v>
      </c>
      <c r="G93">
        <v>70.900000000000006</v>
      </c>
      <c r="H93">
        <v>163</v>
      </c>
      <c r="I93">
        <v>12.05</v>
      </c>
      <c r="J93">
        <v>166.7</v>
      </c>
      <c r="K93">
        <v>121</v>
      </c>
      <c r="L93">
        <v>14.17</v>
      </c>
      <c r="M93">
        <v>244.9</v>
      </c>
      <c r="N93">
        <v>105</v>
      </c>
      <c r="O93">
        <v>11.02</v>
      </c>
      <c r="P93">
        <v>11.1</v>
      </c>
      <c r="Q93">
        <v>5</v>
      </c>
      <c r="R93">
        <v>3</v>
      </c>
      <c r="S93">
        <v>3</v>
      </c>
      <c r="T93" t="b">
        <v>0</v>
      </c>
      <c r="U93">
        <f>IFERROR(SUM(Table1[[#This Row],[Total day minutes]],Table1[[#This Row],[Total eve minutes]],Table1[[#This Row],[Total night minutes]],Table1[[#This Row],[Total intl minutes]]),0)</f>
        <v>493.6</v>
      </c>
      <c r="V93">
        <f>SUM(Table1[[#This Row],[Total intl charge]],Table1[[#This Row],[Total night charge]],Table1[[#This Row],[Total eve charge]],Table1[[#This Row],[Total day charge]])</f>
        <v>40.239999999999995</v>
      </c>
      <c r="W93">
        <f>SUM(Table1[[#This Row],[Total intl calls]],Table1[[#This Row],[Total night calls]],Table1[[#This Row],[Total eve calls]],Table1[[#This Row],[Total day calls]])</f>
        <v>394</v>
      </c>
      <c r="X93" t="str" cm="1">
        <f t="array" ref="X93">_xlfn.IFS(Table1[[#This Row],[Customer service calls]]&gt;=4,"High risk",Table1[[#This Row],[Customer service calls]]&gt;=2,"Medium risk",TRUE,"Low risk")</f>
        <v>Medium risk</v>
      </c>
      <c r="Y93" t="str" cm="1">
        <f t="array" ref="Y93">IFERROR(_xlfn.IFS(Table1[[#This Row],[Total usage(Min)]]&gt;=AVERAGE(U:U)*1.1,"High risk",Table1[[#This Row],[Total usage(Min)]]&lt;= AVERAGE(U:U)*0.9,"Low risk",TRUE,"Medium risk"),"N/A")</f>
        <v>Low risk</v>
      </c>
      <c r="Z93" t="str" cm="1">
        <f t="array" ref="Z93">IFERROR(_xlfn.IFS(Table1[[#This Row],[Total charges]]&gt;=AVERAGE(V:V)*1.1,"High risk",Table1[[#This Row],[Total charges]]&lt;=AVERAGE(V:V)*0.9,"Low risk",TRUE,"Medium risk"),"N/A")</f>
        <v>Low risk</v>
      </c>
      <c r="AA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93" t="str" cm="1">
        <f t="array" ref="AC93">_xlfn.IFS(
AND(Table1[[#This Row],[Customer service risk level]]="High risk", Table1[[#This Row],[Intl usage behaviour]]="Unplanned Usage"),"High Risk",
OR(Table1[[#This Row],[Customer service risk level]]="Medium risk", Table1[[#This Row],[Charges risk level]]="High risk "),"Medium Risk",
TRUE,"Low Risk"
)</f>
        <v>Medium Risk</v>
      </c>
    </row>
    <row r="94" spans="1:29" x14ac:dyDescent="0.25">
      <c r="A94" t="s">
        <v>28</v>
      </c>
      <c r="B94">
        <v>139</v>
      </c>
      <c r="C94">
        <v>415</v>
      </c>
      <c r="D94" t="s">
        <v>21</v>
      </c>
      <c r="E94" t="s">
        <v>27</v>
      </c>
      <c r="F94">
        <v>20</v>
      </c>
      <c r="G94">
        <v>214.6</v>
      </c>
      <c r="H94">
        <v>101</v>
      </c>
      <c r="I94">
        <v>36.479999999999997</v>
      </c>
      <c r="J94">
        <v>235.1</v>
      </c>
      <c r="K94">
        <v>132</v>
      </c>
      <c r="L94">
        <v>19.98</v>
      </c>
      <c r="M94">
        <v>162.80000000000001</v>
      </c>
      <c r="N94">
        <v>132</v>
      </c>
      <c r="O94">
        <v>7.33</v>
      </c>
      <c r="P94">
        <v>14.8</v>
      </c>
      <c r="Q94">
        <v>12</v>
      </c>
      <c r="R94">
        <v>4</v>
      </c>
      <c r="S94">
        <v>0</v>
      </c>
      <c r="T94" t="b">
        <v>0</v>
      </c>
      <c r="U94">
        <f>IFERROR(SUM(Table1[[#This Row],[Total day minutes]],Table1[[#This Row],[Total eve minutes]],Table1[[#This Row],[Total night minutes]],Table1[[#This Row],[Total intl minutes]]),0)</f>
        <v>627.29999999999995</v>
      </c>
      <c r="V94">
        <f>SUM(Table1[[#This Row],[Total intl charge]],Table1[[#This Row],[Total night charge]],Table1[[#This Row],[Total eve charge]],Table1[[#This Row],[Total day charge]])</f>
        <v>67.789999999999992</v>
      </c>
      <c r="W94">
        <f>SUM(Table1[[#This Row],[Total intl calls]],Table1[[#This Row],[Total night calls]],Table1[[#This Row],[Total eve calls]],Table1[[#This Row],[Total day calls]])</f>
        <v>377</v>
      </c>
      <c r="X94" t="str" cm="1">
        <f t="array" ref="X94">_xlfn.IFS(Table1[[#This Row],[Customer service calls]]&gt;=4,"High risk",Table1[[#This Row],[Customer service calls]]&gt;=2,"Medium risk",TRUE,"Low risk")</f>
        <v>Low risk</v>
      </c>
      <c r="Y94" t="str" cm="1">
        <f t="array" ref="Y94">IFERROR(_xlfn.IFS(Table1[[#This Row],[Total usage(Min)]]&gt;=AVERAGE(U:U)*1.1,"High risk",Table1[[#This Row],[Total usage(Min)]]&lt;= AVERAGE(U:U)*0.9,"Low risk",TRUE,"Medium risk"),"N/A")</f>
        <v>Medium risk</v>
      </c>
      <c r="Z94" t="str" cm="1">
        <f t="array" ref="Z94">IFERROR(_xlfn.IFS(Table1[[#This Row],[Total charges]]&gt;=AVERAGE(V:V)*1.1,"High risk",Table1[[#This Row],[Total charges]]&lt;=AVERAGE(V:V)*0.9,"Low risk",TRUE,"Medium risk"),"N/A")</f>
        <v>High risk</v>
      </c>
      <c r="AA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94" t="str" cm="1">
        <f t="array" ref="AC94">_xlfn.IFS(
AND(Table1[[#This Row],[Customer service risk level]]="High risk", Table1[[#This Row],[Intl usage behaviour]]="Unplanned Usage"),"High Risk",
OR(Table1[[#This Row],[Customer service risk level]]="Medium risk", Table1[[#This Row],[Charges risk level]]="High risk "),"Medium Risk",
TRUE,"Low Risk"
)</f>
        <v>Low Risk</v>
      </c>
    </row>
    <row r="95" spans="1:29" x14ac:dyDescent="0.25">
      <c r="A95" t="s">
        <v>60</v>
      </c>
      <c r="B95">
        <v>124</v>
      </c>
      <c r="C95">
        <v>408</v>
      </c>
      <c r="D95" t="s">
        <v>21</v>
      </c>
      <c r="E95" t="s">
        <v>21</v>
      </c>
      <c r="F95">
        <v>0</v>
      </c>
      <c r="G95">
        <v>151.1</v>
      </c>
      <c r="H95">
        <v>123</v>
      </c>
      <c r="I95">
        <v>25.69</v>
      </c>
      <c r="J95">
        <v>187.4</v>
      </c>
      <c r="K95">
        <v>104</v>
      </c>
      <c r="L95">
        <v>15.93</v>
      </c>
      <c r="M95">
        <v>255.4</v>
      </c>
      <c r="N95">
        <v>93</v>
      </c>
      <c r="O95">
        <v>11.49</v>
      </c>
      <c r="P95">
        <v>5.3</v>
      </c>
      <c r="Q95">
        <v>3</v>
      </c>
      <c r="R95">
        <v>1.43</v>
      </c>
      <c r="S95">
        <v>1</v>
      </c>
      <c r="T95" t="b">
        <v>0</v>
      </c>
      <c r="U95">
        <f>IFERROR(SUM(Table1[[#This Row],[Total day minutes]],Table1[[#This Row],[Total eve minutes]],Table1[[#This Row],[Total night minutes]],Table1[[#This Row],[Total intl minutes]]),0)</f>
        <v>599.19999999999993</v>
      </c>
      <c r="V95">
        <f>SUM(Table1[[#This Row],[Total intl charge]],Table1[[#This Row],[Total night charge]],Table1[[#This Row],[Total eve charge]],Table1[[#This Row],[Total day charge]])</f>
        <v>54.540000000000006</v>
      </c>
      <c r="W95">
        <f>SUM(Table1[[#This Row],[Total intl calls]],Table1[[#This Row],[Total night calls]],Table1[[#This Row],[Total eve calls]],Table1[[#This Row],[Total day calls]])</f>
        <v>323</v>
      </c>
      <c r="X95" t="str" cm="1">
        <f t="array" ref="X95">_xlfn.IFS(Table1[[#This Row],[Customer service calls]]&gt;=4,"High risk",Table1[[#This Row],[Customer service calls]]&gt;=2,"Medium risk",TRUE,"Low risk")</f>
        <v>Low risk</v>
      </c>
      <c r="Y95" t="str" cm="1">
        <f t="array" ref="Y95">IFERROR(_xlfn.IFS(Table1[[#This Row],[Total usage(Min)]]&gt;=AVERAGE(U:U)*1.1,"High risk",Table1[[#This Row],[Total usage(Min)]]&lt;= AVERAGE(U:U)*0.9,"Low risk",TRUE,"Medium risk"),"N/A")</f>
        <v>Medium risk</v>
      </c>
      <c r="Z95" t="str" cm="1">
        <f t="array" ref="Z95">IFERROR(_xlfn.IFS(Table1[[#This Row],[Total charges]]&gt;=AVERAGE(V:V)*1.1,"High risk",Table1[[#This Row],[Total charges]]&lt;=AVERAGE(V:V)*0.9,"Low risk",TRUE,"Medium risk"),"N/A")</f>
        <v>Medium risk</v>
      </c>
      <c r="AA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5" t="str" cm="1">
        <f t="array" ref="AC95">_xlfn.IFS(
AND(Table1[[#This Row],[Customer service risk level]]="High risk", Table1[[#This Row],[Intl usage behaviour]]="Unplanned Usage"),"High Risk",
OR(Table1[[#This Row],[Customer service risk level]]="Medium risk", Table1[[#This Row],[Charges risk level]]="High risk "),"Medium Risk",
TRUE,"Low Risk"
)</f>
        <v>Low Risk</v>
      </c>
    </row>
    <row r="96" spans="1:29" x14ac:dyDescent="0.25">
      <c r="A96" t="s">
        <v>35</v>
      </c>
      <c r="B96">
        <v>102</v>
      </c>
      <c r="C96">
        <v>510</v>
      </c>
      <c r="D96" t="s">
        <v>27</v>
      </c>
      <c r="E96" t="s">
        <v>21</v>
      </c>
      <c r="F96">
        <v>0</v>
      </c>
      <c r="G96">
        <v>233.8</v>
      </c>
      <c r="H96">
        <v>103</v>
      </c>
      <c r="I96">
        <v>39.75</v>
      </c>
      <c r="J96">
        <v>221.6</v>
      </c>
      <c r="K96">
        <v>131</v>
      </c>
      <c r="L96">
        <v>18.84</v>
      </c>
      <c r="M96">
        <v>146.9</v>
      </c>
      <c r="N96">
        <v>106</v>
      </c>
      <c r="O96">
        <v>6.61</v>
      </c>
      <c r="P96">
        <v>12.8</v>
      </c>
      <c r="Q96">
        <v>3</v>
      </c>
      <c r="R96">
        <v>3.46</v>
      </c>
      <c r="S96">
        <v>0</v>
      </c>
      <c r="T96" t="b">
        <v>0</v>
      </c>
      <c r="U96">
        <f>IFERROR(SUM(Table1[[#This Row],[Total day minutes]],Table1[[#This Row],[Total eve minutes]],Table1[[#This Row],[Total night minutes]],Table1[[#This Row],[Total intl minutes]]),0)</f>
        <v>615.09999999999991</v>
      </c>
      <c r="V96">
        <f>SUM(Table1[[#This Row],[Total intl charge]],Table1[[#This Row],[Total night charge]],Table1[[#This Row],[Total eve charge]],Table1[[#This Row],[Total day charge]])</f>
        <v>68.66</v>
      </c>
      <c r="W96">
        <f>SUM(Table1[[#This Row],[Total intl calls]],Table1[[#This Row],[Total night calls]],Table1[[#This Row],[Total eve calls]],Table1[[#This Row],[Total day calls]])</f>
        <v>343</v>
      </c>
      <c r="X96" t="str" cm="1">
        <f t="array" ref="X96">_xlfn.IFS(Table1[[#This Row],[Customer service calls]]&gt;=4,"High risk",Table1[[#This Row],[Customer service calls]]&gt;=2,"Medium risk",TRUE,"Low risk")</f>
        <v>Low risk</v>
      </c>
      <c r="Y96" t="str" cm="1">
        <f t="array" ref="Y96">IFERROR(_xlfn.IFS(Table1[[#This Row],[Total usage(Min)]]&gt;=AVERAGE(U:U)*1.1,"High risk",Table1[[#This Row],[Total usage(Min)]]&lt;= AVERAGE(U:U)*0.9,"Low risk",TRUE,"Medium risk"),"N/A")</f>
        <v>Medium risk</v>
      </c>
      <c r="Z96" t="str" cm="1">
        <f t="array" ref="Z96">IFERROR(_xlfn.IFS(Table1[[#This Row],[Total charges]]&gt;=AVERAGE(V:V)*1.1,"High risk",Table1[[#This Row],[Total charges]]&lt;=AVERAGE(V:V)*0.9,"Low risk",TRUE,"Medium risk"),"N/A")</f>
        <v>High risk</v>
      </c>
      <c r="AA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9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6" t="str" cm="1">
        <f t="array" ref="AC96">_xlfn.IFS(
AND(Table1[[#This Row],[Customer service risk level]]="High risk", Table1[[#This Row],[Intl usage behaviour]]="Unplanned Usage"),"High Risk",
OR(Table1[[#This Row],[Customer service risk level]]="Medium risk", Table1[[#This Row],[Charges risk level]]="High risk "),"Medium Risk",
TRUE,"Low Risk"
)</f>
        <v>Low Risk</v>
      </c>
    </row>
    <row r="97" spans="1:29" x14ac:dyDescent="0.25">
      <c r="A97" t="s">
        <v>22</v>
      </c>
      <c r="B97">
        <v>78</v>
      </c>
      <c r="C97">
        <v>415</v>
      </c>
      <c r="D97" t="s">
        <v>21</v>
      </c>
      <c r="E97" t="s">
        <v>21</v>
      </c>
      <c r="F97">
        <v>0</v>
      </c>
      <c r="G97">
        <v>208.9</v>
      </c>
      <c r="H97">
        <v>119</v>
      </c>
      <c r="I97">
        <v>35.51</v>
      </c>
      <c r="J97">
        <v>252.4</v>
      </c>
      <c r="K97">
        <v>132</v>
      </c>
      <c r="L97">
        <v>21.45</v>
      </c>
      <c r="M97">
        <v>280.2</v>
      </c>
      <c r="N97">
        <v>120</v>
      </c>
      <c r="O97">
        <v>12.61</v>
      </c>
      <c r="P97">
        <v>12.8</v>
      </c>
      <c r="Q97">
        <v>7</v>
      </c>
      <c r="R97">
        <v>3.46</v>
      </c>
      <c r="S97">
        <v>0</v>
      </c>
      <c r="T97" t="b">
        <v>0</v>
      </c>
      <c r="U97">
        <f>IFERROR(SUM(Table1[[#This Row],[Total day minutes]],Table1[[#This Row],[Total eve minutes]],Table1[[#This Row],[Total night minutes]],Table1[[#This Row],[Total intl minutes]]),0)</f>
        <v>754.3</v>
      </c>
      <c r="V97">
        <f>SUM(Table1[[#This Row],[Total intl charge]],Table1[[#This Row],[Total night charge]],Table1[[#This Row],[Total eve charge]],Table1[[#This Row],[Total day charge]])</f>
        <v>73.03</v>
      </c>
      <c r="W97">
        <f>SUM(Table1[[#This Row],[Total intl calls]],Table1[[#This Row],[Total night calls]],Table1[[#This Row],[Total eve calls]],Table1[[#This Row],[Total day calls]])</f>
        <v>378</v>
      </c>
      <c r="X97" t="str" cm="1">
        <f t="array" ref="X97">_xlfn.IFS(Table1[[#This Row],[Customer service calls]]&gt;=4,"High risk",Table1[[#This Row],[Customer service calls]]&gt;=2,"Medium risk",TRUE,"Low risk")</f>
        <v>Low risk</v>
      </c>
      <c r="Y97" t="str" cm="1">
        <f t="array" ref="Y97">IFERROR(_xlfn.IFS(Table1[[#This Row],[Total usage(Min)]]&gt;=AVERAGE(U:U)*1.1,"High risk",Table1[[#This Row],[Total usage(Min)]]&lt;= AVERAGE(U:U)*0.9,"Low risk",TRUE,"Medium risk"),"N/A")</f>
        <v>High risk</v>
      </c>
      <c r="Z97" t="str" cm="1">
        <f t="array" ref="Z97">IFERROR(_xlfn.IFS(Table1[[#This Row],[Total charges]]&gt;=AVERAGE(V:V)*1.1,"High risk",Table1[[#This Row],[Total charges]]&lt;=AVERAGE(V:V)*0.9,"Low risk",TRUE,"Medium risk"),"N/A")</f>
        <v>High risk</v>
      </c>
      <c r="AA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7" t="str" cm="1">
        <f t="array" ref="AC97">_xlfn.IFS(
AND(Table1[[#This Row],[Customer service risk level]]="High risk", Table1[[#This Row],[Intl usage behaviour]]="Unplanned Usage"),"High Risk",
OR(Table1[[#This Row],[Customer service risk level]]="Medium risk", Table1[[#This Row],[Charges risk level]]="High risk "),"Medium Risk",
TRUE,"Low Risk"
)</f>
        <v>Low Risk</v>
      </c>
    </row>
    <row r="98" spans="1:29" x14ac:dyDescent="0.25">
      <c r="A98" t="s">
        <v>44</v>
      </c>
      <c r="B98">
        <v>55</v>
      </c>
      <c r="C98">
        <v>415</v>
      </c>
      <c r="D98" t="s">
        <v>27</v>
      </c>
      <c r="E98" t="s">
        <v>21</v>
      </c>
      <c r="F98">
        <v>0</v>
      </c>
      <c r="G98">
        <v>191.9</v>
      </c>
      <c r="H98">
        <v>91</v>
      </c>
      <c r="I98">
        <v>32.619999999999997</v>
      </c>
      <c r="J98">
        <v>256.10000000000002</v>
      </c>
      <c r="K98">
        <v>110</v>
      </c>
      <c r="L98">
        <v>21.77</v>
      </c>
      <c r="M98">
        <v>203.7</v>
      </c>
      <c r="N98">
        <v>101</v>
      </c>
      <c r="O98">
        <v>9.17</v>
      </c>
      <c r="P98">
        <v>14.3</v>
      </c>
      <c r="Q98">
        <v>6</v>
      </c>
      <c r="R98">
        <v>3.86</v>
      </c>
      <c r="S98">
        <v>1</v>
      </c>
      <c r="T98" t="b">
        <v>1</v>
      </c>
      <c r="U98">
        <f>IFERROR(SUM(Table1[[#This Row],[Total day minutes]],Table1[[#This Row],[Total eve minutes]],Table1[[#This Row],[Total night minutes]],Table1[[#This Row],[Total intl minutes]]),0)</f>
        <v>666</v>
      </c>
      <c r="V98">
        <f>SUM(Table1[[#This Row],[Total intl charge]],Table1[[#This Row],[Total night charge]],Table1[[#This Row],[Total eve charge]],Table1[[#This Row],[Total day charge]])</f>
        <v>67.419999999999987</v>
      </c>
      <c r="W98">
        <f>SUM(Table1[[#This Row],[Total intl calls]],Table1[[#This Row],[Total night calls]],Table1[[#This Row],[Total eve calls]],Table1[[#This Row],[Total day calls]])</f>
        <v>308</v>
      </c>
      <c r="X98" t="str" cm="1">
        <f t="array" ref="X98">_xlfn.IFS(Table1[[#This Row],[Customer service calls]]&gt;=4,"High risk",Table1[[#This Row],[Customer service calls]]&gt;=2,"Medium risk",TRUE,"Low risk")</f>
        <v>Low risk</v>
      </c>
      <c r="Y98" t="str" cm="1">
        <f t="array" ref="Y98">IFERROR(_xlfn.IFS(Table1[[#This Row],[Total usage(Min)]]&gt;=AVERAGE(U:U)*1.1,"High risk",Table1[[#This Row],[Total usage(Min)]]&lt;= AVERAGE(U:U)*0.9,"Low risk",TRUE,"Medium risk"),"N/A")</f>
        <v>High risk</v>
      </c>
      <c r="Z98" t="str" cm="1">
        <f t="array" ref="Z98">IFERROR(_xlfn.IFS(Table1[[#This Row],[Total charges]]&gt;=AVERAGE(V:V)*1.1,"High risk",Table1[[#This Row],[Total charges]]&lt;=AVERAGE(V:V)*0.9,"Low risk",TRUE,"Medium risk"),"N/A")</f>
        <v>High risk</v>
      </c>
      <c r="AA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9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98" t="str" cm="1">
        <f t="array" ref="AC98">_xlfn.IFS(
AND(Table1[[#This Row],[Customer service risk level]]="High risk", Table1[[#This Row],[Intl usage behaviour]]="Unplanned Usage"),"High Risk",
OR(Table1[[#This Row],[Customer service risk level]]="Medium risk", Table1[[#This Row],[Charges risk level]]="High risk "),"Medium Risk",
TRUE,"Low Risk"
)</f>
        <v>Low Risk</v>
      </c>
    </row>
    <row r="99" spans="1:29" x14ac:dyDescent="0.25">
      <c r="A99" t="s">
        <v>57</v>
      </c>
      <c r="B99">
        <v>129</v>
      </c>
      <c r="C99">
        <v>415</v>
      </c>
      <c r="D99" t="s">
        <v>21</v>
      </c>
      <c r="E99" t="s">
        <v>27</v>
      </c>
      <c r="F99">
        <v>33</v>
      </c>
      <c r="G99">
        <v>119.6</v>
      </c>
      <c r="H99">
        <v>104</v>
      </c>
      <c r="I99">
        <v>20.329999999999998</v>
      </c>
      <c r="J99">
        <v>278.7</v>
      </c>
      <c r="K99">
        <v>88</v>
      </c>
      <c r="L99">
        <v>23.69</v>
      </c>
      <c r="M99">
        <v>263.39999999999998</v>
      </c>
      <c r="N99">
        <v>175</v>
      </c>
      <c r="O99">
        <v>11.85</v>
      </c>
      <c r="P99">
        <v>5.9</v>
      </c>
      <c r="Q99">
        <v>2</v>
      </c>
      <c r="R99">
        <v>1.59</v>
      </c>
      <c r="S99">
        <v>2</v>
      </c>
      <c r="T99" t="b">
        <v>0</v>
      </c>
      <c r="U99">
        <f>IFERROR(SUM(Table1[[#This Row],[Total day minutes]],Table1[[#This Row],[Total eve minutes]],Table1[[#This Row],[Total night minutes]],Table1[[#This Row],[Total intl minutes]]),0)</f>
        <v>667.59999999999991</v>
      </c>
      <c r="V99">
        <f>SUM(Table1[[#This Row],[Total intl charge]],Table1[[#This Row],[Total night charge]],Table1[[#This Row],[Total eve charge]],Table1[[#This Row],[Total day charge]])</f>
        <v>57.46</v>
      </c>
      <c r="W99">
        <f>SUM(Table1[[#This Row],[Total intl calls]],Table1[[#This Row],[Total night calls]],Table1[[#This Row],[Total eve calls]],Table1[[#This Row],[Total day calls]])</f>
        <v>369</v>
      </c>
      <c r="X99" t="str" cm="1">
        <f t="array" ref="X99">_xlfn.IFS(Table1[[#This Row],[Customer service calls]]&gt;=4,"High risk",Table1[[#This Row],[Customer service calls]]&gt;=2,"Medium risk",TRUE,"Low risk")</f>
        <v>Medium risk</v>
      </c>
      <c r="Y99" t="str" cm="1">
        <f t="array" ref="Y99">IFERROR(_xlfn.IFS(Table1[[#This Row],[Total usage(Min)]]&gt;=AVERAGE(U:U)*1.1,"High risk",Table1[[#This Row],[Total usage(Min)]]&lt;= AVERAGE(U:U)*0.9,"Low risk",TRUE,"Medium risk"),"N/A")</f>
        <v>High risk</v>
      </c>
      <c r="Z99" t="str" cm="1">
        <f t="array" ref="Z99">IFERROR(_xlfn.IFS(Table1[[#This Row],[Total charges]]&gt;=AVERAGE(V:V)*1.1,"High risk",Table1[[#This Row],[Total charges]]&lt;=AVERAGE(V:V)*0.9,"Low risk",TRUE,"Medium risk"),"N/A")</f>
        <v>Medium risk</v>
      </c>
      <c r="AA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9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99" t="str" cm="1">
        <f t="array" ref="AC99">_xlfn.IFS(
AND(Table1[[#This Row],[Customer service risk level]]="High risk", Table1[[#This Row],[Intl usage behaviour]]="Unplanned Usage"),"High Risk",
OR(Table1[[#This Row],[Customer service risk level]]="Medium risk", Table1[[#This Row],[Charges risk level]]="High risk "),"Medium Risk",
TRUE,"Low Risk"
)</f>
        <v>Medium Risk</v>
      </c>
    </row>
    <row r="100" spans="1:29" x14ac:dyDescent="0.25">
      <c r="A100" t="s">
        <v>62</v>
      </c>
      <c r="B100">
        <v>75</v>
      </c>
      <c r="C100">
        <v>408</v>
      </c>
      <c r="D100" t="s">
        <v>27</v>
      </c>
      <c r="E100" t="s">
        <v>21</v>
      </c>
      <c r="F100">
        <v>0</v>
      </c>
      <c r="G100">
        <v>211.3</v>
      </c>
      <c r="H100">
        <v>61</v>
      </c>
      <c r="I100">
        <v>35.92</v>
      </c>
      <c r="J100">
        <v>105.6</v>
      </c>
      <c r="K100">
        <v>119</v>
      </c>
      <c r="L100">
        <v>8.98</v>
      </c>
      <c r="M100">
        <v>175.9</v>
      </c>
      <c r="N100">
        <v>63</v>
      </c>
      <c r="O100">
        <v>7.92</v>
      </c>
      <c r="P100">
        <v>9.6999999999999993</v>
      </c>
      <c r="Q100">
        <v>4</v>
      </c>
      <c r="R100">
        <v>2.62</v>
      </c>
      <c r="S100">
        <v>4</v>
      </c>
      <c r="T100" t="b">
        <v>1</v>
      </c>
      <c r="U100">
        <f>IFERROR(SUM(Table1[[#This Row],[Total day minutes]],Table1[[#This Row],[Total eve minutes]],Table1[[#This Row],[Total night minutes]],Table1[[#This Row],[Total intl minutes]]),0)</f>
        <v>502.49999999999994</v>
      </c>
      <c r="V100">
        <f>SUM(Table1[[#This Row],[Total intl charge]],Table1[[#This Row],[Total night charge]],Table1[[#This Row],[Total eve charge]],Table1[[#This Row],[Total day charge]])</f>
        <v>55.44</v>
      </c>
      <c r="W100">
        <f>SUM(Table1[[#This Row],[Total intl calls]],Table1[[#This Row],[Total night calls]],Table1[[#This Row],[Total eve calls]],Table1[[#This Row],[Total day calls]])</f>
        <v>247</v>
      </c>
      <c r="X100" t="str" cm="1">
        <f t="array" ref="X100">_xlfn.IFS(Table1[[#This Row],[Customer service calls]]&gt;=4,"High risk",Table1[[#This Row],[Customer service calls]]&gt;=2,"Medium risk",TRUE,"Low risk")</f>
        <v>High risk</v>
      </c>
      <c r="Y100" t="str" cm="1">
        <f t="array" ref="Y100">IFERROR(_xlfn.IFS(Table1[[#This Row],[Total usage(Min)]]&gt;=AVERAGE(U:U)*1.1,"High risk",Table1[[#This Row],[Total usage(Min)]]&lt;= AVERAGE(U:U)*0.9,"Low risk",TRUE,"Medium risk"),"N/A")</f>
        <v>Low risk</v>
      </c>
      <c r="Z100" t="str" cm="1">
        <f t="array" ref="Z100">IFERROR(_xlfn.IFS(Table1[[#This Row],[Total charges]]&gt;=AVERAGE(V:V)*1.1,"High risk",Table1[[#This Row],[Total charges]]&lt;=AVERAGE(V:V)*0.9,"Low risk",TRUE,"Medium risk"),"N/A")</f>
        <v>Medium risk</v>
      </c>
      <c r="AA1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0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0" t="str" cm="1">
        <f t="array" ref="AC100">_xlfn.IFS(
AND(Table1[[#This Row],[Customer service risk level]]="High risk", Table1[[#This Row],[Intl usage behaviour]]="Unplanned Usage"),"High Risk",
OR(Table1[[#This Row],[Customer service risk level]]="Medium risk", Table1[[#This Row],[Charges risk level]]="High risk "),"Medium Risk",
TRUE,"Low Risk"
)</f>
        <v>Low Risk</v>
      </c>
    </row>
    <row r="101" spans="1:29" x14ac:dyDescent="0.25">
      <c r="A101" t="s">
        <v>54</v>
      </c>
      <c r="B101">
        <v>126</v>
      </c>
      <c r="C101">
        <v>415</v>
      </c>
      <c r="D101" t="s">
        <v>21</v>
      </c>
      <c r="E101" t="s">
        <v>27</v>
      </c>
      <c r="F101">
        <v>23</v>
      </c>
      <c r="G101">
        <v>114.3</v>
      </c>
      <c r="H101">
        <v>102</v>
      </c>
      <c r="I101">
        <v>19.43</v>
      </c>
      <c r="J101">
        <v>190.3</v>
      </c>
      <c r="K101">
        <v>103</v>
      </c>
      <c r="L101">
        <v>16.18</v>
      </c>
      <c r="M101">
        <v>240.4</v>
      </c>
      <c r="N101">
        <v>111</v>
      </c>
      <c r="O101">
        <v>10.82</v>
      </c>
      <c r="P101">
        <v>12.6</v>
      </c>
      <c r="Q101">
        <v>7</v>
      </c>
      <c r="R101">
        <v>3.4</v>
      </c>
      <c r="S101">
        <v>3</v>
      </c>
      <c r="T101" t="b">
        <v>0</v>
      </c>
      <c r="U101">
        <f>IFERROR(SUM(Table1[[#This Row],[Total day minutes]],Table1[[#This Row],[Total eve minutes]],Table1[[#This Row],[Total night minutes]],Table1[[#This Row],[Total intl minutes]]),0)</f>
        <v>557.6</v>
      </c>
      <c r="V101">
        <f>SUM(Table1[[#This Row],[Total intl charge]],Table1[[#This Row],[Total night charge]],Table1[[#This Row],[Total eve charge]],Table1[[#This Row],[Total day charge]])</f>
        <v>49.83</v>
      </c>
      <c r="W101">
        <f>SUM(Table1[[#This Row],[Total intl calls]],Table1[[#This Row],[Total night calls]],Table1[[#This Row],[Total eve calls]],Table1[[#This Row],[Total day calls]])</f>
        <v>323</v>
      </c>
      <c r="X101" t="str" cm="1">
        <f t="array" ref="X101">_xlfn.IFS(Table1[[#This Row],[Customer service calls]]&gt;=4,"High risk",Table1[[#This Row],[Customer service calls]]&gt;=2,"Medium risk",TRUE,"Low risk")</f>
        <v>Medium risk</v>
      </c>
      <c r="Y101" t="str" cm="1">
        <f t="array" ref="Y101">IFERROR(_xlfn.IFS(Table1[[#This Row],[Total usage(Min)]]&gt;=AVERAGE(U:U)*1.1,"High risk",Table1[[#This Row],[Total usage(Min)]]&lt;= AVERAGE(U:U)*0.9,"Low risk",TRUE,"Medium risk"),"N/A")</f>
        <v>Medium risk</v>
      </c>
      <c r="Z101" t="str" cm="1">
        <f t="array" ref="Z101">IFERROR(_xlfn.IFS(Table1[[#This Row],[Total charges]]&gt;=AVERAGE(V:V)*1.1,"High risk",Table1[[#This Row],[Total charges]]&lt;=AVERAGE(V:V)*0.9,"Low risk",TRUE,"Medium risk"),"N/A")</f>
        <v>Low risk</v>
      </c>
      <c r="AA1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01" t="str" cm="1">
        <f t="array" ref="AC101">_xlfn.IFS(
AND(Table1[[#This Row],[Customer service risk level]]="High risk", Table1[[#This Row],[Intl usage behaviour]]="Unplanned Usage"),"High Risk",
OR(Table1[[#This Row],[Customer service risk level]]="Medium risk", Table1[[#This Row],[Charges risk level]]="High risk "),"Medium Risk",
TRUE,"Low Risk"
)</f>
        <v>Medium Risk</v>
      </c>
    </row>
    <row r="102" spans="1:29" x14ac:dyDescent="0.25">
      <c r="A102" t="s">
        <v>43</v>
      </c>
      <c r="B102">
        <v>92</v>
      </c>
      <c r="C102">
        <v>415</v>
      </c>
      <c r="D102" t="s">
        <v>21</v>
      </c>
      <c r="E102" t="s">
        <v>21</v>
      </c>
      <c r="F102">
        <v>0</v>
      </c>
      <c r="G102">
        <v>154</v>
      </c>
      <c r="H102">
        <v>122</v>
      </c>
      <c r="I102">
        <v>26.18</v>
      </c>
      <c r="J102">
        <v>329.8</v>
      </c>
      <c r="K102">
        <v>88</v>
      </c>
      <c r="L102">
        <v>28.03</v>
      </c>
      <c r="M102">
        <v>288</v>
      </c>
      <c r="N102">
        <v>117</v>
      </c>
      <c r="O102">
        <v>12.96</v>
      </c>
      <c r="P102">
        <v>5.6</v>
      </c>
      <c r="Q102">
        <v>2</v>
      </c>
      <c r="R102">
        <v>1.51</v>
      </c>
      <c r="S102">
        <v>3</v>
      </c>
      <c r="T102" t="b">
        <v>1</v>
      </c>
      <c r="U102">
        <f>IFERROR(SUM(Table1[[#This Row],[Total day minutes]],Table1[[#This Row],[Total eve minutes]],Table1[[#This Row],[Total night minutes]],Table1[[#This Row],[Total intl minutes]]),0)</f>
        <v>777.4</v>
      </c>
      <c r="V102">
        <f>SUM(Table1[[#This Row],[Total intl charge]],Table1[[#This Row],[Total night charge]],Table1[[#This Row],[Total eve charge]],Table1[[#This Row],[Total day charge]])</f>
        <v>68.680000000000007</v>
      </c>
      <c r="W102">
        <f>SUM(Table1[[#This Row],[Total intl calls]],Table1[[#This Row],[Total night calls]],Table1[[#This Row],[Total eve calls]],Table1[[#This Row],[Total day calls]])</f>
        <v>329</v>
      </c>
      <c r="X102" t="str" cm="1">
        <f t="array" ref="X102">_xlfn.IFS(Table1[[#This Row],[Customer service calls]]&gt;=4,"High risk",Table1[[#This Row],[Customer service calls]]&gt;=2,"Medium risk",TRUE,"Low risk")</f>
        <v>Medium risk</v>
      </c>
      <c r="Y102" t="str" cm="1">
        <f t="array" ref="Y102">IFERROR(_xlfn.IFS(Table1[[#This Row],[Total usage(Min)]]&gt;=AVERAGE(U:U)*1.1,"High risk",Table1[[#This Row],[Total usage(Min)]]&lt;= AVERAGE(U:U)*0.9,"Low risk",TRUE,"Medium risk"),"N/A")</f>
        <v>High risk</v>
      </c>
      <c r="Z102" t="str" cm="1">
        <f t="array" ref="Z102">IFERROR(_xlfn.IFS(Table1[[#This Row],[Total charges]]&gt;=AVERAGE(V:V)*1.1,"High risk",Table1[[#This Row],[Total charges]]&lt;=AVERAGE(V:V)*0.9,"Low risk",TRUE,"Medium risk"),"N/A")</f>
        <v>High risk</v>
      </c>
      <c r="AA1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2" t="str" cm="1">
        <f t="array" ref="AC102">_xlfn.IFS(
AND(Table1[[#This Row],[Customer service risk level]]="High risk", Table1[[#This Row],[Intl usage behaviour]]="Unplanned Usage"),"High Risk",
OR(Table1[[#This Row],[Customer service risk level]]="Medium risk", Table1[[#This Row],[Charges risk level]]="High risk "),"Medium Risk",
TRUE,"Low Risk"
)</f>
        <v>Medium Risk</v>
      </c>
    </row>
    <row r="103" spans="1:29" x14ac:dyDescent="0.25">
      <c r="A103" t="s">
        <v>55</v>
      </c>
      <c r="B103">
        <v>52</v>
      </c>
      <c r="C103">
        <v>408</v>
      </c>
      <c r="D103" t="s">
        <v>21</v>
      </c>
      <c r="E103" t="s">
        <v>21</v>
      </c>
      <c r="F103">
        <v>0</v>
      </c>
      <c r="G103">
        <v>214.7</v>
      </c>
      <c r="H103">
        <v>68</v>
      </c>
      <c r="I103">
        <v>36.5</v>
      </c>
      <c r="J103">
        <v>158.6</v>
      </c>
      <c r="K103">
        <v>138</v>
      </c>
      <c r="L103">
        <v>13.48</v>
      </c>
      <c r="M103">
        <v>123.4</v>
      </c>
      <c r="N103">
        <v>114</v>
      </c>
      <c r="O103">
        <v>5.55</v>
      </c>
      <c r="P103">
        <v>9.4</v>
      </c>
      <c r="Q103">
        <v>4</v>
      </c>
      <c r="R103">
        <v>2.54</v>
      </c>
      <c r="S103">
        <v>2</v>
      </c>
      <c r="T103" t="b">
        <v>0</v>
      </c>
      <c r="U103">
        <f>IFERROR(SUM(Table1[[#This Row],[Total day minutes]],Table1[[#This Row],[Total eve minutes]],Table1[[#This Row],[Total night minutes]],Table1[[#This Row],[Total intl minutes]]),0)</f>
        <v>506.09999999999991</v>
      </c>
      <c r="V103">
        <f>SUM(Table1[[#This Row],[Total intl charge]],Table1[[#This Row],[Total night charge]],Table1[[#This Row],[Total eve charge]],Table1[[#This Row],[Total day charge]])</f>
        <v>58.07</v>
      </c>
      <c r="W103">
        <f>SUM(Table1[[#This Row],[Total intl calls]],Table1[[#This Row],[Total night calls]],Table1[[#This Row],[Total eve calls]],Table1[[#This Row],[Total day calls]])</f>
        <v>324</v>
      </c>
      <c r="X103" t="str" cm="1">
        <f t="array" ref="X103">_xlfn.IFS(Table1[[#This Row],[Customer service calls]]&gt;=4,"High risk",Table1[[#This Row],[Customer service calls]]&gt;=2,"Medium risk",TRUE,"Low risk")</f>
        <v>Medium risk</v>
      </c>
      <c r="Y103" t="str" cm="1">
        <f t="array" ref="Y103">IFERROR(_xlfn.IFS(Table1[[#This Row],[Total usage(Min)]]&gt;=AVERAGE(U:U)*1.1,"High risk",Table1[[#This Row],[Total usage(Min)]]&lt;= AVERAGE(U:U)*0.9,"Low risk",TRUE,"Medium risk"),"N/A")</f>
        <v>Low risk</v>
      </c>
      <c r="Z103" t="str" cm="1">
        <f t="array" ref="Z103">IFERROR(_xlfn.IFS(Table1[[#This Row],[Total charges]]&gt;=AVERAGE(V:V)*1.1,"High risk",Table1[[#This Row],[Total charges]]&lt;=AVERAGE(V:V)*0.9,"Low risk",TRUE,"Medium risk"),"N/A")</f>
        <v>Medium risk</v>
      </c>
      <c r="AA1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3" t="str" cm="1">
        <f t="array" ref="AC103">_xlfn.IFS(
AND(Table1[[#This Row],[Customer service risk level]]="High risk", Table1[[#This Row],[Intl usage behaviour]]="Unplanned Usage"),"High Risk",
OR(Table1[[#This Row],[Customer service risk level]]="Medium risk", Table1[[#This Row],[Charges risk level]]="High risk "),"Medium Risk",
TRUE,"Low Risk"
)</f>
        <v>Medium Risk</v>
      </c>
    </row>
    <row r="104" spans="1:29" x14ac:dyDescent="0.25">
      <c r="A104" t="s">
        <v>63</v>
      </c>
      <c r="B104">
        <v>87</v>
      </c>
      <c r="C104">
        <v>510</v>
      </c>
      <c r="D104" t="s">
        <v>21</v>
      </c>
      <c r="E104" t="s">
        <v>21</v>
      </c>
      <c r="F104">
        <v>0</v>
      </c>
      <c r="G104">
        <v>231.3</v>
      </c>
      <c r="H104">
        <v>105</v>
      </c>
      <c r="I104">
        <v>39.32</v>
      </c>
      <c r="J104">
        <v>171.7</v>
      </c>
      <c r="K104">
        <v>108</v>
      </c>
      <c r="L104">
        <v>14.59</v>
      </c>
      <c r="M104">
        <v>67.7</v>
      </c>
      <c r="N104">
        <v>136</v>
      </c>
      <c r="O104">
        <v>3.05</v>
      </c>
      <c r="P104">
        <v>13</v>
      </c>
      <c r="Q104">
        <v>6</v>
      </c>
      <c r="R104">
        <v>3.51</v>
      </c>
      <c r="S104">
        <v>1</v>
      </c>
      <c r="T104" t="b">
        <v>0</v>
      </c>
      <c r="U104">
        <f>IFERROR(SUM(Table1[[#This Row],[Total day minutes]],Table1[[#This Row],[Total eve minutes]],Table1[[#This Row],[Total night minutes]],Table1[[#This Row],[Total intl minutes]]),0)</f>
        <v>483.7</v>
      </c>
      <c r="V104">
        <f>SUM(Table1[[#This Row],[Total intl charge]],Table1[[#This Row],[Total night charge]],Table1[[#This Row],[Total eve charge]],Table1[[#This Row],[Total day charge]])</f>
        <v>60.47</v>
      </c>
      <c r="W104">
        <f>SUM(Table1[[#This Row],[Total intl calls]],Table1[[#This Row],[Total night calls]],Table1[[#This Row],[Total eve calls]],Table1[[#This Row],[Total day calls]])</f>
        <v>355</v>
      </c>
      <c r="X104" t="str" cm="1">
        <f t="array" ref="X104">_xlfn.IFS(Table1[[#This Row],[Customer service calls]]&gt;=4,"High risk",Table1[[#This Row],[Customer service calls]]&gt;=2,"Medium risk",TRUE,"Low risk")</f>
        <v>Low risk</v>
      </c>
      <c r="Y104" t="str" cm="1">
        <f t="array" ref="Y104">IFERROR(_xlfn.IFS(Table1[[#This Row],[Total usage(Min)]]&gt;=AVERAGE(U:U)*1.1,"High risk",Table1[[#This Row],[Total usage(Min)]]&lt;= AVERAGE(U:U)*0.9,"Low risk",TRUE,"Medium risk"),"N/A")</f>
        <v>Low risk</v>
      </c>
      <c r="Z104" t="str" cm="1">
        <f t="array" ref="Z104">IFERROR(_xlfn.IFS(Table1[[#This Row],[Total charges]]&gt;=AVERAGE(V:V)*1.1,"High risk",Table1[[#This Row],[Total charges]]&lt;=AVERAGE(V:V)*0.9,"Low risk",TRUE,"Medium risk"),"N/A")</f>
        <v>Medium risk</v>
      </c>
      <c r="AA1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4" t="str" cm="1">
        <f t="array" ref="AC104">_xlfn.IFS(
AND(Table1[[#This Row],[Customer service risk level]]="High risk", Table1[[#This Row],[Intl usage behaviour]]="Unplanned Usage"),"High Risk",
OR(Table1[[#This Row],[Customer service risk level]]="Medium risk", Table1[[#This Row],[Charges risk level]]="High risk "),"Medium Risk",
TRUE,"Low Risk"
)</f>
        <v>Low Risk</v>
      </c>
    </row>
    <row r="105" spans="1:29" x14ac:dyDescent="0.25">
      <c r="A105" t="s">
        <v>64</v>
      </c>
      <c r="B105">
        <v>95</v>
      </c>
      <c r="C105">
        <v>415</v>
      </c>
      <c r="D105" t="s">
        <v>21</v>
      </c>
      <c r="E105" t="s">
        <v>27</v>
      </c>
      <c r="F105">
        <v>22</v>
      </c>
      <c r="G105">
        <v>40.9</v>
      </c>
      <c r="H105">
        <v>126</v>
      </c>
      <c r="I105">
        <v>6.95</v>
      </c>
      <c r="J105">
        <v>133.4</v>
      </c>
      <c r="K105">
        <v>90</v>
      </c>
      <c r="L105">
        <v>11.34</v>
      </c>
      <c r="M105">
        <v>264.2</v>
      </c>
      <c r="N105">
        <v>91</v>
      </c>
      <c r="O105">
        <v>11.89</v>
      </c>
      <c r="P105">
        <v>11.9</v>
      </c>
      <c r="Q105">
        <v>7</v>
      </c>
      <c r="R105">
        <v>3.21</v>
      </c>
      <c r="S105">
        <v>0</v>
      </c>
      <c r="T105" t="b">
        <v>0</v>
      </c>
      <c r="U105">
        <f>IFERROR(SUM(Table1[[#This Row],[Total day minutes]],Table1[[#This Row],[Total eve minutes]],Table1[[#This Row],[Total night minutes]],Table1[[#This Row],[Total intl minutes]]),0)</f>
        <v>450.4</v>
      </c>
      <c r="V105">
        <f>SUM(Table1[[#This Row],[Total intl charge]],Table1[[#This Row],[Total night charge]],Table1[[#This Row],[Total eve charge]],Table1[[#This Row],[Total day charge]])</f>
        <v>33.39</v>
      </c>
      <c r="W105">
        <f>SUM(Table1[[#This Row],[Total intl calls]],Table1[[#This Row],[Total night calls]],Table1[[#This Row],[Total eve calls]],Table1[[#This Row],[Total day calls]])</f>
        <v>314</v>
      </c>
      <c r="X105" t="str" cm="1">
        <f t="array" ref="X105">_xlfn.IFS(Table1[[#This Row],[Customer service calls]]&gt;=4,"High risk",Table1[[#This Row],[Customer service calls]]&gt;=2,"Medium risk",TRUE,"Low risk")</f>
        <v>Low risk</v>
      </c>
      <c r="Y105" t="str" cm="1">
        <f t="array" ref="Y105">IFERROR(_xlfn.IFS(Table1[[#This Row],[Total usage(Min)]]&gt;=AVERAGE(U:U)*1.1,"High risk",Table1[[#This Row],[Total usage(Min)]]&lt;= AVERAGE(U:U)*0.9,"Low risk",TRUE,"Medium risk"),"N/A")</f>
        <v>Low risk</v>
      </c>
      <c r="Z105" t="str" cm="1">
        <f t="array" ref="Z105">IFERROR(_xlfn.IFS(Table1[[#This Row],[Total charges]]&gt;=AVERAGE(V:V)*1.1,"High risk",Table1[[#This Row],[Total charges]]&lt;=AVERAGE(V:V)*0.9,"Low risk",TRUE,"Medium risk"),"N/A")</f>
        <v>Low risk</v>
      </c>
      <c r="AA1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05" t="str" cm="1">
        <f t="array" ref="AC105">_xlfn.IFS(
AND(Table1[[#This Row],[Customer service risk level]]="High risk", Table1[[#This Row],[Intl usage behaviour]]="Unplanned Usage"),"High Risk",
OR(Table1[[#This Row],[Customer service risk level]]="Medium risk", Table1[[#This Row],[Charges risk level]]="High risk "),"Medium Risk",
TRUE,"Low Risk"
)</f>
        <v>Low Risk</v>
      </c>
    </row>
    <row r="106" spans="1:29" x14ac:dyDescent="0.25">
      <c r="A106" t="s">
        <v>20</v>
      </c>
      <c r="B106">
        <v>67</v>
      </c>
      <c r="C106">
        <v>510</v>
      </c>
      <c r="D106" t="s">
        <v>21</v>
      </c>
      <c r="E106" t="s">
        <v>21</v>
      </c>
      <c r="F106">
        <v>0</v>
      </c>
      <c r="G106">
        <v>310.39999999999998</v>
      </c>
      <c r="H106">
        <v>97</v>
      </c>
      <c r="I106">
        <v>52.77</v>
      </c>
      <c r="J106">
        <v>66.5</v>
      </c>
      <c r="K106">
        <v>123</v>
      </c>
      <c r="L106">
        <v>5.65</v>
      </c>
      <c r="M106">
        <v>246.5</v>
      </c>
      <c r="N106">
        <v>99</v>
      </c>
      <c r="O106">
        <v>11.09</v>
      </c>
      <c r="P106">
        <v>9.1999999999999993</v>
      </c>
      <c r="Q106">
        <v>10</v>
      </c>
      <c r="R106">
        <v>2.48</v>
      </c>
      <c r="S106">
        <v>4</v>
      </c>
      <c r="T106" t="b">
        <v>0</v>
      </c>
      <c r="U106">
        <f>IFERROR(SUM(Table1[[#This Row],[Total day minutes]],Table1[[#This Row],[Total eve minutes]],Table1[[#This Row],[Total night minutes]],Table1[[#This Row],[Total intl minutes]]),0)</f>
        <v>632.6</v>
      </c>
      <c r="V106">
        <f>SUM(Table1[[#This Row],[Total intl charge]],Table1[[#This Row],[Total night charge]],Table1[[#This Row],[Total eve charge]],Table1[[#This Row],[Total day charge]])</f>
        <v>71.990000000000009</v>
      </c>
      <c r="W106">
        <f>SUM(Table1[[#This Row],[Total intl calls]],Table1[[#This Row],[Total night calls]],Table1[[#This Row],[Total eve calls]],Table1[[#This Row],[Total day calls]])</f>
        <v>329</v>
      </c>
      <c r="X106" t="str" cm="1">
        <f t="array" ref="X106">_xlfn.IFS(Table1[[#This Row],[Customer service calls]]&gt;=4,"High risk",Table1[[#This Row],[Customer service calls]]&gt;=2,"Medium risk",TRUE,"Low risk")</f>
        <v>High risk</v>
      </c>
      <c r="Y106" t="str" cm="1">
        <f t="array" ref="Y106">IFERROR(_xlfn.IFS(Table1[[#This Row],[Total usage(Min)]]&gt;=AVERAGE(U:U)*1.1,"High risk",Table1[[#This Row],[Total usage(Min)]]&lt;= AVERAGE(U:U)*0.9,"Low risk",TRUE,"Medium risk"),"N/A")</f>
        <v>Medium risk</v>
      </c>
      <c r="Z106" t="str" cm="1">
        <f t="array" ref="Z106">IFERROR(_xlfn.IFS(Table1[[#This Row],[Total charges]]&gt;=AVERAGE(V:V)*1.1,"High risk",Table1[[#This Row],[Total charges]]&lt;=AVERAGE(V:V)*0.9,"Low risk",TRUE,"Medium risk"),"N/A")</f>
        <v>High risk</v>
      </c>
      <c r="AA1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6" t="str" cm="1">
        <f t="array" ref="AC106">_xlfn.IFS(
AND(Table1[[#This Row],[Customer service risk level]]="High risk", Table1[[#This Row],[Intl usage behaviour]]="Unplanned Usage"),"High Risk",
OR(Table1[[#This Row],[Customer service risk level]]="Medium risk", Table1[[#This Row],[Charges risk level]]="High risk "),"Medium Risk",
TRUE,"Low Risk"
)</f>
        <v>High Risk</v>
      </c>
    </row>
    <row r="107" spans="1:29" x14ac:dyDescent="0.25">
      <c r="A107" t="s">
        <v>47</v>
      </c>
      <c r="B107">
        <v>165</v>
      </c>
      <c r="C107">
        <v>415</v>
      </c>
      <c r="D107" t="s">
        <v>21</v>
      </c>
      <c r="E107" t="s">
        <v>21</v>
      </c>
      <c r="F107">
        <v>0</v>
      </c>
      <c r="G107">
        <v>216.6</v>
      </c>
      <c r="H107">
        <v>126</v>
      </c>
      <c r="I107">
        <v>36.82</v>
      </c>
      <c r="J107">
        <v>190.8</v>
      </c>
      <c r="K107">
        <v>104</v>
      </c>
      <c r="L107">
        <v>16.22</v>
      </c>
      <c r="M107">
        <v>224.7</v>
      </c>
      <c r="N107">
        <v>123</v>
      </c>
      <c r="O107">
        <v>10.11</v>
      </c>
      <c r="P107">
        <v>12.4</v>
      </c>
      <c r="Q107">
        <v>8</v>
      </c>
      <c r="R107">
        <v>3.35</v>
      </c>
      <c r="S107">
        <v>0</v>
      </c>
      <c r="T107" t="b">
        <v>0</v>
      </c>
      <c r="U107">
        <f>IFERROR(SUM(Table1[[#This Row],[Total day minutes]],Table1[[#This Row],[Total eve minutes]],Table1[[#This Row],[Total night minutes]],Table1[[#This Row],[Total intl minutes]]),0)</f>
        <v>644.49999999999989</v>
      </c>
      <c r="V107">
        <f>SUM(Table1[[#This Row],[Total intl charge]],Table1[[#This Row],[Total night charge]],Table1[[#This Row],[Total eve charge]],Table1[[#This Row],[Total day charge]])</f>
        <v>66.5</v>
      </c>
      <c r="W107">
        <f>SUM(Table1[[#This Row],[Total intl calls]],Table1[[#This Row],[Total night calls]],Table1[[#This Row],[Total eve calls]],Table1[[#This Row],[Total day calls]])</f>
        <v>361</v>
      </c>
      <c r="X107" t="str" cm="1">
        <f t="array" ref="X107">_xlfn.IFS(Table1[[#This Row],[Customer service calls]]&gt;=4,"High risk",Table1[[#This Row],[Customer service calls]]&gt;=2,"Medium risk",TRUE,"Low risk")</f>
        <v>Low risk</v>
      </c>
      <c r="Y107" t="str" cm="1">
        <f t="array" ref="Y107">IFERROR(_xlfn.IFS(Table1[[#This Row],[Total usage(Min)]]&gt;=AVERAGE(U:U)*1.1,"High risk",Table1[[#This Row],[Total usage(Min)]]&lt;= AVERAGE(U:U)*0.9,"Low risk",TRUE,"Medium risk"),"N/A")</f>
        <v>Medium risk</v>
      </c>
      <c r="Z107" t="str" cm="1">
        <f t="array" ref="Z107">IFERROR(_xlfn.IFS(Table1[[#This Row],[Total charges]]&gt;=AVERAGE(V:V)*1.1,"High risk",Table1[[#This Row],[Total charges]]&lt;=AVERAGE(V:V)*0.9,"Low risk",TRUE,"Medium risk"),"N/A")</f>
        <v>High risk</v>
      </c>
      <c r="AA1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7" t="str" cm="1">
        <f t="array" ref="AC107">_xlfn.IFS(
AND(Table1[[#This Row],[Customer service risk level]]="High risk", Table1[[#This Row],[Intl usage behaviour]]="Unplanned Usage"),"High Risk",
OR(Table1[[#This Row],[Customer service risk level]]="Medium risk", Table1[[#This Row],[Charges risk level]]="High risk "),"Medium Risk",
TRUE,"Low Risk"
)</f>
        <v>Low Risk</v>
      </c>
    </row>
    <row r="108" spans="1:29" x14ac:dyDescent="0.25">
      <c r="A108" t="s">
        <v>57</v>
      </c>
      <c r="B108">
        <v>150</v>
      </c>
      <c r="C108">
        <v>415</v>
      </c>
      <c r="D108" t="s">
        <v>21</v>
      </c>
      <c r="E108" t="s">
        <v>27</v>
      </c>
      <c r="F108">
        <v>29</v>
      </c>
      <c r="G108">
        <v>209.9</v>
      </c>
      <c r="H108">
        <v>77</v>
      </c>
      <c r="I108">
        <v>35.68</v>
      </c>
      <c r="J108">
        <v>158</v>
      </c>
      <c r="K108">
        <v>52</v>
      </c>
      <c r="L108">
        <v>13.43</v>
      </c>
      <c r="M108">
        <v>141.9</v>
      </c>
      <c r="N108">
        <v>113</v>
      </c>
      <c r="O108">
        <v>6.39</v>
      </c>
      <c r="P108">
        <v>6.6</v>
      </c>
      <c r="Q108">
        <v>1</v>
      </c>
      <c r="R108">
        <v>1.78</v>
      </c>
      <c r="S108">
        <v>0</v>
      </c>
      <c r="T108" t="b">
        <v>0</v>
      </c>
      <c r="U108">
        <f>IFERROR(SUM(Table1[[#This Row],[Total day minutes]],Table1[[#This Row],[Total eve minutes]],Table1[[#This Row],[Total night minutes]],Table1[[#This Row],[Total intl minutes]]),0)</f>
        <v>516.4</v>
      </c>
      <c r="V108">
        <f>SUM(Table1[[#This Row],[Total intl charge]],Table1[[#This Row],[Total night charge]],Table1[[#This Row],[Total eve charge]],Table1[[#This Row],[Total day charge]])</f>
        <v>57.28</v>
      </c>
      <c r="W108">
        <f>SUM(Table1[[#This Row],[Total intl calls]],Table1[[#This Row],[Total night calls]],Table1[[#This Row],[Total eve calls]],Table1[[#This Row],[Total day calls]])</f>
        <v>243</v>
      </c>
      <c r="X108" t="str" cm="1">
        <f t="array" ref="X108">_xlfn.IFS(Table1[[#This Row],[Customer service calls]]&gt;=4,"High risk",Table1[[#This Row],[Customer service calls]]&gt;=2,"Medium risk",TRUE,"Low risk")</f>
        <v>Low risk</v>
      </c>
      <c r="Y108" t="str" cm="1">
        <f t="array" ref="Y108">IFERROR(_xlfn.IFS(Table1[[#This Row],[Total usage(Min)]]&gt;=AVERAGE(U:U)*1.1,"High risk",Table1[[#This Row],[Total usage(Min)]]&lt;= AVERAGE(U:U)*0.9,"Low risk",TRUE,"Medium risk"),"N/A")</f>
        <v>Low risk</v>
      </c>
      <c r="Z108" t="str" cm="1">
        <f t="array" ref="Z108">IFERROR(_xlfn.IFS(Table1[[#This Row],[Total charges]]&gt;=AVERAGE(V:V)*1.1,"High risk",Table1[[#This Row],[Total charges]]&lt;=AVERAGE(V:V)*0.9,"Low risk",TRUE,"Medium risk"),"N/A")</f>
        <v>Medium risk</v>
      </c>
      <c r="AA1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08" t="str" cm="1">
        <f t="array" ref="AC108">_xlfn.IFS(
AND(Table1[[#This Row],[Customer service risk level]]="High risk", Table1[[#This Row],[Intl usage behaviour]]="Unplanned Usage"),"High Risk",
OR(Table1[[#This Row],[Customer service risk level]]="Medium risk", Table1[[#This Row],[Charges risk level]]="High risk "),"Medium Risk",
TRUE,"Low Risk"
)</f>
        <v>Low Risk</v>
      </c>
    </row>
    <row r="109" spans="1:29" x14ac:dyDescent="0.25">
      <c r="A109" t="s">
        <v>53</v>
      </c>
      <c r="B109">
        <v>26</v>
      </c>
      <c r="C109">
        <v>415</v>
      </c>
      <c r="D109" t="s">
        <v>21</v>
      </c>
      <c r="E109" t="s">
        <v>21</v>
      </c>
      <c r="F109">
        <v>0</v>
      </c>
      <c r="G109">
        <v>234.5</v>
      </c>
      <c r="H109">
        <v>109</v>
      </c>
      <c r="I109">
        <v>39.869999999999997</v>
      </c>
      <c r="J109">
        <v>216.5</v>
      </c>
      <c r="K109">
        <v>129</v>
      </c>
      <c r="L109">
        <v>18.399999999999999</v>
      </c>
      <c r="M109">
        <v>191.6</v>
      </c>
      <c r="N109">
        <v>94</v>
      </c>
      <c r="O109">
        <v>8.6199999999999992</v>
      </c>
      <c r="P109">
        <v>3.5</v>
      </c>
      <c r="Q109">
        <v>6</v>
      </c>
      <c r="R109">
        <v>0.95</v>
      </c>
      <c r="S109">
        <v>3</v>
      </c>
      <c r="T109" t="b">
        <v>0</v>
      </c>
      <c r="U109">
        <f>IFERROR(SUM(Table1[[#This Row],[Total day minutes]],Table1[[#This Row],[Total eve minutes]],Table1[[#This Row],[Total night minutes]],Table1[[#This Row],[Total intl minutes]]),0)</f>
        <v>646.1</v>
      </c>
      <c r="V109">
        <f>SUM(Table1[[#This Row],[Total intl charge]],Table1[[#This Row],[Total night charge]],Table1[[#This Row],[Total eve charge]],Table1[[#This Row],[Total day charge]])</f>
        <v>67.84</v>
      </c>
      <c r="W109">
        <f>SUM(Table1[[#This Row],[Total intl calls]],Table1[[#This Row],[Total night calls]],Table1[[#This Row],[Total eve calls]],Table1[[#This Row],[Total day calls]])</f>
        <v>338</v>
      </c>
      <c r="X109" t="str" cm="1">
        <f t="array" ref="X109">_xlfn.IFS(Table1[[#This Row],[Customer service calls]]&gt;=4,"High risk",Table1[[#This Row],[Customer service calls]]&gt;=2,"Medium risk",TRUE,"Low risk")</f>
        <v>Medium risk</v>
      </c>
      <c r="Y109" t="str" cm="1">
        <f t="array" ref="Y109">IFERROR(_xlfn.IFS(Table1[[#This Row],[Total usage(Min)]]&gt;=AVERAGE(U:U)*1.1,"High risk",Table1[[#This Row],[Total usage(Min)]]&lt;= AVERAGE(U:U)*0.9,"Low risk",TRUE,"Medium risk"),"N/A")</f>
        <v>Medium risk</v>
      </c>
      <c r="Z109" t="str" cm="1">
        <f t="array" ref="Z109">IFERROR(_xlfn.IFS(Table1[[#This Row],[Total charges]]&gt;=AVERAGE(V:V)*1.1,"High risk",Table1[[#This Row],[Total charges]]&lt;=AVERAGE(V:V)*0.9,"Low risk",TRUE,"Medium risk"),"N/A")</f>
        <v>High risk</v>
      </c>
      <c r="AA1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0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09" t="str" cm="1">
        <f t="array" ref="AC109">_xlfn.IFS(
AND(Table1[[#This Row],[Customer service risk level]]="High risk", Table1[[#This Row],[Intl usage behaviour]]="Unplanned Usage"),"High Risk",
OR(Table1[[#This Row],[Customer service risk level]]="Medium risk", Table1[[#This Row],[Charges risk level]]="High risk "),"Medium Risk",
TRUE,"Low Risk"
)</f>
        <v>Medium Risk</v>
      </c>
    </row>
    <row r="110" spans="1:29" x14ac:dyDescent="0.25">
      <c r="A110" t="s">
        <v>65</v>
      </c>
      <c r="B110">
        <v>79</v>
      </c>
      <c r="C110">
        <v>510</v>
      </c>
      <c r="D110" t="s">
        <v>21</v>
      </c>
      <c r="E110" t="s">
        <v>27</v>
      </c>
      <c r="F110">
        <v>31</v>
      </c>
      <c r="G110">
        <v>103.1</v>
      </c>
      <c r="H110">
        <v>90</v>
      </c>
      <c r="I110">
        <v>17.53</v>
      </c>
      <c r="J110">
        <v>243</v>
      </c>
      <c r="K110">
        <v>135</v>
      </c>
      <c r="L110">
        <v>20.66</v>
      </c>
      <c r="M110">
        <v>76.400000000000006</v>
      </c>
      <c r="N110">
        <v>92</v>
      </c>
      <c r="O110">
        <v>3.44</v>
      </c>
      <c r="P110">
        <v>12.2</v>
      </c>
      <c r="Q110">
        <v>8</v>
      </c>
      <c r="R110">
        <v>3.29</v>
      </c>
      <c r="S110">
        <v>3</v>
      </c>
      <c r="T110" t="b">
        <v>0</v>
      </c>
      <c r="U110">
        <f>IFERROR(SUM(Table1[[#This Row],[Total day minutes]],Table1[[#This Row],[Total eve minutes]],Table1[[#This Row],[Total night minutes]],Table1[[#This Row],[Total intl minutes]]),0)</f>
        <v>434.7</v>
      </c>
      <c r="V110">
        <f>SUM(Table1[[#This Row],[Total intl charge]],Table1[[#This Row],[Total night charge]],Table1[[#This Row],[Total eve charge]],Table1[[#This Row],[Total day charge]])</f>
        <v>44.92</v>
      </c>
      <c r="W110">
        <f>SUM(Table1[[#This Row],[Total intl calls]],Table1[[#This Row],[Total night calls]],Table1[[#This Row],[Total eve calls]],Table1[[#This Row],[Total day calls]])</f>
        <v>325</v>
      </c>
      <c r="X110" t="str" cm="1">
        <f t="array" ref="X110">_xlfn.IFS(Table1[[#This Row],[Customer service calls]]&gt;=4,"High risk",Table1[[#This Row],[Customer service calls]]&gt;=2,"Medium risk",TRUE,"Low risk")</f>
        <v>Medium risk</v>
      </c>
      <c r="Y110" t="str" cm="1">
        <f t="array" ref="Y110">IFERROR(_xlfn.IFS(Table1[[#This Row],[Total usage(Min)]]&gt;=AVERAGE(U:U)*1.1,"High risk",Table1[[#This Row],[Total usage(Min)]]&lt;= AVERAGE(U:U)*0.9,"Low risk",TRUE,"Medium risk"),"N/A")</f>
        <v>Low risk</v>
      </c>
      <c r="Z110" t="str" cm="1">
        <f t="array" ref="Z110">IFERROR(_xlfn.IFS(Table1[[#This Row],[Total charges]]&gt;=AVERAGE(V:V)*1.1,"High risk",Table1[[#This Row],[Total charges]]&lt;=AVERAGE(V:V)*0.9,"Low risk",TRUE,"Medium risk"),"N/A")</f>
        <v>Low risk</v>
      </c>
      <c r="AA1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10" t="str" cm="1">
        <f t="array" ref="AC110">_xlfn.IFS(
AND(Table1[[#This Row],[Customer service risk level]]="High risk", Table1[[#This Row],[Intl usage behaviour]]="Unplanned Usage"),"High Risk",
OR(Table1[[#This Row],[Customer service risk level]]="Medium risk", Table1[[#This Row],[Charges risk level]]="High risk "),"Medium Risk",
TRUE,"Low Risk"
)</f>
        <v>Medium Risk</v>
      </c>
    </row>
    <row r="111" spans="1:29" x14ac:dyDescent="0.25">
      <c r="A111" t="s">
        <v>31</v>
      </c>
      <c r="B111">
        <v>69</v>
      </c>
      <c r="C111">
        <v>510</v>
      </c>
      <c r="D111" t="s">
        <v>27</v>
      </c>
      <c r="E111" t="s">
        <v>21</v>
      </c>
      <c r="F111">
        <v>0</v>
      </c>
      <c r="G111">
        <v>279.8</v>
      </c>
      <c r="H111">
        <v>90</v>
      </c>
      <c r="I111">
        <v>47.57</v>
      </c>
      <c r="J111">
        <v>248.7</v>
      </c>
      <c r="K111">
        <v>91</v>
      </c>
      <c r="L111">
        <v>21.14</v>
      </c>
      <c r="M111">
        <v>171</v>
      </c>
      <c r="N111">
        <v>118</v>
      </c>
      <c r="O111">
        <v>7.69</v>
      </c>
      <c r="P111">
        <v>8.4</v>
      </c>
      <c r="Q111">
        <v>10</v>
      </c>
      <c r="R111">
        <v>2.27</v>
      </c>
      <c r="S111">
        <v>2</v>
      </c>
      <c r="T111" t="b">
        <v>1</v>
      </c>
      <c r="U111">
        <f>IFERROR(SUM(Table1[[#This Row],[Total day minutes]],Table1[[#This Row],[Total eve minutes]],Table1[[#This Row],[Total night minutes]],Table1[[#This Row],[Total intl minutes]]),0)</f>
        <v>707.9</v>
      </c>
      <c r="V111">
        <f>SUM(Table1[[#This Row],[Total intl charge]],Table1[[#This Row],[Total night charge]],Table1[[#This Row],[Total eve charge]],Table1[[#This Row],[Total day charge]])</f>
        <v>78.67</v>
      </c>
      <c r="W111">
        <f>SUM(Table1[[#This Row],[Total intl calls]],Table1[[#This Row],[Total night calls]],Table1[[#This Row],[Total eve calls]],Table1[[#This Row],[Total day calls]])</f>
        <v>309</v>
      </c>
      <c r="X111" t="str" cm="1">
        <f t="array" ref="X111">_xlfn.IFS(Table1[[#This Row],[Customer service calls]]&gt;=4,"High risk",Table1[[#This Row],[Customer service calls]]&gt;=2,"Medium risk",TRUE,"Low risk")</f>
        <v>Medium risk</v>
      </c>
      <c r="Y111" t="str" cm="1">
        <f t="array" ref="Y111">IFERROR(_xlfn.IFS(Table1[[#This Row],[Total usage(Min)]]&gt;=AVERAGE(U:U)*1.1,"High risk",Table1[[#This Row],[Total usage(Min)]]&lt;= AVERAGE(U:U)*0.9,"Low risk",TRUE,"Medium risk"),"N/A")</f>
        <v>High risk</v>
      </c>
      <c r="Z111" t="str" cm="1">
        <f t="array" ref="Z111">IFERROR(_xlfn.IFS(Table1[[#This Row],[Total charges]]&gt;=AVERAGE(V:V)*1.1,"High risk",Table1[[#This Row],[Total charges]]&lt;=AVERAGE(V:V)*0.9,"Low risk",TRUE,"Medium risk"),"N/A")</f>
        <v>High risk</v>
      </c>
      <c r="AA1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1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1" t="str" cm="1">
        <f t="array" ref="AC111">_xlfn.IFS(
AND(Table1[[#This Row],[Customer service risk level]]="High risk", Table1[[#This Row],[Intl usage behaviour]]="Unplanned Usage"),"High Risk",
OR(Table1[[#This Row],[Customer service risk level]]="Medium risk", Table1[[#This Row],[Charges risk level]]="High risk "),"Medium Risk",
TRUE,"Low Risk"
)</f>
        <v>Medium Risk</v>
      </c>
    </row>
    <row r="112" spans="1:29" x14ac:dyDescent="0.25">
      <c r="A112" t="s">
        <v>33</v>
      </c>
      <c r="B112">
        <v>95</v>
      </c>
      <c r="C112">
        <v>510</v>
      </c>
      <c r="D112" t="s">
        <v>27</v>
      </c>
      <c r="E112" t="s">
        <v>27</v>
      </c>
      <c r="F112">
        <v>41</v>
      </c>
      <c r="G112">
        <v>136.80000000000001</v>
      </c>
      <c r="H112">
        <v>91</v>
      </c>
      <c r="I112">
        <v>23.26</v>
      </c>
      <c r="J112">
        <v>200.8</v>
      </c>
      <c r="K112">
        <v>61</v>
      </c>
      <c r="L112">
        <v>17.07</v>
      </c>
      <c r="M112">
        <v>133.69999999999999</v>
      </c>
      <c r="N112">
        <v>67</v>
      </c>
      <c r="O112">
        <v>6.02</v>
      </c>
      <c r="P112">
        <v>10.3</v>
      </c>
      <c r="Q112">
        <v>9</v>
      </c>
      <c r="R112">
        <v>2.78</v>
      </c>
      <c r="S112">
        <v>5</v>
      </c>
      <c r="T112" t="b">
        <v>1</v>
      </c>
      <c r="U112">
        <f>IFERROR(SUM(Table1[[#This Row],[Total day minutes]],Table1[[#This Row],[Total eve minutes]],Table1[[#This Row],[Total night minutes]],Table1[[#This Row],[Total intl minutes]]),0)</f>
        <v>481.6</v>
      </c>
      <c r="V112">
        <f>SUM(Table1[[#This Row],[Total intl charge]],Table1[[#This Row],[Total night charge]],Table1[[#This Row],[Total eve charge]],Table1[[#This Row],[Total day charge]])</f>
        <v>49.129999999999995</v>
      </c>
      <c r="W112">
        <f>SUM(Table1[[#This Row],[Total intl calls]],Table1[[#This Row],[Total night calls]],Table1[[#This Row],[Total eve calls]],Table1[[#This Row],[Total day calls]])</f>
        <v>228</v>
      </c>
      <c r="X112" t="str" cm="1">
        <f t="array" ref="X112">_xlfn.IFS(Table1[[#This Row],[Customer service calls]]&gt;=4,"High risk",Table1[[#This Row],[Customer service calls]]&gt;=2,"Medium risk",TRUE,"Low risk")</f>
        <v>High risk</v>
      </c>
      <c r="Y112" t="str" cm="1">
        <f t="array" ref="Y112">IFERROR(_xlfn.IFS(Table1[[#This Row],[Total usage(Min)]]&gt;=AVERAGE(U:U)*1.1,"High risk",Table1[[#This Row],[Total usage(Min)]]&lt;= AVERAGE(U:U)*0.9,"Low risk",TRUE,"Medium risk"),"N/A")</f>
        <v>Low risk</v>
      </c>
      <c r="Z112" t="str" cm="1">
        <f t="array" ref="Z112">IFERROR(_xlfn.IFS(Table1[[#This Row],[Total charges]]&gt;=AVERAGE(V:V)*1.1,"High risk",Table1[[#This Row],[Total charges]]&lt;=AVERAGE(V:V)*0.9,"Low risk",TRUE,"Medium risk"),"N/A")</f>
        <v>Low risk</v>
      </c>
      <c r="AA1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1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12" t="str" cm="1">
        <f t="array" ref="AC112">_xlfn.IFS(
AND(Table1[[#This Row],[Customer service risk level]]="High risk", Table1[[#This Row],[Intl usage behaviour]]="Unplanned Usage"),"High Risk",
OR(Table1[[#This Row],[Customer service risk level]]="Medium risk", Table1[[#This Row],[Charges risk level]]="High risk "),"Medium Risk",
TRUE,"Low Risk"
)</f>
        <v>Low Risk</v>
      </c>
    </row>
    <row r="113" spans="1:29" x14ac:dyDescent="0.25">
      <c r="A113" t="s">
        <v>23</v>
      </c>
      <c r="B113">
        <v>157</v>
      </c>
      <c r="C113">
        <v>415</v>
      </c>
      <c r="D113" t="s">
        <v>21</v>
      </c>
      <c r="E113" t="s">
        <v>21</v>
      </c>
      <c r="F113">
        <v>0</v>
      </c>
      <c r="G113">
        <v>224.5</v>
      </c>
      <c r="H113">
        <v>111</v>
      </c>
      <c r="I113">
        <v>38.17</v>
      </c>
      <c r="J113">
        <v>200.7</v>
      </c>
      <c r="K113">
        <v>99</v>
      </c>
      <c r="L113">
        <v>17.059999999999999</v>
      </c>
      <c r="M113">
        <v>116.6</v>
      </c>
      <c r="N113">
        <v>118</v>
      </c>
      <c r="O113">
        <v>5.25</v>
      </c>
      <c r="P113">
        <v>11.5</v>
      </c>
      <c r="Q113">
        <v>2</v>
      </c>
      <c r="R113">
        <v>3.11</v>
      </c>
      <c r="S113">
        <v>2</v>
      </c>
      <c r="T113" t="b">
        <v>0</v>
      </c>
      <c r="U113">
        <f>IFERROR(SUM(Table1[[#This Row],[Total day minutes]],Table1[[#This Row],[Total eve minutes]],Table1[[#This Row],[Total night minutes]],Table1[[#This Row],[Total intl minutes]]),0)</f>
        <v>553.29999999999995</v>
      </c>
      <c r="V113">
        <f>SUM(Table1[[#This Row],[Total intl charge]],Table1[[#This Row],[Total night charge]],Table1[[#This Row],[Total eve charge]],Table1[[#This Row],[Total day charge]])</f>
        <v>63.59</v>
      </c>
      <c r="W113">
        <f>SUM(Table1[[#This Row],[Total intl calls]],Table1[[#This Row],[Total night calls]],Table1[[#This Row],[Total eve calls]],Table1[[#This Row],[Total day calls]])</f>
        <v>330</v>
      </c>
      <c r="X113" t="str" cm="1">
        <f t="array" ref="X113">_xlfn.IFS(Table1[[#This Row],[Customer service calls]]&gt;=4,"High risk",Table1[[#This Row],[Customer service calls]]&gt;=2,"Medium risk",TRUE,"Low risk")</f>
        <v>Medium risk</v>
      </c>
      <c r="Y113" t="str" cm="1">
        <f t="array" ref="Y113">IFERROR(_xlfn.IFS(Table1[[#This Row],[Total usage(Min)]]&gt;=AVERAGE(U:U)*1.1,"High risk",Table1[[#This Row],[Total usage(Min)]]&lt;= AVERAGE(U:U)*0.9,"Low risk",TRUE,"Medium risk"),"N/A")</f>
        <v>Medium risk</v>
      </c>
      <c r="Z113" t="str" cm="1">
        <f t="array" ref="Z113">IFERROR(_xlfn.IFS(Table1[[#This Row],[Total charges]]&gt;=AVERAGE(V:V)*1.1,"High risk",Table1[[#This Row],[Total charges]]&lt;=AVERAGE(V:V)*0.9,"Low risk",TRUE,"Medium risk"),"N/A")</f>
        <v>Medium risk</v>
      </c>
      <c r="AA1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3" t="str" cm="1">
        <f t="array" ref="AC113">_xlfn.IFS(
AND(Table1[[#This Row],[Customer service risk level]]="High risk", Table1[[#This Row],[Intl usage behaviour]]="Unplanned Usage"),"High Risk",
OR(Table1[[#This Row],[Customer service risk level]]="Medium risk", Table1[[#This Row],[Charges risk level]]="High risk "),"Medium Risk",
TRUE,"Low Risk"
)</f>
        <v>Medium Risk</v>
      </c>
    </row>
    <row r="114" spans="1:29" x14ac:dyDescent="0.25">
      <c r="A114" t="s">
        <v>33</v>
      </c>
      <c r="B114">
        <v>80</v>
      </c>
      <c r="C114">
        <v>415</v>
      </c>
      <c r="D114" t="s">
        <v>21</v>
      </c>
      <c r="E114" t="s">
        <v>21</v>
      </c>
      <c r="F114">
        <v>0</v>
      </c>
      <c r="G114">
        <v>160.6</v>
      </c>
      <c r="H114">
        <v>103</v>
      </c>
      <c r="I114">
        <v>27.3</v>
      </c>
      <c r="J114">
        <v>237</v>
      </c>
      <c r="K114">
        <v>109</v>
      </c>
      <c r="L114">
        <v>20.149999999999999</v>
      </c>
      <c r="M114">
        <v>245.1</v>
      </c>
      <c r="N114">
        <v>88</v>
      </c>
      <c r="O114">
        <v>11.03</v>
      </c>
      <c r="P114">
        <v>10.7</v>
      </c>
      <c r="Q114">
        <v>1</v>
      </c>
      <c r="R114">
        <v>2.89</v>
      </c>
      <c r="S114">
        <v>1</v>
      </c>
      <c r="T114" t="b">
        <v>0</v>
      </c>
      <c r="U114">
        <f>IFERROR(SUM(Table1[[#This Row],[Total day minutes]],Table1[[#This Row],[Total eve minutes]],Table1[[#This Row],[Total night minutes]],Table1[[#This Row],[Total intl minutes]]),0)</f>
        <v>653.40000000000009</v>
      </c>
      <c r="V114">
        <f>SUM(Table1[[#This Row],[Total intl charge]],Table1[[#This Row],[Total night charge]],Table1[[#This Row],[Total eve charge]],Table1[[#This Row],[Total day charge]])</f>
        <v>61.370000000000005</v>
      </c>
      <c r="W114">
        <f>SUM(Table1[[#This Row],[Total intl calls]],Table1[[#This Row],[Total night calls]],Table1[[#This Row],[Total eve calls]],Table1[[#This Row],[Total day calls]])</f>
        <v>301</v>
      </c>
      <c r="X114" t="str" cm="1">
        <f t="array" ref="X114">_xlfn.IFS(Table1[[#This Row],[Customer service calls]]&gt;=4,"High risk",Table1[[#This Row],[Customer service calls]]&gt;=2,"Medium risk",TRUE,"Low risk")</f>
        <v>Low risk</v>
      </c>
      <c r="Y114" t="str" cm="1">
        <f t="array" ref="Y114">IFERROR(_xlfn.IFS(Table1[[#This Row],[Total usage(Min)]]&gt;=AVERAGE(U:U)*1.1,"High risk",Table1[[#This Row],[Total usage(Min)]]&lt;= AVERAGE(U:U)*0.9,"Low risk",TRUE,"Medium risk"),"N/A")</f>
        <v>Medium risk</v>
      </c>
      <c r="Z114" t="str" cm="1">
        <f t="array" ref="Z114">IFERROR(_xlfn.IFS(Table1[[#This Row],[Total charges]]&gt;=AVERAGE(V:V)*1.1,"High risk",Table1[[#This Row],[Total charges]]&lt;=AVERAGE(V:V)*0.9,"Low risk",TRUE,"Medium risk"),"N/A")</f>
        <v>Medium risk</v>
      </c>
      <c r="AA1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4" t="str" cm="1">
        <f t="array" ref="AC114">_xlfn.IFS(
AND(Table1[[#This Row],[Customer service risk level]]="High risk", Table1[[#This Row],[Intl usage behaviour]]="Unplanned Usage"),"High Risk",
OR(Table1[[#This Row],[Customer service risk level]]="Medium risk", Table1[[#This Row],[Charges risk level]]="High risk "),"Medium Risk",
TRUE,"Low Risk"
)</f>
        <v>Low Risk</v>
      </c>
    </row>
    <row r="115" spans="1:29" x14ac:dyDescent="0.25">
      <c r="A115" t="s">
        <v>38</v>
      </c>
      <c r="B115">
        <v>75</v>
      </c>
      <c r="C115">
        <v>510</v>
      </c>
      <c r="D115" t="s">
        <v>21</v>
      </c>
      <c r="E115" t="s">
        <v>27</v>
      </c>
      <c r="F115">
        <v>37</v>
      </c>
      <c r="G115">
        <v>121.5</v>
      </c>
      <c r="H115">
        <v>97</v>
      </c>
      <c r="I115">
        <v>20.66</v>
      </c>
      <c r="J115">
        <v>271.39999999999998</v>
      </c>
      <c r="K115">
        <v>110</v>
      </c>
      <c r="L115">
        <v>23.07</v>
      </c>
      <c r="M115">
        <v>248.7</v>
      </c>
      <c r="N115">
        <v>97</v>
      </c>
      <c r="O115">
        <v>11.19</v>
      </c>
      <c r="P115">
        <v>11.3</v>
      </c>
      <c r="Q115">
        <v>5</v>
      </c>
      <c r="R115">
        <v>3.05</v>
      </c>
      <c r="S115">
        <v>2</v>
      </c>
      <c r="T115" t="b">
        <v>0</v>
      </c>
      <c r="U115">
        <f>IFERROR(SUM(Table1[[#This Row],[Total day minutes]],Table1[[#This Row],[Total eve minutes]],Table1[[#This Row],[Total night minutes]],Table1[[#This Row],[Total intl minutes]]),0)</f>
        <v>652.89999999999986</v>
      </c>
      <c r="V115">
        <f>SUM(Table1[[#This Row],[Total intl charge]],Table1[[#This Row],[Total night charge]],Table1[[#This Row],[Total eve charge]],Table1[[#This Row],[Total day charge]])</f>
        <v>57.97</v>
      </c>
      <c r="W115">
        <f>SUM(Table1[[#This Row],[Total intl calls]],Table1[[#This Row],[Total night calls]],Table1[[#This Row],[Total eve calls]],Table1[[#This Row],[Total day calls]])</f>
        <v>309</v>
      </c>
      <c r="X115" t="str" cm="1">
        <f t="array" ref="X115">_xlfn.IFS(Table1[[#This Row],[Customer service calls]]&gt;=4,"High risk",Table1[[#This Row],[Customer service calls]]&gt;=2,"Medium risk",TRUE,"Low risk")</f>
        <v>Medium risk</v>
      </c>
      <c r="Y115" t="str" cm="1">
        <f t="array" ref="Y115">IFERROR(_xlfn.IFS(Table1[[#This Row],[Total usage(Min)]]&gt;=AVERAGE(U:U)*1.1,"High risk",Table1[[#This Row],[Total usage(Min)]]&lt;= AVERAGE(U:U)*0.9,"Low risk",TRUE,"Medium risk"),"N/A")</f>
        <v>Medium risk</v>
      </c>
      <c r="Z115" t="str" cm="1">
        <f t="array" ref="Z115">IFERROR(_xlfn.IFS(Table1[[#This Row],[Total charges]]&gt;=AVERAGE(V:V)*1.1,"High risk",Table1[[#This Row],[Total charges]]&lt;=AVERAGE(V:V)*0.9,"Low risk",TRUE,"Medium risk"),"N/A")</f>
        <v>Medium risk</v>
      </c>
      <c r="AA1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15" t="str" cm="1">
        <f t="array" ref="AC115">_xlfn.IFS(
AND(Table1[[#This Row],[Customer service risk level]]="High risk", Table1[[#This Row],[Intl usage behaviour]]="Unplanned Usage"),"High Risk",
OR(Table1[[#This Row],[Customer service risk level]]="Medium risk", Table1[[#This Row],[Charges risk level]]="High risk "),"Medium Risk",
TRUE,"Low Risk"
)</f>
        <v>Medium Risk</v>
      </c>
    </row>
    <row r="116" spans="1:29" x14ac:dyDescent="0.25">
      <c r="A116" t="s">
        <v>66</v>
      </c>
      <c r="B116">
        <v>44</v>
      </c>
      <c r="C116">
        <v>510</v>
      </c>
      <c r="D116" t="s">
        <v>21</v>
      </c>
      <c r="E116" t="s">
        <v>21</v>
      </c>
      <c r="F116">
        <v>0</v>
      </c>
      <c r="G116">
        <v>228.1</v>
      </c>
      <c r="H116">
        <v>121</v>
      </c>
      <c r="I116">
        <v>38.78</v>
      </c>
      <c r="J116">
        <v>276.5</v>
      </c>
      <c r="K116">
        <v>79</v>
      </c>
      <c r="L116">
        <v>23.5</v>
      </c>
      <c r="M116">
        <v>279.8</v>
      </c>
      <c r="N116">
        <v>77</v>
      </c>
      <c r="O116">
        <v>12.59</v>
      </c>
      <c r="P116">
        <v>9.9</v>
      </c>
      <c r="Q116">
        <v>5</v>
      </c>
      <c r="R116">
        <v>2.67</v>
      </c>
      <c r="S116">
        <v>2</v>
      </c>
      <c r="T116" t="b">
        <v>1</v>
      </c>
      <c r="U116">
        <f>IFERROR(SUM(Table1[[#This Row],[Total day minutes]],Table1[[#This Row],[Total eve minutes]],Table1[[#This Row],[Total night minutes]],Table1[[#This Row],[Total intl minutes]]),0)</f>
        <v>794.30000000000007</v>
      </c>
      <c r="V116">
        <f>SUM(Table1[[#This Row],[Total intl charge]],Table1[[#This Row],[Total night charge]],Table1[[#This Row],[Total eve charge]],Table1[[#This Row],[Total day charge]])</f>
        <v>77.539999999999992</v>
      </c>
      <c r="W116">
        <f>SUM(Table1[[#This Row],[Total intl calls]],Table1[[#This Row],[Total night calls]],Table1[[#This Row],[Total eve calls]],Table1[[#This Row],[Total day calls]])</f>
        <v>282</v>
      </c>
      <c r="X116" t="str" cm="1">
        <f t="array" ref="X116">_xlfn.IFS(Table1[[#This Row],[Customer service calls]]&gt;=4,"High risk",Table1[[#This Row],[Customer service calls]]&gt;=2,"Medium risk",TRUE,"Low risk")</f>
        <v>Medium risk</v>
      </c>
      <c r="Y116" t="str" cm="1">
        <f t="array" ref="Y116">IFERROR(_xlfn.IFS(Table1[[#This Row],[Total usage(Min)]]&gt;=AVERAGE(U:U)*1.1,"High risk",Table1[[#This Row],[Total usage(Min)]]&lt;= AVERAGE(U:U)*0.9,"Low risk",TRUE,"Medium risk"),"N/A")</f>
        <v>High risk</v>
      </c>
      <c r="Z116" t="str" cm="1">
        <f t="array" ref="Z116">IFERROR(_xlfn.IFS(Table1[[#This Row],[Total charges]]&gt;=AVERAGE(V:V)*1.1,"High risk",Table1[[#This Row],[Total charges]]&lt;=AVERAGE(V:V)*0.9,"Low risk",TRUE,"Medium risk"),"N/A")</f>
        <v>High risk</v>
      </c>
      <c r="AA1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6" t="str" cm="1">
        <f t="array" ref="AC116">_xlfn.IFS(
AND(Table1[[#This Row],[Customer service risk level]]="High risk", Table1[[#This Row],[Intl usage behaviour]]="Unplanned Usage"),"High Risk",
OR(Table1[[#This Row],[Customer service risk level]]="Medium risk", Table1[[#This Row],[Charges risk level]]="High risk "),"Medium Risk",
TRUE,"Low Risk"
)</f>
        <v>Medium Risk</v>
      </c>
    </row>
    <row r="117" spans="1:29" x14ac:dyDescent="0.25">
      <c r="A117" t="s">
        <v>55</v>
      </c>
      <c r="B117">
        <v>101</v>
      </c>
      <c r="C117">
        <v>408</v>
      </c>
      <c r="D117" t="s">
        <v>21</v>
      </c>
      <c r="E117" t="s">
        <v>21</v>
      </c>
      <c r="F117">
        <v>0</v>
      </c>
      <c r="G117">
        <v>89.7</v>
      </c>
      <c r="H117">
        <v>118</v>
      </c>
      <c r="I117">
        <v>15.25</v>
      </c>
      <c r="J117">
        <v>260.10000000000002</v>
      </c>
      <c r="K117">
        <v>79</v>
      </c>
      <c r="L117">
        <v>22.11</v>
      </c>
      <c r="M117">
        <v>170.1</v>
      </c>
      <c r="N117">
        <v>93</v>
      </c>
      <c r="O117">
        <v>7.65</v>
      </c>
      <c r="P117">
        <v>13.5</v>
      </c>
      <c r="Q117">
        <v>11</v>
      </c>
      <c r="R117">
        <v>3.65</v>
      </c>
      <c r="S117">
        <v>5</v>
      </c>
      <c r="T117" t="b">
        <v>1</v>
      </c>
      <c r="U117">
        <f>IFERROR(SUM(Table1[[#This Row],[Total day minutes]],Table1[[#This Row],[Total eve minutes]],Table1[[#This Row],[Total night minutes]],Table1[[#This Row],[Total intl minutes]]),0)</f>
        <v>533.4</v>
      </c>
      <c r="V117">
        <f>SUM(Table1[[#This Row],[Total intl charge]],Table1[[#This Row],[Total night charge]],Table1[[#This Row],[Total eve charge]],Table1[[#This Row],[Total day charge]])</f>
        <v>48.66</v>
      </c>
      <c r="W117">
        <f>SUM(Table1[[#This Row],[Total intl calls]],Table1[[#This Row],[Total night calls]],Table1[[#This Row],[Total eve calls]],Table1[[#This Row],[Total day calls]])</f>
        <v>301</v>
      </c>
      <c r="X117" t="str" cm="1">
        <f t="array" ref="X117">_xlfn.IFS(Table1[[#This Row],[Customer service calls]]&gt;=4,"High risk",Table1[[#This Row],[Customer service calls]]&gt;=2,"Medium risk",TRUE,"Low risk")</f>
        <v>High risk</v>
      </c>
      <c r="Y117" t="str" cm="1">
        <f t="array" ref="Y117">IFERROR(_xlfn.IFS(Table1[[#This Row],[Total usage(Min)]]&gt;=AVERAGE(U:U)*1.1,"High risk",Table1[[#This Row],[Total usage(Min)]]&lt;= AVERAGE(U:U)*0.9,"Low risk",TRUE,"Medium risk"),"N/A")</f>
        <v>Low risk</v>
      </c>
      <c r="Z117" t="str" cm="1">
        <f t="array" ref="Z117">IFERROR(_xlfn.IFS(Table1[[#This Row],[Total charges]]&gt;=AVERAGE(V:V)*1.1,"High risk",Table1[[#This Row],[Total charges]]&lt;=AVERAGE(V:V)*0.9,"Low risk",TRUE,"Medium risk"),"N/A")</f>
        <v>Low risk</v>
      </c>
      <c r="AA1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7" t="str" cm="1">
        <f t="array" ref="AC117">_xlfn.IFS(
AND(Table1[[#This Row],[Customer service risk level]]="High risk", Table1[[#This Row],[Intl usage behaviour]]="Unplanned Usage"),"High Risk",
OR(Table1[[#This Row],[Customer service risk level]]="Medium risk", Table1[[#This Row],[Charges risk level]]="High risk "),"Medium Risk",
TRUE,"Low Risk"
)</f>
        <v>High Risk</v>
      </c>
    </row>
    <row r="118" spans="1:29" x14ac:dyDescent="0.25">
      <c r="A118" t="s">
        <v>31</v>
      </c>
      <c r="B118">
        <v>117</v>
      </c>
      <c r="C118">
        <v>408</v>
      </c>
      <c r="D118" t="s">
        <v>21</v>
      </c>
      <c r="E118" t="s">
        <v>27</v>
      </c>
      <c r="F118">
        <v>14</v>
      </c>
      <c r="G118">
        <v>80.2</v>
      </c>
      <c r="H118">
        <v>81</v>
      </c>
      <c r="I118">
        <v>13.63</v>
      </c>
      <c r="J118">
        <v>219</v>
      </c>
      <c r="K118">
        <v>103</v>
      </c>
      <c r="L118">
        <v>18.62</v>
      </c>
      <c r="M118">
        <v>122.6</v>
      </c>
      <c r="N118">
        <v>102</v>
      </c>
      <c r="O118">
        <v>5.52</v>
      </c>
      <c r="P118">
        <v>8.6</v>
      </c>
      <c r="Q118">
        <v>2</v>
      </c>
      <c r="R118">
        <v>2.3199999999999998</v>
      </c>
      <c r="S118">
        <v>1</v>
      </c>
      <c r="T118" t="b">
        <v>0</v>
      </c>
      <c r="U118">
        <f>IFERROR(SUM(Table1[[#This Row],[Total day minutes]],Table1[[#This Row],[Total eve minutes]],Table1[[#This Row],[Total night minutes]],Table1[[#This Row],[Total intl minutes]]),0)</f>
        <v>430.4</v>
      </c>
      <c r="V118">
        <f>SUM(Table1[[#This Row],[Total intl charge]],Table1[[#This Row],[Total night charge]],Table1[[#This Row],[Total eve charge]],Table1[[#This Row],[Total day charge]])</f>
        <v>40.090000000000003</v>
      </c>
      <c r="W118">
        <f>SUM(Table1[[#This Row],[Total intl calls]],Table1[[#This Row],[Total night calls]],Table1[[#This Row],[Total eve calls]],Table1[[#This Row],[Total day calls]])</f>
        <v>288</v>
      </c>
      <c r="X118" t="str" cm="1">
        <f t="array" ref="X118">_xlfn.IFS(Table1[[#This Row],[Customer service calls]]&gt;=4,"High risk",Table1[[#This Row],[Customer service calls]]&gt;=2,"Medium risk",TRUE,"Low risk")</f>
        <v>Low risk</v>
      </c>
      <c r="Y118" t="str" cm="1">
        <f t="array" ref="Y118">IFERROR(_xlfn.IFS(Table1[[#This Row],[Total usage(Min)]]&gt;=AVERAGE(U:U)*1.1,"High risk",Table1[[#This Row],[Total usage(Min)]]&lt;= AVERAGE(U:U)*0.9,"Low risk",TRUE,"Medium risk"),"N/A")</f>
        <v>Low risk</v>
      </c>
      <c r="Z118" t="str" cm="1">
        <f t="array" ref="Z118">IFERROR(_xlfn.IFS(Table1[[#This Row],[Total charges]]&gt;=AVERAGE(V:V)*1.1,"High risk",Table1[[#This Row],[Total charges]]&lt;=AVERAGE(V:V)*0.9,"Low risk",TRUE,"Medium risk"),"N/A")</f>
        <v>Low risk</v>
      </c>
      <c r="AA1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18" t="str" cm="1">
        <f t="array" ref="AC118">_xlfn.IFS(
AND(Table1[[#This Row],[Customer service risk level]]="High risk", Table1[[#This Row],[Intl usage behaviour]]="Unplanned Usage"),"High Risk",
OR(Table1[[#This Row],[Customer service risk level]]="Medium risk", Table1[[#This Row],[Charges risk level]]="High risk "),"Medium Risk",
TRUE,"Low Risk"
)</f>
        <v>Low Risk</v>
      </c>
    </row>
    <row r="119" spans="1:29" x14ac:dyDescent="0.25">
      <c r="A119" t="s">
        <v>67</v>
      </c>
      <c r="B119">
        <v>82</v>
      </c>
      <c r="C119">
        <v>408</v>
      </c>
      <c r="D119" t="s">
        <v>21</v>
      </c>
      <c r="E119" t="s">
        <v>21</v>
      </c>
      <c r="F119">
        <v>0</v>
      </c>
      <c r="G119">
        <v>125.7</v>
      </c>
      <c r="H119">
        <v>96</v>
      </c>
      <c r="I119">
        <v>21.37</v>
      </c>
      <c r="J119">
        <v>207.6</v>
      </c>
      <c r="K119">
        <v>137</v>
      </c>
      <c r="L119">
        <v>17.649999999999999</v>
      </c>
      <c r="M119">
        <v>183.1</v>
      </c>
      <c r="N119">
        <v>103</v>
      </c>
      <c r="O119">
        <v>8.24</v>
      </c>
      <c r="P119">
        <v>12.9</v>
      </c>
      <c r="Q119">
        <v>2</v>
      </c>
      <c r="R119">
        <v>3.48</v>
      </c>
      <c r="S119">
        <v>1</v>
      </c>
      <c r="T119" t="b">
        <v>0</v>
      </c>
      <c r="U119">
        <f>IFERROR(SUM(Table1[[#This Row],[Total day minutes]],Table1[[#This Row],[Total eve minutes]],Table1[[#This Row],[Total night minutes]],Table1[[#This Row],[Total intl minutes]]),0)</f>
        <v>529.29999999999995</v>
      </c>
      <c r="V119">
        <f>SUM(Table1[[#This Row],[Total intl charge]],Table1[[#This Row],[Total night charge]],Table1[[#This Row],[Total eve charge]],Table1[[#This Row],[Total day charge]])</f>
        <v>50.739999999999995</v>
      </c>
      <c r="W119">
        <f>SUM(Table1[[#This Row],[Total intl calls]],Table1[[#This Row],[Total night calls]],Table1[[#This Row],[Total eve calls]],Table1[[#This Row],[Total day calls]])</f>
        <v>338</v>
      </c>
      <c r="X119" t="str" cm="1">
        <f t="array" ref="X119">_xlfn.IFS(Table1[[#This Row],[Customer service calls]]&gt;=4,"High risk",Table1[[#This Row],[Customer service calls]]&gt;=2,"Medium risk",TRUE,"Low risk")</f>
        <v>Low risk</v>
      </c>
      <c r="Y119" t="str" cm="1">
        <f t="array" ref="Y119">IFERROR(_xlfn.IFS(Table1[[#This Row],[Total usage(Min)]]&gt;=AVERAGE(U:U)*1.1,"High risk",Table1[[#This Row],[Total usage(Min)]]&lt;= AVERAGE(U:U)*0.9,"Low risk",TRUE,"Medium risk"),"N/A")</f>
        <v>Low risk</v>
      </c>
      <c r="Z119" t="str" cm="1">
        <f t="array" ref="Z119">IFERROR(_xlfn.IFS(Table1[[#This Row],[Total charges]]&gt;=AVERAGE(V:V)*1.1,"High risk",Table1[[#This Row],[Total charges]]&lt;=AVERAGE(V:V)*0.9,"Low risk",TRUE,"Medium risk"),"N/A")</f>
        <v>Low risk</v>
      </c>
      <c r="AA1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19" t="str" cm="1">
        <f t="array" ref="AC119">_xlfn.IFS(
AND(Table1[[#This Row],[Customer service risk level]]="High risk", Table1[[#This Row],[Intl usage behaviour]]="Unplanned Usage"),"High Risk",
OR(Table1[[#This Row],[Customer service risk level]]="Medium risk", Table1[[#This Row],[Charges risk level]]="High risk "),"Medium Risk",
TRUE,"Low Risk"
)</f>
        <v>Low Risk</v>
      </c>
    </row>
    <row r="120" spans="1:29" x14ac:dyDescent="0.25">
      <c r="A120" t="s">
        <v>23</v>
      </c>
      <c r="B120">
        <v>39</v>
      </c>
      <c r="C120">
        <v>408</v>
      </c>
      <c r="D120" t="s">
        <v>21</v>
      </c>
      <c r="E120" t="s">
        <v>21</v>
      </c>
      <c r="F120">
        <v>0</v>
      </c>
      <c r="G120">
        <v>160.4</v>
      </c>
      <c r="H120">
        <v>68</v>
      </c>
      <c r="I120">
        <v>27.27</v>
      </c>
      <c r="J120">
        <v>102.6</v>
      </c>
      <c r="K120">
        <v>103</v>
      </c>
      <c r="L120">
        <v>8.7200000000000006</v>
      </c>
      <c r="M120">
        <v>235.3</v>
      </c>
      <c r="N120">
        <v>106</v>
      </c>
      <c r="O120">
        <v>10.59</v>
      </c>
      <c r="P120">
        <v>9.1</v>
      </c>
      <c r="Q120">
        <v>5</v>
      </c>
      <c r="R120">
        <v>2.46</v>
      </c>
      <c r="S120">
        <v>2</v>
      </c>
      <c r="T120" t="b">
        <v>0</v>
      </c>
      <c r="U120">
        <f>IFERROR(SUM(Table1[[#This Row],[Total day minutes]],Table1[[#This Row],[Total eve minutes]],Table1[[#This Row],[Total night minutes]],Table1[[#This Row],[Total intl minutes]]),0)</f>
        <v>507.40000000000003</v>
      </c>
      <c r="V120">
        <f>SUM(Table1[[#This Row],[Total intl charge]],Table1[[#This Row],[Total night charge]],Table1[[#This Row],[Total eve charge]],Table1[[#This Row],[Total day charge]])</f>
        <v>49.040000000000006</v>
      </c>
      <c r="W120">
        <f>SUM(Table1[[#This Row],[Total intl calls]],Table1[[#This Row],[Total night calls]],Table1[[#This Row],[Total eve calls]],Table1[[#This Row],[Total day calls]])</f>
        <v>282</v>
      </c>
      <c r="X120" t="str" cm="1">
        <f t="array" ref="X120">_xlfn.IFS(Table1[[#This Row],[Customer service calls]]&gt;=4,"High risk",Table1[[#This Row],[Customer service calls]]&gt;=2,"Medium risk",TRUE,"Low risk")</f>
        <v>Medium risk</v>
      </c>
      <c r="Y120" t="str" cm="1">
        <f t="array" ref="Y120">IFERROR(_xlfn.IFS(Table1[[#This Row],[Total usage(Min)]]&gt;=AVERAGE(U:U)*1.1,"High risk",Table1[[#This Row],[Total usage(Min)]]&lt;= AVERAGE(U:U)*0.9,"Low risk",TRUE,"Medium risk"),"N/A")</f>
        <v>Low risk</v>
      </c>
      <c r="Z120" t="str" cm="1">
        <f t="array" ref="Z120">IFERROR(_xlfn.IFS(Table1[[#This Row],[Total charges]]&gt;=AVERAGE(V:V)*1.1,"High risk",Table1[[#This Row],[Total charges]]&lt;=AVERAGE(V:V)*0.9,"Low risk",TRUE,"Medium risk"),"N/A")</f>
        <v>Low risk</v>
      </c>
      <c r="AA1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0" t="str" cm="1">
        <f t="array" ref="AC120">_xlfn.IFS(
AND(Table1[[#This Row],[Customer service risk level]]="High risk", Table1[[#This Row],[Intl usage behaviour]]="Unplanned Usage"),"High Risk",
OR(Table1[[#This Row],[Customer service risk level]]="Medium risk", Table1[[#This Row],[Charges risk level]]="High risk "),"Medium Risk",
TRUE,"Low Risk"
)</f>
        <v>Medium Risk</v>
      </c>
    </row>
    <row r="121" spans="1:29" x14ac:dyDescent="0.25">
      <c r="A121" t="s">
        <v>46</v>
      </c>
      <c r="B121">
        <v>30</v>
      </c>
      <c r="C121">
        <v>415</v>
      </c>
      <c r="D121" t="s">
        <v>21</v>
      </c>
      <c r="E121" t="s">
        <v>21</v>
      </c>
      <c r="F121">
        <v>0</v>
      </c>
      <c r="G121">
        <v>169.9</v>
      </c>
      <c r="H121">
        <v>144</v>
      </c>
      <c r="I121">
        <v>28.88</v>
      </c>
      <c r="J121">
        <v>225.2</v>
      </c>
      <c r="K121">
        <v>118</v>
      </c>
      <c r="L121">
        <v>19.14</v>
      </c>
      <c r="M121">
        <v>169.7</v>
      </c>
      <c r="N121">
        <v>93</v>
      </c>
      <c r="O121">
        <v>7.64</v>
      </c>
      <c r="P121">
        <v>11.4</v>
      </c>
      <c r="Q121">
        <v>7</v>
      </c>
      <c r="R121">
        <v>3.08</v>
      </c>
      <c r="S121">
        <v>1</v>
      </c>
      <c r="T121" t="b">
        <v>0</v>
      </c>
      <c r="U121">
        <f>IFERROR(SUM(Table1[[#This Row],[Total day minutes]],Table1[[#This Row],[Total eve minutes]],Table1[[#This Row],[Total night minutes]],Table1[[#This Row],[Total intl minutes]]),0)</f>
        <v>576.19999999999993</v>
      </c>
      <c r="V121">
        <f>SUM(Table1[[#This Row],[Total intl charge]],Table1[[#This Row],[Total night charge]],Table1[[#This Row],[Total eve charge]],Table1[[#This Row],[Total day charge]])</f>
        <v>58.739999999999995</v>
      </c>
      <c r="W121">
        <f>SUM(Table1[[#This Row],[Total intl calls]],Table1[[#This Row],[Total night calls]],Table1[[#This Row],[Total eve calls]],Table1[[#This Row],[Total day calls]])</f>
        <v>362</v>
      </c>
      <c r="X121" t="str" cm="1">
        <f t="array" ref="X121">_xlfn.IFS(Table1[[#This Row],[Customer service calls]]&gt;=4,"High risk",Table1[[#This Row],[Customer service calls]]&gt;=2,"Medium risk",TRUE,"Low risk")</f>
        <v>Low risk</v>
      </c>
      <c r="Y121" t="str" cm="1">
        <f t="array" ref="Y121">IFERROR(_xlfn.IFS(Table1[[#This Row],[Total usage(Min)]]&gt;=AVERAGE(U:U)*1.1,"High risk",Table1[[#This Row],[Total usage(Min)]]&lt;= AVERAGE(U:U)*0.9,"Low risk",TRUE,"Medium risk"),"N/A")</f>
        <v>Medium risk</v>
      </c>
      <c r="Z121" t="str" cm="1">
        <f t="array" ref="Z121">IFERROR(_xlfn.IFS(Table1[[#This Row],[Total charges]]&gt;=AVERAGE(V:V)*1.1,"High risk",Table1[[#This Row],[Total charges]]&lt;=AVERAGE(V:V)*0.9,"Low risk",TRUE,"Medium risk"),"N/A")</f>
        <v>Medium risk</v>
      </c>
      <c r="AA1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1" t="str" cm="1">
        <f t="array" ref="AC121">_xlfn.IFS(
AND(Table1[[#This Row],[Customer service risk level]]="High risk", Table1[[#This Row],[Intl usage behaviour]]="Unplanned Usage"),"High Risk",
OR(Table1[[#This Row],[Customer service risk level]]="Medium risk", Table1[[#This Row],[Charges risk level]]="High risk "),"Medium Risk",
TRUE,"Low Risk"
)</f>
        <v>Low Risk</v>
      </c>
    </row>
    <row r="122" spans="1:29" x14ac:dyDescent="0.25">
      <c r="A122" t="s">
        <v>53</v>
      </c>
      <c r="B122">
        <v>63</v>
      </c>
      <c r="C122">
        <v>415</v>
      </c>
      <c r="D122" t="s">
        <v>21</v>
      </c>
      <c r="E122" t="s">
        <v>27</v>
      </c>
      <c r="F122">
        <v>29</v>
      </c>
      <c r="G122">
        <v>142.30000000000001</v>
      </c>
      <c r="H122">
        <v>107</v>
      </c>
      <c r="I122">
        <v>24.19</v>
      </c>
      <c r="J122">
        <v>118.7</v>
      </c>
      <c r="K122">
        <v>56</v>
      </c>
      <c r="L122">
        <v>10.09</v>
      </c>
      <c r="M122">
        <v>240.1</v>
      </c>
      <c r="N122">
        <v>91</v>
      </c>
      <c r="O122">
        <v>10.8</v>
      </c>
      <c r="P122">
        <v>6.6</v>
      </c>
      <c r="Q122">
        <v>8</v>
      </c>
      <c r="R122">
        <v>1.78</v>
      </c>
      <c r="S122">
        <v>1</v>
      </c>
      <c r="T122" t="b">
        <v>0</v>
      </c>
      <c r="U122">
        <f>IFERROR(SUM(Table1[[#This Row],[Total day minutes]],Table1[[#This Row],[Total eve minutes]],Table1[[#This Row],[Total night minutes]],Table1[[#This Row],[Total intl minutes]]),0)</f>
        <v>507.70000000000005</v>
      </c>
      <c r="V122">
        <f>SUM(Table1[[#This Row],[Total intl charge]],Table1[[#This Row],[Total night charge]],Table1[[#This Row],[Total eve charge]],Table1[[#This Row],[Total day charge]])</f>
        <v>46.86</v>
      </c>
      <c r="W122">
        <f>SUM(Table1[[#This Row],[Total intl calls]],Table1[[#This Row],[Total night calls]],Table1[[#This Row],[Total eve calls]],Table1[[#This Row],[Total day calls]])</f>
        <v>262</v>
      </c>
      <c r="X122" t="str" cm="1">
        <f t="array" ref="X122">_xlfn.IFS(Table1[[#This Row],[Customer service calls]]&gt;=4,"High risk",Table1[[#This Row],[Customer service calls]]&gt;=2,"Medium risk",TRUE,"Low risk")</f>
        <v>Low risk</v>
      </c>
      <c r="Y122" t="str" cm="1">
        <f t="array" ref="Y122">IFERROR(_xlfn.IFS(Table1[[#This Row],[Total usage(Min)]]&gt;=AVERAGE(U:U)*1.1,"High risk",Table1[[#This Row],[Total usage(Min)]]&lt;= AVERAGE(U:U)*0.9,"Low risk",TRUE,"Medium risk"),"N/A")</f>
        <v>Low risk</v>
      </c>
      <c r="Z122" t="str" cm="1">
        <f t="array" ref="Z122">IFERROR(_xlfn.IFS(Table1[[#This Row],[Total charges]]&gt;=AVERAGE(V:V)*1.1,"High risk",Table1[[#This Row],[Total charges]]&lt;=AVERAGE(V:V)*0.9,"Low risk",TRUE,"Medium risk"),"N/A")</f>
        <v>Low risk</v>
      </c>
      <c r="AA1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22" t="str" cm="1">
        <f t="array" ref="AC122">_xlfn.IFS(
AND(Table1[[#This Row],[Customer service risk level]]="High risk", Table1[[#This Row],[Intl usage behaviour]]="Unplanned Usage"),"High Risk",
OR(Table1[[#This Row],[Customer service risk level]]="Medium risk", Table1[[#This Row],[Charges risk level]]="High risk "),"Medium Risk",
TRUE,"Low Risk"
)</f>
        <v>Low Risk</v>
      </c>
    </row>
    <row r="123" spans="1:29" x14ac:dyDescent="0.25">
      <c r="A123" t="s">
        <v>50</v>
      </c>
      <c r="B123">
        <v>111</v>
      </c>
      <c r="C123">
        <v>415</v>
      </c>
      <c r="D123" t="s">
        <v>21</v>
      </c>
      <c r="E123" t="s">
        <v>21</v>
      </c>
      <c r="F123">
        <v>0</v>
      </c>
      <c r="G123">
        <v>146.19999999999999</v>
      </c>
      <c r="H123">
        <v>55</v>
      </c>
      <c r="I123">
        <v>24.85</v>
      </c>
      <c r="J123">
        <v>261.5</v>
      </c>
      <c r="K123">
        <v>83</v>
      </c>
      <c r="L123">
        <v>22.23</v>
      </c>
      <c r="M123">
        <v>163.19999999999999</v>
      </c>
      <c r="N123">
        <v>116</v>
      </c>
      <c r="O123">
        <v>7.34</v>
      </c>
      <c r="P123">
        <v>8.6999999999999993</v>
      </c>
      <c r="Q123">
        <v>3</v>
      </c>
      <c r="R123">
        <v>2.35</v>
      </c>
      <c r="S123">
        <v>3</v>
      </c>
      <c r="T123" t="b">
        <v>0</v>
      </c>
      <c r="U123">
        <f>IFERROR(SUM(Table1[[#This Row],[Total day minutes]],Table1[[#This Row],[Total eve minutes]],Table1[[#This Row],[Total night minutes]],Table1[[#This Row],[Total intl minutes]]),0)</f>
        <v>579.6</v>
      </c>
      <c r="V123">
        <f>SUM(Table1[[#This Row],[Total intl charge]],Table1[[#This Row],[Total night charge]],Table1[[#This Row],[Total eve charge]],Table1[[#This Row],[Total day charge]])</f>
        <v>56.77</v>
      </c>
      <c r="W123">
        <f>SUM(Table1[[#This Row],[Total intl calls]],Table1[[#This Row],[Total night calls]],Table1[[#This Row],[Total eve calls]],Table1[[#This Row],[Total day calls]])</f>
        <v>257</v>
      </c>
      <c r="X123" t="str" cm="1">
        <f t="array" ref="X123">_xlfn.IFS(Table1[[#This Row],[Customer service calls]]&gt;=4,"High risk",Table1[[#This Row],[Customer service calls]]&gt;=2,"Medium risk",TRUE,"Low risk")</f>
        <v>Medium risk</v>
      </c>
      <c r="Y123" t="str" cm="1">
        <f t="array" ref="Y123">IFERROR(_xlfn.IFS(Table1[[#This Row],[Total usage(Min)]]&gt;=AVERAGE(U:U)*1.1,"High risk",Table1[[#This Row],[Total usage(Min)]]&lt;= AVERAGE(U:U)*0.9,"Low risk",TRUE,"Medium risk"),"N/A")</f>
        <v>Medium risk</v>
      </c>
      <c r="Z123" t="str" cm="1">
        <f t="array" ref="Z123">IFERROR(_xlfn.IFS(Table1[[#This Row],[Total charges]]&gt;=AVERAGE(V:V)*1.1,"High risk",Table1[[#This Row],[Total charges]]&lt;=AVERAGE(V:V)*0.9,"Low risk",TRUE,"Medium risk"),"N/A")</f>
        <v>Medium risk</v>
      </c>
      <c r="AA1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3" t="str" cm="1">
        <f t="array" ref="AC123">_xlfn.IFS(
AND(Table1[[#This Row],[Customer service risk level]]="High risk", Table1[[#This Row],[Intl usage behaviour]]="Unplanned Usage"),"High Risk",
OR(Table1[[#This Row],[Customer service risk level]]="Medium risk", Table1[[#This Row],[Charges risk level]]="High risk "),"Medium Risk",
TRUE,"Low Risk"
)</f>
        <v>Medium Risk</v>
      </c>
    </row>
    <row r="124" spans="1:29" x14ac:dyDescent="0.25">
      <c r="A124" t="s">
        <v>67</v>
      </c>
      <c r="B124">
        <v>91</v>
      </c>
      <c r="C124">
        <v>510</v>
      </c>
      <c r="D124" t="s">
        <v>21</v>
      </c>
      <c r="E124" t="s">
        <v>21</v>
      </c>
      <c r="F124">
        <v>0</v>
      </c>
      <c r="G124">
        <v>231.8</v>
      </c>
      <c r="H124">
        <v>120</v>
      </c>
      <c r="I124">
        <v>39.409999999999997</v>
      </c>
      <c r="J124">
        <v>150.6</v>
      </c>
      <c r="K124">
        <v>106</v>
      </c>
      <c r="L124">
        <v>12.8</v>
      </c>
      <c r="M124">
        <v>269.2</v>
      </c>
      <c r="N124">
        <v>129</v>
      </c>
      <c r="O124">
        <v>12.11</v>
      </c>
      <c r="P124">
        <v>11.6</v>
      </c>
      <c r="Q124">
        <v>7</v>
      </c>
      <c r="R124">
        <v>3.13</v>
      </c>
      <c r="S124">
        <v>3</v>
      </c>
      <c r="T124" t="b">
        <v>0</v>
      </c>
      <c r="U124">
        <f>IFERROR(SUM(Table1[[#This Row],[Total day minutes]],Table1[[#This Row],[Total eve minutes]],Table1[[#This Row],[Total night minutes]],Table1[[#This Row],[Total intl minutes]]),0)</f>
        <v>663.19999999999993</v>
      </c>
      <c r="V124">
        <f>SUM(Table1[[#This Row],[Total intl charge]],Table1[[#This Row],[Total night charge]],Table1[[#This Row],[Total eve charge]],Table1[[#This Row],[Total day charge]])</f>
        <v>67.449999999999989</v>
      </c>
      <c r="W124">
        <f>SUM(Table1[[#This Row],[Total intl calls]],Table1[[#This Row],[Total night calls]],Table1[[#This Row],[Total eve calls]],Table1[[#This Row],[Total day calls]])</f>
        <v>362</v>
      </c>
      <c r="X124" t="str" cm="1">
        <f t="array" ref="X124">_xlfn.IFS(Table1[[#This Row],[Customer service calls]]&gt;=4,"High risk",Table1[[#This Row],[Customer service calls]]&gt;=2,"Medium risk",TRUE,"Low risk")</f>
        <v>Medium risk</v>
      </c>
      <c r="Y124" t="str" cm="1">
        <f t="array" ref="Y124">IFERROR(_xlfn.IFS(Table1[[#This Row],[Total usage(Min)]]&gt;=AVERAGE(U:U)*1.1,"High risk",Table1[[#This Row],[Total usage(Min)]]&lt;= AVERAGE(U:U)*0.9,"Low risk",TRUE,"Medium risk"),"N/A")</f>
        <v>High risk</v>
      </c>
      <c r="Z124" t="str" cm="1">
        <f t="array" ref="Z124">IFERROR(_xlfn.IFS(Table1[[#This Row],[Total charges]]&gt;=AVERAGE(V:V)*1.1,"High risk",Table1[[#This Row],[Total charges]]&lt;=AVERAGE(V:V)*0.9,"Low risk",TRUE,"Medium risk"),"N/A")</f>
        <v>High risk</v>
      </c>
      <c r="AA1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4" t="str" cm="1">
        <f t="array" ref="AC124">_xlfn.IFS(
AND(Table1[[#This Row],[Customer service risk level]]="High risk", Table1[[#This Row],[Intl usage behaviour]]="Unplanned Usage"),"High Risk",
OR(Table1[[#This Row],[Customer service risk level]]="Medium risk", Table1[[#This Row],[Charges risk level]]="High risk "),"Medium Risk",
TRUE,"Low Risk"
)</f>
        <v>Medium Risk</v>
      </c>
    </row>
    <row r="125" spans="1:29" x14ac:dyDescent="0.25">
      <c r="A125" t="s">
        <v>60</v>
      </c>
      <c r="B125">
        <v>105</v>
      </c>
      <c r="C125">
        <v>415</v>
      </c>
      <c r="D125" t="s">
        <v>27</v>
      </c>
      <c r="E125" t="s">
        <v>27</v>
      </c>
      <c r="F125">
        <v>29</v>
      </c>
      <c r="G125">
        <v>220.7</v>
      </c>
      <c r="H125">
        <v>82</v>
      </c>
      <c r="I125">
        <v>37.520000000000003</v>
      </c>
      <c r="J125">
        <v>217.7</v>
      </c>
      <c r="K125">
        <v>110</v>
      </c>
      <c r="L125">
        <v>18.5</v>
      </c>
      <c r="M125">
        <v>190.5</v>
      </c>
      <c r="N125">
        <v>100</v>
      </c>
      <c r="O125">
        <v>8.57</v>
      </c>
      <c r="P125">
        <v>13.2</v>
      </c>
      <c r="Q125">
        <v>6</v>
      </c>
      <c r="R125">
        <v>3.56</v>
      </c>
      <c r="S125">
        <v>1</v>
      </c>
      <c r="T125" t="b">
        <v>1</v>
      </c>
      <c r="U125">
        <f>IFERROR(SUM(Table1[[#This Row],[Total day minutes]],Table1[[#This Row],[Total eve minutes]],Table1[[#This Row],[Total night minutes]],Table1[[#This Row],[Total intl minutes]]),0)</f>
        <v>642.1</v>
      </c>
      <c r="V125">
        <f>SUM(Table1[[#This Row],[Total intl charge]],Table1[[#This Row],[Total night charge]],Table1[[#This Row],[Total eve charge]],Table1[[#This Row],[Total day charge]])</f>
        <v>68.150000000000006</v>
      </c>
      <c r="W125">
        <f>SUM(Table1[[#This Row],[Total intl calls]],Table1[[#This Row],[Total night calls]],Table1[[#This Row],[Total eve calls]],Table1[[#This Row],[Total day calls]])</f>
        <v>298</v>
      </c>
      <c r="X125" t="str" cm="1">
        <f t="array" ref="X125">_xlfn.IFS(Table1[[#This Row],[Customer service calls]]&gt;=4,"High risk",Table1[[#This Row],[Customer service calls]]&gt;=2,"Medium risk",TRUE,"Low risk")</f>
        <v>Low risk</v>
      </c>
      <c r="Y125" t="str" cm="1">
        <f t="array" ref="Y125">IFERROR(_xlfn.IFS(Table1[[#This Row],[Total usage(Min)]]&gt;=AVERAGE(U:U)*1.1,"High risk",Table1[[#This Row],[Total usage(Min)]]&lt;= AVERAGE(U:U)*0.9,"Low risk",TRUE,"Medium risk"),"N/A")</f>
        <v>Medium risk</v>
      </c>
      <c r="Z125" t="str" cm="1">
        <f t="array" ref="Z125">IFERROR(_xlfn.IFS(Table1[[#This Row],[Total charges]]&gt;=AVERAGE(V:V)*1.1,"High risk",Table1[[#This Row],[Total charges]]&lt;=AVERAGE(V:V)*0.9,"Low risk",TRUE,"Medium risk"),"N/A")</f>
        <v>High risk</v>
      </c>
      <c r="AA1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2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25" t="str" cm="1">
        <f t="array" ref="AC125">_xlfn.IFS(
AND(Table1[[#This Row],[Customer service risk level]]="High risk", Table1[[#This Row],[Intl usage behaviour]]="Unplanned Usage"),"High Risk",
OR(Table1[[#This Row],[Customer service risk level]]="Medium risk", Table1[[#This Row],[Charges risk level]]="High risk "),"Medium Risk",
TRUE,"Low Risk"
)</f>
        <v>Low Risk</v>
      </c>
    </row>
    <row r="126" spans="1:29" x14ac:dyDescent="0.25">
      <c r="A126" t="s">
        <v>40</v>
      </c>
      <c r="B126">
        <v>166</v>
      </c>
      <c r="C126">
        <v>408</v>
      </c>
      <c r="D126" t="s">
        <v>27</v>
      </c>
      <c r="E126" t="s">
        <v>27</v>
      </c>
      <c r="F126">
        <v>35</v>
      </c>
      <c r="G126">
        <v>128.19999999999999</v>
      </c>
      <c r="H126">
        <v>138</v>
      </c>
      <c r="I126">
        <v>21.79</v>
      </c>
      <c r="J126">
        <v>274.5</v>
      </c>
      <c r="K126">
        <v>113</v>
      </c>
      <c r="L126">
        <v>23.33</v>
      </c>
      <c r="M126">
        <v>298.89999999999998</v>
      </c>
      <c r="N126">
        <v>130</v>
      </c>
      <c r="O126">
        <v>13.45</v>
      </c>
      <c r="P126">
        <v>8.8000000000000007</v>
      </c>
      <c r="Q126">
        <v>7</v>
      </c>
      <c r="R126">
        <v>2.38</v>
      </c>
      <c r="S126">
        <v>2</v>
      </c>
      <c r="T126" t="b">
        <v>0</v>
      </c>
      <c r="U126">
        <f>IFERROR(SUM(Table1[[#This Row],[Total day minutes]],Table1[[#This Row],[Total eve minutes]],Table1[[#This Row],[Total night minutes]],Table1[[#This Row],[Total intl minutes]]),0)</f>
        <v>710.39999999999986</v>
      </c>
      <c r="V126">
        <f>SUM(Table1[[#This Row],[Total intl charge]],Table1[[#This Row],[Total night charge]],Table1[[#This Row],[Total eve charge]],Table1[[#This Row],[Total day charge]])</f>
        <v>60.949999999999996</v>
      </c>
      <c r="W126">
        <f>SUM(Table1[[#This Row],[Total intl calls]],Table1[[#This Row],[Total night calls]],Table1[[#This Row],[Total eve calls]],Table1[[#This Row],[Total day calls]])</f>
        <v>388</v>
      </c>
      <c r="X126" t="str" cm="1">
        <f t="array" ref="X126">_xlfn.IFS(Table1[[#This Row],[Customer service calls]]&gt;=4,"High risk",Table1[[#This Row],[Customer service calls]]&gt;=2,"Medium risk",TRUE,"Low risk")</f>
        <v>Medium risk</v>
      </c>
      <c r="Y126" t="str" cm="1">
        <f t="array" ref="Y126">IFERROR(_xlfn.IFS(Table1[[#This Row],[Total usage(Min)]]&gt;=AVERAGE(U:U)*1.1,"High risk",Table1[[#This Row],[Total usage(Min)]]&lt;= AVERAGE(U:U)*0.9,"Low risk",TRUE,"Medium risk"),"N/A")</f>
        <v>High risk</v>
      </c>
      <c r="Z126" t="str" cm="1">
        <f t="array" ref="Z126">IFERROR(_xlfn.IFS(Table1[[#This Row],[Total charges]]&gt;=AVERAGE(V:V)*1.1,"High risk",Table1[[#This Row],[Total charges]]&lt;=AVERAGE(V:V)*0.9,"Low risk",TRUE,"Medium risk"),"N/A")</f>
        <v>Medium risk</v>
      </c>
      <c r="AA1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2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26" t="str" cm="1">
        <f t="array" ref="AC126">_xlfn.IFS(
AND(Table1[[#This Row],[Customer service risk level]]="High risk", Table1[[#This Row],[Intl usage behaviour]]="Unplanned Usage"),"High Risk",
OR(Table1[[#This Row],[Customer service risk level]]="Medium risk", Table1[[#This Row],[Charges risk level]]="High risk "),"Medium Risk",
TRUE,"Low Risk"
)</f>
        <v>Medium Risk</v>
      </c>
    </row>
    <row r="127" spans="1:29" x14ac:dyDescent="0.25">
      <c r="A127" t="s">
        <v>51</v>
      </c>
      <c r="B127">
        <v>79</v>
      </c>
      <c r="C127">
        <v>510</v>
      </c>
      <c r="D127" t="s">
        <v>21</v>
      </c>
      <c r="E127" t="s">
        <v>21</v>
      </c>
      <c r="F127">
        <v>0</v>
      </c>
      <c r="G127">
        <v>130.19999999999999</v>
      </c>
      <c r="H127">
        <v>119</v>
      </c>
      <c r="I127">
        <v>22.13</v>
      </c>
      <c r="J127">
        <v>290.89999999999998</v>
      </c>
      <c r="K127">
        <v>121</v>
      </c>
      <c r="L127">
        <v>24.73</v>
      </c>
      <c r="M127">
        <v>194.8</v>
      </c>
      <c r="N127">
        <v>140</v>
      </c>
      <c r="O127">
        <v>8.77</v>
      </c>
      <c r="P127">
        <v>14</v>
      </c>
      <c r="Q127">
        <v>6</v>
      </c>
      <c r="R127">
        <v>3.78</v>
      </c>
      <c r="S127">
        <v>3</v>
      </c>
      <c r="T127" t="b">
        <v>0</v>
      </c>
      <c r="U127">
        <f>IFERROR(SUM(Table1[[#This Row],[Total day minutes]],Table1[[#This Row],[Total eve minutes]],Table1[[#This Row],[Total night minutes]],Table1[[#This Row],[Total intl minutes]]),0)</f>
        <v>629.9</v>
      </c>
      <c r="V127">
        <f>SUM(Table1[[#This Row],[Total intl charge]],Table1[[#This Row],[Total night charge]],Table1[[#This Row],[Total eve charge]],Table1[[#This Row],[Total day charge]])</f>
        <v>59.41</v>
      </c>
      <c r="W127">
        <f>SUM(Table1[[#This Row],[Total intl calls]],Table1[[#This Row],[Total night calls]],Table1[[#This Row],[Total eve calls]],Table1[[#This Row],[Total day calls]])</f>
        <v>386</v>
      </c>
      <c r="X127" t="str" cm="1">
        <f t="array" ref="X127">_xlfn.IFS(Table1[[#This Row],[Customer service calls]]&gt;=4,"High risk",Table1[[#This Row],[Customer service calls]]&gt;=2,"Medium risk",TRUE,"Low risk")</f>
        <v>Medium risk</v>
      </c>
      <c r="Y127" t="str" cm="1">
        <f t="array" ref="Y127">IFERROR(_xlfn.IFS(Table1[[#This Row],[Total usage(Min)]]&gt;=AVERAGE(U:U)*1.1,"High risk",Table1[[#This Row],[Total usage(Min)]]&lt;= AVERAGE(U:U)*0.9,"Low risk",TRUE,"Medium risk"),"N/A")</f>
        <v>Medium risk</v>
      </c>
      <c r="Z127" t="str" cm="1">
        <f t="array" ref="Z127">IFERROR(_xlfn.IFS(Table1[[#This Row],[Total charges]]&gt;=AVERAGE(V:V)*1.1,"High risk",Table1[[#This Row],[Total charges]]&lt;=AVERAGE(V:V)*0.9,"Low risk",TRUE,"Medium risk"),"N/A")</f>
        <v>Medium risk</v>
      </c>
      <c r="AA1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7" t="str" cm="1">
        <f t="array" ref="AC127">_xlfn.IFS(
AND(Table1[[#This Row],[Customer service risk level]]="High risk", Table1[[#This Row],[Intl usage behaviour]]="Unplanned Usage"),"High Risk",
OR(Table1[[#This Row],[Customer service risk level]]="Medium risk", Table1[[#This Row],[Charges risk level]]="High risk "),"Medium Risk",
TRUE,"Low Risk"
)</f>
        <v>Medium Risk</v>
      </c>
    </row>
    <row r="128" spans="1:29" x14ac:dyDescent="0.25">
      <c r="A128" t="s">
        <v>62</v>
      </c>
      <c r="B128">
        <v>105</v>
      </c>
      <c r="C128">
        <v>408</v>
      </c>
      <c r="D128" t="s">
        <v>21</v>
      </c>
      <c r="E128" t="s">
        <v>27</v>
      </c>
      <c r="F128">
        <v>33</v>
      </c>
      <c r="G128">
        <v>209.6</v>
      </c>
      <c r="H128">
        <v>68</v>
      </c>
      <c r="I128">
        <v>35.630000000000003</v>
      </c>
      <c r="J128">
        <v>146.9</v>
      </c>
      <c r="K128">
        <v>140</v>
      </c>
      <c r="L128">
        <v>12.49</v>
      </c>
      <c r="M128">
        <v>121</v>
      </c>
      <c r="N128">
        <v>131</v>
      </c>
      <c r="O128">
        <v>5.44</v>
      </c>
      <c r="P128">
        <v>10.6</v>
      </c>
      <c r="Q128">
        <v>3</v>
      </c>
      <c r="R128">
        <v>2.86</v>
      </c>
      <c r="S128">
        <v>2</v>
      </c>
      <c r="T128" t="b">
        <v>0</v>
      </c>
      <c r="U128">
        <f>IFERROR(SUM(Table1[[#This Row],[Total day minutes]],Table1[[#This Row],[Total eve minutes]],Table1[[#This Row],[Total night minutes]],Table1[[#This Row],[Total intl minutes]]),0)</f>
        <v>488.1</v>
      </c>
      <c r="V128">
        <f>SUM(Table1[[#This Row],[Total intl charge]],Table1[[#This Row],[Total night charge]],Table1[[#This Row],[Total eve charge]],Table1[[#This Row],[Total day charge]])</f>
        <v>56.42</v>
      </c>
      <c r="W128">
        <f>SUM(Table1[[#This Row],[Total intl calls]],Table1[[#This Row],[Total night calls]],Table1[[#This Row],[Total eve calls]],Table1[[#This Row],[Total day calls]])</f>
        <v>342</v>
      </c>
      <c r="X128" t="str" cm="1">
        <f t="array" ref="X128">_xlfn.IFS(Table1[[#This Row],[Customer service calls]]&gt;=4,"High risk",Table1[[#This Row],[Customer service calls]]&gt;=2,"Medium risk",TRUE,"Low risk")</f>
        <v>Medium risk</v>
      </c>
      <c r="Y128" t="str" cm="1">
        <f t="array" ref="Y128">IFERROR(_xlfn.IFS(Table1[[#This Row],[Total usage(Min)]]&gt;=AVERAGE(U:U)*1.1,"High risk",Table1[[#This Row],[Total usage(Min)]]&lt;= AVERAGE(U:U)*0.9,"Low risk",TRUE,"Medium risk"),"N/A")</f>
        <v>Low risk</v>
      </c>
      <c r="Z128" t="str" cm="1">
        <f t="array" ref="Z128">IFERROR(_xlfn.IFS(Table1[[#This Row],[Total charges]]&gt;=AVERAGE(V:V)*1.1,"High risk",Table1[[#This Row],[Total charges]]&lt;=AVERAGE(V:V)*0.9,"Low risk",TRUE,"Medium risk"),"N/A")</f>
        <v>Medium risk</v>
      </c>
      <c r="AA1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28" t="str" cm="1">
        <f t="array" ref="AC128">_xlfn.IFS(
AND(Table1[[#This Row],[Customer service risk level]]="High risk", Table1[[#This Row],[Intl usage behaviour]]="Unplanned Usage"),"High Risk",
OR(Table1[[#This Row],[Customer service risk level]]="Medium risk", Table1[[#This Row],[Charges risk level]]="High risk "),"Medium Risk",
TRUE,"Low Risk"
)</f>
        <v>Medium Risk</v>
      </c>
    </row>
    <row r="129" spans="1:29" x14ac:dyDescent="0.25">
      <c r="A129" t="s">
        <v>20</v>
      </c>
      <c r="B129">
        <v>172</v>
      </c>
      <c r="C129">
        <v>415</v>
      </c>
      <c r="D129" t="s">
        <v>21</v>
      </c>
      <c r="E129" t="s">
        <v>21</v>
      </c>
      <c r="F129">
        <v>0</v>
      </c>
      <c r="G129">
        <v>215.7</v>
      </c>
      <c r="H129">
        <v>140</v>
      </c>
      <c r="I129">
        <v>36.67</v>
      </c>
      <c r="J129">
        <v>146.30000000000001</v>
      </c>
      <c r="K129">
        <v>84</v>
      </c>
      <c r="L129">
        <v>12.44</v>
      </c>
      <c r="M129">
        <v>264.60000000000002</v>
      </c>
      <c r="N129">
        <v>83</v>
      </c>
      <c r="O129">
        <v>11.91</v>
      </c>
      <c r="P129">
        <v>7.1</v>
      </c>
      <c r="Q129">
        <v>1</v>
      </c>
      <c r="R129">
        <v>1.92</v>
      </c>
      <c r="S129">
        <v>3</v>
      </c>
      <c r="T129" t="b">
        <v>0</v>
      </c>
      <c r="U129">
        <f>IFERROR(SUM(Table1[[#This Row],[Total day minutes]],Table1[[#This Row],[Total eve minutes]],Table1[[#This Row],[Total night minutes]],Table1[[#This Row],[Total intl minutes]]),0)</f>
        <v>633.70000000000005</v>
      </c>
      <c r="V129">
        <f>SUM(Table1[[#This Row],[Total intl charge]],Table1[[#This Row],[Total night charge]],Table1[[#This Row],[Total eve charge]],Table1[[#This Row],[Total day charge]])</f>
        <v>62.94</v>
      </c>
      <c r="W129">
        <f>SUM(Table1[[#This Row],[Total intl calls]],Table1[[#This Row],[Total night calls]],Table1[[#This Row],[Total eve calls]],Table1[[#This Row],[Total day calls]])</f>
        <v>308</v>
      </c>
      <c r="X129" t="str" cm="1">
        <f t="array" ref="X129">_xlfn.IFS(Table1[[#This Row],[Customer service calls]]&gt;=4,"High risk",Table1[[#This Row],[Customer service calls]]&gt;=2,"Medium risk",TRUE,"Low risk")</f>
        <v>Medium risk</v>
      </c>
      <c r="Y129" t="str" cm="1">
        <f t="array" ref="Y129">IFERROR(_xlfn.IFS(Table1[[#This Row],[Total usage(Min)]]&gt;=AVERAGE(U:U)*1.1,"High risk",Table1[[#This Row],[Total usage(Min)]]&lt;= AVERAGE(U:U)*0.9,"Low risk",TRUE,"Medium risk"),"N/A")</f>
        <v>Medium risk</v>
      </c>
      <c r="Z129" t="str" cm="1">
        <f t="array" ref="Z129">IFERROR(_xlfn.IFS(Table1[[#This Row],[Total charges]]&gt;=AVERAGE(V:V)*1.1,"High risk",Table1[[#This Row],[Total charges]]&lt;=AVERAGE(V:V)*0.9,"Low risk",TRUE,"Medium risk"),"N/A")</f>
        <v>Medium risk</v>
      </c>
      <c r="AA1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29" t="str" cm="1">
        <f t="array" ref="AC129">_xlfn.IFS(
AND(Table1[[#This Row],[Customer service risk level]]="High risk", Table1[[#This Row],[Intl usage behaviour]]="Unplanned Usage"),"High Risk",
OR(Table1[[#This Row],[Customer service risk level]]="Medium risk", Table1[[#This Row],[Charges risk level]]="High risk "),"Medium Risk",
TRUE,"Low Risk"
)</f>
        <v>Medium Risk</v>
      </c>
    </row>
    <row r="130" spans="1:29" x14ac:dyDescent="0.25">
      <c r="A130" t="s">
        <v>52</v>
      </c>
      <c r="B130">
        <v>121</v>
      </c>
      <c r="C130">
        <v>408</v>
      </c>
      <c r="D130" t="s">
        <v>21</v>
      </c>
      <c r="E130" t="s">
        <v>21</v>
      </c>
      <c r="F130">
        <v>0</v>
      </c>
      <c r="G130">
        <v>150.69999999999999</v>
      </c>
      <c r="H130">
        <v>105</v>
      </c>
      <c r="I130">
        <v>25.62</v>
      </c>
      <c r="J130">
        <v>197.3</v>
      </c>
      <c r="K130">
        <v>133</v>
      </c>
      <c r="L130">
        <v>16.77</v>
      </c>
      <c r="M130">
        <v>169</v>
      </c>
      <c r="N130">
        <v>116</v>
      </c>
      <c r="O130">
        <v>7.61</v>
      </c>
      <c r="P130">
        <v>9.1999999999999993</v>
      </c>
      <c r="Q130">
        <v>15</v>
      </c>
      <c r="R130">
        <v>2.48</v>
      </c>
      <c r="S130">
        <v>1</v>
      </c>
      <c r="T130" t="b">
        <v>0</v>
      </c>
      <c r="U130">
        <f>IFERROR(SUM(Table1[[#This Row],[Total day minutes]],Table1[[#This Row],[Total eve minutes]],Table1[[#This Row],[Total night minutes]],Table1[[#This Row],[Total intl minutes]]),0)</f>
        <v>526.20000000000005</v>
      </c>
      <c r="V130">
        <f>SUM(Table1[[#This Row],[Total intl charge]],Table1[[#This Row],[Total night charge]],Table1[[#This Row],[Total eve charge]],Table1[[#This Row],[Total day charge]])</f>
        <v>52.480000000000004</v>
      </c>
      <c r="W130">
        <f>SUM(Table1[[#This Row],[Total intl calls]],Table1[[#This Row],[Total night calls]],Table1[[#This Row],[Total eve calls]],Table1[[#This Row],[Total day calls]])</f>
        <v>369</v>
      </c>
      <c r="X130" t="str" cm="1">
        <f t="array" ref="X130">_xlfn.IFS(Table1[[#This Row],[Customer service calls]]&gt;=4,"High risk",Table1[[#This Row],[Customer service calls]]&gt;=2,"Medium risk",TRUE,"Low risk")</f>
        <v>Low risk</v>
      </c>
      <c r="Y130" t="str" cm="1">
        <f t="array" ref="Y130">IFERROR(_xlfn.IFS(Table1[[#This Row],[Total usage(Min)]]&gt;=AVERAGE(U:U)*1.1,"High risk",Table1[[#This Row],[Total usage(Min)]]&lt;= AVERAGE(U:U)*0.9,"Low risk",TRUE,"Medium risk"),"N/A")</f>
        <v>Low risk</v>
      </c>
      <c r="Z130" t="str" cm="1">
        <f t="array" ref="Z130">IFERROR(_xlfn.IFS(Table1[[#This Row],[Total charges]]&gt;=AVERAGE(V:V)*1.1,"High risk",Table1[[#This Row],[Total charges]]&lt;=AVERAGE(V:V)*0.9,"Low risk",TRUE,"Medium risk"),"N/A")</f>
        <v>Low risk</v>
      </c>
      <c r="AA1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0" t="str" cm="1">
        <f t="array" ref="AC130">_xlfn.IFS(
AND(Table1[[#This Row],[Customer service risk level]]="High risk", Table1[[#This Row],[Intl usage behaviour]]="Unplanned Usage"),"High Risk",
OR(Table1[[#This Row],[Customer service risk level]]="Medium risk", Table1[[#This Row],[Charges risk level]]="High risk "),"Medium Risk",
TRUE,"Low Risk"
)</f>
        <v>Low Risk</v>
      </c>
    </row>
    <row r="131" spans="1:29" x14ac:dyDescent="0.25">
      <c r="A131" t="s">
        <v>68</v>
      </c>
      <c r="B131">
        <v>88</v>
      </c>
      <c r="C131">
        <v>415</v>
      </c>
      <c r="D131" t="s">
        <v>21</v>
      </c>
      <c r="E131" t="s">
        <v>21</v>
      </c>
      <c r="F131">
        <v>0</v>
      </c>
      <c r="G131">
        <v>161.5</v>
      </c>
      <c r="H131">
        <v>92</v>
      </c>
      <c r="I131">
        <v>27.46</v>
      </c>
      <c r="J131">
        <v>173.5</v>
      </c>
      <c r="K131">
        <v>108</v>
      </c>
      <c r="L131">
        <v>14.75</v>
      </c>
      <c r="M131">
        <v>206.2</v>
      </c>
      <c r="N131">
        <v>95</v>
      </c>
      <c r="O131">
        <v>9.2799999999999994</v>
      </c>
      <c r="P131">
        <v>7.9</v>
      </c>
      <c r="Q131">
        <v>4</v>
      </c>
      <c r="R131">
        <v>2.13</v>
      </c>
      <c r="S131">
        <v>2</v>
      </c>
      <c r="T131" t="b">
        <v>0</v>
      </c>
      <c r="U131">
        <f>IFERROR(SUM(Table1[[#This Row],[Total day minutes]],Table1[[#This Row],[Total eve minutes]],Table1[[#This Row],[Total night minutes]],Table1[[#This Row],[Total intl minutes]]),0)</f>
        <v>549.1</v>
      </c>
      <c r="V131">
        <f>SUM(Table1[[#This Row],[Total intl charge]],Table1[[#This Row],[Total night charge]],Table1[[#This Row],[Total eve charge]],Table1[[#This Row],[Total day charge]])</f>
        <v>53.620000000000005</v>
      </c>
      <c r="W131">
        <f>SUM(Table1[[#This Row],[Total intl calls]],Table1[[#This Row],[Total night calls]],Table1[[#This Row],[Total eve calls]],Table1[[#This Row],[Total day calls]])</f>
        <v>299</v>
      </c>
      <c r="X131" t="str" cm="1">
        <f t="array" ref="X131">_xlfn.IFS(Table1[[#This Row],[Customer service calls]]&gt;=4,"High risk",Table1[[#This Row],[Customer service calls]]&gt;=2,"Medium risk",TRUE,"Low risk")</f>
        <v>Medium risk</v>
      </c>
      <c r="Y131" t="str" cm="1">
        <f t="array" ref="Y131">IFERROR(_xlfn.IFS(Table1[[#This Row],[Total usage(Min)]]&gt;=AVERAGE(U:U)*1.1,"High risk",Table1[[#This Row],[Total usage(Min)]]&lt;= AVERAGE(U:U)*0.9,"Low risk",TRUE,"Medium risk"),"N/A")</f>
        <v>Medium risk</v>
      </c>
      <c r="Z131" t="str" cm="1">
        <f t="array" ref="Z131">IFERROR(_xlfn.IFS(Table1[[#This Row],[Total charges]]&gt;=AVERAGE(V:V)*1.1,"High risk",Table1[[#This Row],[Total charges]]&lt;=AVERAGE(V:V)*0.9,"Low risk",TRUE,"Medium risk"),"N/A")</f>
        <v>Low risk</v>
      </c>
      <c r="AA1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1" t="str" cm="1">
        <f t="array" ref="AC131">_xlfn.IFS(
AND(Table1[[#This Row],[Customer service risk level]]="High risk", Table1[[#This Row],[Intl usage behaviour]]="Unplanned Usage"),"High Risk",
OR(Table1[[#This Row],[Customer service risk level]]="Medium risk", Table1[[#This Row],[Charges risk level]]="High risk "),"Medium Risk",
TRUE,"Low Risk"
)</f>
        <v>Medium Risk</v>
      </c>
    </row>
    <row r="132" spans="1:29" x14ac:dyDescent="0.25">
      <c r="A132" t="s">
        <v>66</v>
      </c>
      <c r="B132">
        <v>153</v>
      </c>
      <c r="C132">
        <v>408</v>
      </c>
      <c r="D132" t="s">
        <v>21</v>
      </c>
      <c r="E132" t="s">
        <v>27</v>
      </c>
      <c r="F132">
        <v>28</v>
      </c>
      <c r="G132">
        <v>235.6</v>
      </c>
      <c r="H132">
        <v>74</v>
      </c>
      <c r="I132">
        <v>40.049999999999997</v>
      </c>
      <c r="J132">
        <v>227.9</v>
      </c>
      <c r="K132">
        <v>37</v>
      </c>
      <c r="L132">
        <v>19.37</v>
      </c>
      <c r="M132">
        <v>170.3</v>
      </c>
      <c r="N132">
        <v>103</v>
      </c>
      <c r="O132">
        <v>7.66</v>
      </c>
      <c r="P132">
        <v>15.4</v>
      </c>
      <c r="Q132">
        <v>9</v>
      </c>
      <c r="R132">
        <v>4.16</v>
      </c>
      <c r="S132">
        <v>0</v>
      </c>
      <c r="T132" t="b">
        <v>0</v>
      </c>
      <c r="U132">
        <f>IFERROR(SUM(Table1[[#This Row],[Total day minutes]],Table1[[#This Row],[Total eve minutes]],Table1[[#This Row],[Total night minutes]],Table1[[#This Row],[Total intl minutes]]),0)</f>
        <v>649.19999999999993</v>
      </c>
      <c r="V132">
        <f>SUM(Table1[[#This Row],[Total intl charge]],Table1[[#This Row],[Total night charge]],Table1[[#This Row],[Total eve charge]],Table1[[#This Row],[Total day charge]])</f>
        <v>71.239999999999995</v>
      </c>
      <c r="W132">
        <f>SUM(Table1[[#This Row],[Total intl calls]],Table1[[#This Row],[Total night calls]],Table1[[#This Row],[Total eve calls]],Table1[[#This Row],[Total day calls]])</f>
        <v>223</v>
      </c>
      <c r="X132" t="str" cm="1">
        <f t="array" ref="X132">_xlfn.IFS(Table1[[#This Row],[Customer service calls]]&gt;=4,"High risk",Table1[[#This Row],[Customer service calls]]&gt;=2,"Medium risk",TRUE,"Low risk")</f>
        <v>Low risk</v>
      </c>
      <c r="Y132" t="str" cm="1">
        <f t="array" ref="Y132">IFERROR(_xlfn.IFS(Table1[[#This Row],[Total usage(Min)]]&gt;=AVERAGE(U:U)*1.1,"High risk",Table1[[#This Row],[Total usage(Min)]]&lt;= AVERAGE(U:U)*0.9,"Low risk",TRUE,"Medium risk"),"N/A")</f>
        <v>Medium risk</v>
      </c>
      <c r="Z132" t="str" cm="1">
        <f t="array" ref="Z132">IFERROR(_xlfn.IFS(Table1[[#This Row],[Total charges]]&gt;=AVERAGE(V:V)*1.1,"High risk",Table1[[#This Row],[Total charges]]&lt;=AVERAGE(V:V)*0.9,"Low risk",TRUE,"Medium risk"),"N/A")</f>
        <v>High risk</v>
      </c>
      <c r="AA1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32" t="str" cm="1">
        <f t="array" ref="AC132">_xlfn.IFS(
AND(Table1[[#This Row],[Customer service risk level]]="High risk", Table1[[#This Row],[Intl usage behaviour]]="Unplanned Usage"),"High Risk",
OR(Table1[[#This Row],[Customer service risk level]]="Medium risk", Table1[[#This Row],[Charges risk level]]="High risk "),"Medium Risk",
TRUE,"Low Risk"
)</f>
        <v>Low Risk</v>
      </c>
    </row>
    <row r="133" spans="1:29" x14ac:dyDescent="0.25">
      <c r="A133" t="s">
        <v>69</v>
      </c>
      <c r="B133">
        <v>54</v>
      </c>
      <c r="C133">
        <v>415</v>
      </c>
      <c r="D133" t="s">
        <v>21</v>
      </c>
      <c r="E133" t="s">
        <v>27</v>
      </c>
      <c r="F133">
        <v>39</v>
      </c>
      <c r="G133">
        <v>206.9</v>
      </c>
      <c r="H133">
        <v>143</v>
      </c>
      <c r="I133">
        <v>35.17</v>
      </c>
      <c r="J133">
        <v>127.8</v>
      </c>
      <c r="K133">
        <v>72</v>
      </c>
      <c r="L133">
        <v>10.86</v>
      </c>
      <c r="M133">
        <v>199.2</v>
      </c>
      <c r="N133">
        <v>120</v>
      </c>
      <c r="O133">
        <v>8.9600000000000009</v>
      </c>
      <c r="P133">
        <v>9.1999999999999993</v>
      </c>
      <c r="Q133">
        <v>1</v>
      </c>
      <c r="R133">
        <v>2.48</v>
      </c>
      <c r="S133">
        <v>3</v>
      </c>
      <c r="T133" t="b">
        <v>0</v>
      </c>
      <c r="U133">
        <f>IFERROR(SUM(Table1[[#This Row],[Total day minutes]],Table1[[#This Row],[Total eve minutes]],Table1[[#This Row],[Total night minutes]],Table1[[#This Row],[Total intl minutes]]),0)</f>
        <v>543.1</v>
      </c>
      <c r="V133">
        <f>SUM(Table1[[#This Row],[Total intl charge]],Table1[[#This Row],[Total night charge]],Table1[[#This Row],[Total eve charge]],Table1[[#This Row],[Total day charge]])</f>
        <v>57.47</v>
      </c>
      <c r="W133">
        <f>SUM(Table1[[#This Row],[Total intl calls]],Table1[[#This Row],[Total night calls]],Table1[[#This Row],[Total eve calls]],Table1[[#This Row],[Total day calls]])</f>
        <v>336</v>
      </c>
      <c r="X133" t="str" cm="1">
        <f t="array" ref="X133">_xlfn.IFS(Table1[[#This Row],[Customer service calls]]&gt;=4,"High risk",Table1[[#This Row],[Customer service calls]]&gt;=2,"Medium risk",TRUE,"Low risk")</f>
        <v>Medium risk</v>
      </c>
      <c r="Y133" t="str" cm="1">
        <f t="array" ref="Y133">IFERROR(_xlfn.IFS(Table1[[#This Row],[Total usage(Min)]]&gt;=AVERAGE(U:U)*1.1,"High risk",Table1[[#This Row],[Total usage(Min)]]&lt;= AVERAGE(U:U)*0.9,"Low risk",TRUE,"Medium risk"),"N/A")</f>
        <v>Medium risk</v>
      </c>
      <c r="Z133" t="str" cm="1">
        <f t="array" ref="Z133">IFERROR(_xlfn.IFS(Table1[[#This Row],[Total charges]]&gt;=AVERAGE(V:V)*1.1,"High risk",Table1[[#This Row],[Total charges]]&lt;=AVERAGE(V:V)*0.9,"Low risk",TRUE,"Medium risk"),"N/A")</f>
        <v>Medium risk</v>
      </c>
      <c r="AA1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33" t="str" cm="1">
        <f t="array" ref="AC133">_xlfn.IFS(
AND(Table1[[#This Row],[Customer service risk level]]="High risk", Table1[[#This Row],[Intl usage behaviour]]="Unplanned Usage"),"High Risk",
OR(Table1[[#This Row],[Customer service risk level]]="Medium risk", Table1[[#This Row],[Charges risk level]]="High risk "),"Medium Risk",
TRUE,"Low Risk"
)</f>
        <v>Medium Risk</v>
      </c>
    </row>
    <row r="134" spans="1:29" x14ac:dyDescent="0.25">
      <c r="A134" t="s">
        <v>39</v>
      </c>
      <c r="B134">
        <v>79</v>
      </c>
      <c r="C134">
        <v>510</v>
      </c>
      <c r="D134" t="s">
        <v>21</v>
      </c>
      <c r="E134" t="s">
        <v>21</v>
      </c>
      <c r="F134">
        <v>0</v>
      </c>
      <c r="G134">
        <v>157.6</v>
      </c>
      <c r="H134">
        <v>85</v>
      </c>
      <c r="I134">
        <v>26.79</v>
      </c>
      <c r="J134">
        <v>194.1</v>
      </c>
      <c r="K134">
        <v>92</v>
      </c>
      <c r="L134">
        <v>16.5</v>
      </c>
      <c r="M134">
        <v>231.5</v>
      </c>
      <c r="N134">
        <v>86</v>
      </c>
      <c r="O134">
        <v>10.42</v>
      </c>
      <c r="P134">
        <v>9.4</v>
      </c>
      <c r="Q134">
        <v>10</v>
      </c>
      <c r="R134">
        <v>2.54</v>
      </c>
      <c r="S134">
        <v>5</v>
      </c>
      <c r="T134" t="b">
        <v>1</v>
      </c>
      <c r="U134">
        <f>IFERROR(SUM(Table1[[#This Row],[Total day minutes]],Table1[[#This Row],[Total eve minutes]],Table1[[#This Row],[Total night minutes]],Table1[[#This Row],[Total intl minutes]]),0)</f>
        <v>592.6</v>
      </c>
      <c r="V134">
        <f>SUM(Table1[[#This Row],[Total intl charge]],Table1[[#This Row],[Total night charge]],Table1[[#This Row],[Total eve charge]],Table1[[#This Row],[Total day charge]])</f>
        <v>56.25</v>
      </c>
      <c r="W134">
        <f>SUM(Table1[[#This Row],[Total intl calls]],Table1[[#This Row],[Total night calls]],Table1[[#This Row],[Total eve calls]],Table1[[#This Row],[Total day calls]])</f>
        <v>273</v>
      </c>
      <c r="X134" t="str" cm="1">
        <f t="array" ref="X134">_xlfn.IFS(Table1[[#This Row],[Customer service calls]]&gt;=4,"High risk",Table1[[#This Row],[Customer service calls]]&gt;=2,"Medium risk",TRUE,"Low risk")</f>
        <v>High risk</v>
      </c>
      <c r="Y134" t="str" cm="1">
        <f t="array" ref="Y134">IFERROR(_xlfn.IFS(Table1[[#This Row],[Total usage(Min)]]&gt;=AVERAGE(U:U)*1.1,"High risk",Table1[[#This Row],[Total usage(Min)]]&lt;= AVERAGE(U:U)*0.9,"Low risk",TRUE,"Medium risk"),"N/A")</f>
        <v>Medium risk</v>
      </c>
      <c r="Z134" t="str" cm="1">
        <f t="array" ref="Z134">IFERROR(_xlfn.IFS(Table1[[#This Row],[Total charges]]&gt;=AVERAGE(V:V)*1.1,"High risk",Table1[[#This Row],[Total charges]]&lt;=AVERAGE(V:V)*0.9,"Low risk",TRUE,"Medium risk"),"N/A")</f>
        <v>Medium risk</v>
      </c>
      <c r="AA1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4" t="str" cm="1">
        <f t="array" ref="AC134">_xlfn.IFS(
AND(Table1[[#This Row],[Customer service risk level]]="High risk", Table1[[#This Row],[Intl usage behaviour]]="Unplanned Usage"),"High Risk",
OR(Table1[[#This Row],[Customer service risk level]]="Medium risk", Table1[[#This Row],[Charges risk level]]="High risk "),"Medium Risk",
TRUE,"Low Risk"
)</f>
        <v>High Risk</v>
      </c>
    </row>
    <row r="135" spans="1:29" x14ac:dyDescent="0.25">
      <c r="A135" t="s">
        <v>32</v>
      </c>
      <c r="B135">
        <v>55</v>
      </c>
      <c r="C135">
        <v>415</v>
      </c>
      <c r="D135" t="s">
        <v>21</v>
      </c>
      <c r="E135" t="s">
        <v>21</v>
      </c>
      <c r="F135">
        <v>0</v>
      </c>
      <c r="G135">
        <v>175.6</v>
      </c>
      <c r="H135">
        <v>147</v>
      </c>
      <c r="I135">
        <v>29.85</v>
      </c>
      <c r="J135">
        <v>161.80000000000001</v>
      </c>
      <c r="K135">
        <v>118</v>
      </c>
      <c r="L135">
        <v>13.75</v>
      </c>
      <c r="M135">
        <v>289.5</v>
      </c>
      <c r="N135">
        <v>55</v>
      </c>
      <c r="O135">
        <v>13.03</v>
      </c>
      <c r="P135">
        <v>9.3000000000000007</v>
      </c>
      <c r="Q135">
        <v>4</v>
      </c>
      <c r="R135">
        <v>2.5099999999999998</v>
      </c>
      <c r="S135">
        <v>0</v>
      </c>
      <c r="T135" t="b">
        <v>0</v>
      </c>
      <c r="U135">
        <f>IFERROR(SUM(Table1[[#This Row],[Total day minutes]],Table1[[#This Row],[Total eve minutes]],Table1[[#This Row],[Total night minutes]],Table1[[#This Row],[Total intl minutes]]),0)</f>
        <v>636.19999999999993</v>
      </c>
      <c r="V135">
        <f>SUM(Table1[[#This Row],[Total intl charge]],Table1[[#This Row],[Total night charge]],Table1[[#This Row],[Total eve charge]],Table1[[#This Row],[Total day charge]])</f>
        <v>59.14</v>
      </c>
      <c r="W135">
        <f>SUM(Table1[[#This Row],[Total intl calls]],Table1[[#This Row],[Total night calls]],Table1[[#This Row],[Total eve calls]],Table1[[#This Row],[Total day calls]])</f>
        <v>324</v>
      </c>
      <c r="X135" t="str" cm="1">
        <f t="array" ref="X135">_xlfn.IFS(Table1[[#This Row],[Customer service calls]]&gt;=4,"High risk",Table1[[#This Row],[Customer service calls]]&gt;=2,"Medium risk",TRUE,"Low risk")</f>
        <v>Low risk</v>
      </c>
      <c r="Y135" t="str" cm="1">
        <f t="array" ref="Y135">IFERROR(_xlfn.IFS(Table1[[#This Row],[Total usage(Min)]]&gt;=AVERAGE(U:U)*1.1,"High risk",Table1[[#This Row],[Total usage(Min)]]&lt;= AVERAGE(U:U)*0.9,"Low risk",TRUE,"Medium risk"),"N/A")</f>
        <v>Medium risk</v>
      </c>
      <c r="Z135" t="str" cm="1">
        <f t="array" ref="Z135">IFERROR(_xlfn.IFS(Table1[[#This Row],[Total charges]]&gt;=AVERAGE(V:V)*1.1,"High risk",Table1[[#This Row],[Total charges]]&lt;=AVERAGE(V:V)*0.9,"Low risk",TRUE,"Medium risk"),"N/A")</f>
        <v>Medium risk</v>
      </c>
      <c r="AA1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5" t="str" cm="1">
        <f t="array" ref="AC135">_xlfn.IFS(
AND(Table1[[#This Row],[Customer service risk level]]="High risk", Table1[[#This Row],[Intl usage behaviour]]="Unplanned Usage"),"High Risk",
OR(Table1[[#This Row],[Customer service risk level]]="Medium risk", Table1[[#This Row],[Charges risk level]]="High risk "),"Medium Risk",
TRUE,"Low Risk"
)</f>
        <v>Low Risk</v>
      </c>
    </row>
    <row r="136" spans="1:29" x14ac:dyDescent="0.25">
      <c r="A136" t="s">
        <v>34</v>
      </c>
      <c r="B136">
        <v>109</v>
      </c>
      <c r="C136">
        <v>408</v>
      </c>
      <c r="D136" t="s">
        <v>21</v>
      </c>
      <c r="E136" t="s">
        <v>21</v>
      </c>
      <c r="F136">
        <v>0</v>
      </c>
      <c r="G136">
        <v>264.7</v>
      </c>
      <c r="H136">
        <v>69</v>
      </c>
      <c r="I136">
        <v>45</v>
      </c>
      <c r="J136">
        <v>305</v>
      </c>
      <c r="K136">
        <v>120</v>
      </c>
      <c r="L136">
        <v>25.93</v>
      </c>
      <c r="M136">
        <v>197.4</v>
      </c>
      <c r="N136">
        <v>86</v>
      </c>
      <c r="O136">
        <v>8.8800000000000008</v>
      </c>
      <c r="P136">
        <v>9.5</v>
      </c>
      <c r="Q136">
        <v>9</v>
      </c>
      <c r="R136">
        <v>2.57</v>
      </c>
      <c r="S136">
        <v>1</v>
      </c>
      <c r="T136" t="b">
        <v>1</v>
      </c>
      <c r="U136">
        <f>IFERROR(SUM(Table1[[#This Row],[Total day minutes]],Table1[[#This Row],[Total eve minutes]],Table1[[#This Row],[Total night minutes]],Table1[[#This Row],[Total intl minutes]]),0)</f>
        <v>776.6</v>
      </c>
      <c r="V136">
        <f>SUM(Table1[[#This Row],[Total intl charge]],Table1[[#This Row],[Total night charge]],Table1[[#This Row],[Total eve charge]],Table1[[#This Row],[Total day charge]])</f>
        <v>82.38</v>
      </c>
      <c r="W136">
        <f>SUM(Table1[[#This Row],[Total intl calls]],Table1[[#This Row],[Total night calls]],Table1[[#This Row],[Total eve calls]],Table1[[#This Row],[Total day calls]])</f>
        <v>284</v>
      </c>
      <c r="X136" t="str" cm="1">
        <f t="array" ref="X136">_xlfn.IFS(Table1[[#This Row],[Customer service calls]]&gt;=4,"High risk",Table1[[#This Row],[Customer service calls]]&gt;=2,"Medium risk",TRUE,"Low risk")</f>
        <v>Low risk</v>
      </c>
      <c r="Y136" t="str" cm="1">
        <f t="array" ref="Y136">IFERROR(_xlfn.IFS(Table1[[#This Row],[Total usage(Min)]]&gt;=AVERAGE(U:U)*1.1,"High risk",Table1[[#This Row],[Total usage(Min)]]&lt;= AVERAGE(U:U)*0.9,"Low risk",TRUE,"Medium risk"),"N/A")</f>
        <v>High risk</v>
      </c>
      <c r="Z136" t="str" cm="1">
        <f t="array" ref="Z136">IFERROR(_xlfn.IFS(Table1[[#This Row],[Total charges]]&gt;=AVERAGE(V:V)*1.1,"High risk",Table1[[#This Row],[Total charges]]&lt;=AVERAGE(V:V)*0.9,"Low risk",TRUE,"Medium risk"),"N/A")</f>
        <v>High risk</v>
      </c>
      <c r="AA1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6" t="str" cm="1">
        <f t="array" ref="AC136">_xlfn.IFS(
AND(Table1[[#This Row],[Customer service risk level]]="High risk", Table1[[#This Row],[Intl usage behaviour]]="Unplanned Usage"),"High Risk",
OR(Table1[[#This Row],[Customer service risk level]]="Medium risk", Table1[[#This Row],[Charges risk level]]="High risk "),"Medium Risk",
TRUE,"Low Risk"
)</f>
        <v>Low Risk</v>
      </c>
    </row>
    <row r="137" spans="1:29" x14ac:dyDescent="0.25">
      <c r="A137" t="s">
        <v>54</v>
      </c>
      <c r="B137">
        <v>65</v>
      </c>
      <c r="C137">
        <v>408</v>
      </c>
      <c r="D137" t="s">
        <v>21</v>
      </c>
      <c r="E137" t="s">
        <v>27</v>
      </c>
      <c r="F137">
        <v>31</v>
      </c>
      <c r="G137">
        <v>282.3</v>
      </c>
      <c r="H137">
        <v>70</v>
      </c>
      <c r="I137">
        <v>47.99</v>
      </c>
      <c r="J137">
        <v>152</v>
      </c>
      <c r="K137">
        <v>89</v>
      </c>
      <c r="L137">
        <v>12.92</v>
      </c>
      <c r="M137">
        <v>225.5</v>
      </c>
      <c r="N137">
        <v>93</v>
      </c>
      <c r="O137">
        <v>10.15</v>
      </c>
      <c r="P137">
        <v>12</v>
      </c>
      <c r="Q137">
        <v>4</v>
      </c>
      <c r="R137">
        <v>3.24</v>
      </c>
      <c r="S137">
        <v>1</v>
      </c>
      <c r="T137" t="b">
        <v>0</v>
      </c>
      <c r="U137">
        <f>IFERROR(SUM(Table1[[#This Row],[Total day minutes]],Table1[[#This Row],[Total eve minutes]],Table1[[#This Row],[Total night minutes]],Table1[[#This Row],[Total intl minutes]]),0)</f>
        <v>671.8</v>
      </c>
      <c r="V137">
        <f>SUM(Table1[[#This Row],[Total intl charge]],Table1[[#This Row],[Total night charge]],Table1[[#This Row],[Total eve charge]],Table1[[#This Row],[Total day charge]])</f>
        <v>74.300000000000011</v>
      </c>
      <c r="W137">
        <f>SUM(Table1[[#This Row],[Total intl calls]],Table1[[#This Row],[Total night calls]],Table1[[#This Row],[Total eve calls]],Table1[[#This Row],[Total day calls]])</f>
        <v>256</v>
      </c>
      <c r="X137" t="str" cm="1">
        <f t="array" ref="X137">_xlfn.IFS(Table1[[#This Row],[Customer service calls]]&gt;=4,"High risk",Table1[[#This Row],[Customer service calls]]&gt;=2,"Medium risk",TRUE,"Low risk")</f>
        <v>Low risk</v>
      </c>
      <c r="Y137" t="str" cm="1">
        <f t="array" ref="Y137">IFERROR(_xlfn.IFS(Table1[[#This Row],[Total usage(Min)]]&gt;=AVERAGE(U:U)*1.1,"High risk",Table1[[#This Row],[Total usage(Min)]]&lt;= AVERAGE(U:U)*0.9,"Low risk",TRUE,"Medium risk"),"N/A")</f>
        <v>High risk</v>
      </c>
      <c r="Z137" t="str" cm="1">
        <f t="array" ref="Z137">IFERROR(_xlfn.IFS(Table1[[#This Row],[Total charges]]&gt;=AVERAGE(V:V)*1.1,"High risk",Table1[[#This Row],[Total charges]]&lt;=AVERAGE(V:V)*0.9,"Low risk",TRUE,"Medium risk"),"N/A")</f>
        <v>High risk</v>
      </c>
      <c r="AA1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37" t="str" cm="1">
        <f t="array" ref="AC137">_xlfn.IFS(
AND(Table1[[#This Row],[Customer service risk level]]="High risk", Table1[[#This Row],[Intl usage behaviour]]="Unplanned Usage"),"High Risk",
OR(Table1[[#This Row],[Customer service risk level]]="Medium risk", Table1[[#This Row],[Charges risk level]]="High risk "),"Medium Risk",
TRUE,"Low Risk"
)</f>
        <v>Low Risk</v>
      </c>
    </row>
    <row r="138" spans="1:29" x14ac:dyDescent="0.25">
      <c r="A138" t="s">
        <v>34</v>
      </c>
      <c r="B138">
        <v>27</v>
      </c>
      <c r="C138">
        <v>510</v>
      </c>
      <c r="D138" t="s">
        <v>21</v>
      </c>
      <c r="E138" t="s">
        <v>21</v>
      </c>
      <c r="F138">
        <v>0</v>
      </c>
      <c r="G138">
        <v>193.8</v>
      </c>
      <c r="H138">
        <v>102</v>
      </c>
      <c r="I138">
        <v>32.950000000000003</v>
      </c>
      <c r="J138">
        <v>118.9</v>
      </c>
      <c r="K138">
        <v>104</v>
      </c>
      <c r="L138">
        <v>10.11</v>
      </c>
      <c r="M138">
        <v>135.9</v>
      </c>
      <c r="N138">
        <v>124</v>
      </c>
      <c r="O138">
        <v>6.12</v>
      </c>
      <c r="P138">
        <v>9.1999999999999993</v>
      </c>
      <c r="Q138">
        <v>3</v>
      </c>
      <c r="R138">
        <v>2.48</v>
      </c>
      <c r="S138">
        <v>0</v>
      </c>
      <c r="T138" t="b">
        <v>0</v>
      </c>
      <c r="U138">
        <f>IFERROR(SUM(Table1[[#This Row],[Total day minutes]],Table1[[#This Row],[Total eve minutes]],Table1[[#This Row],[Total night minutes]],Table1[[#This Row],[Total intl minutes]]),0)</f>
        <v>457.8</v>
      </c>
      <c r="V138">
        <f>SUM(Table1[[#This Row],[Total intl charge]],Table1[[#This Row],[Total night charge]],Table1[[#This Row],[Total eve charge]],Table1[[#This Row],[Total day charge]])</f>
        <v>51.660000000000004</v>
      </c>
      <c r="W138">
        <f>SUM(Table1[[#This Row],[Total intl calls]],Table1[[#This Row],[Total night calls]],Table1[[#This Row],[Total eve calls]],Table1[[#This Row],[Total day calls]])</f>
        <v>333</v>
      </c>
      <c r="X138" t="str" cm="1">
        <f t="array" ref="X138">_xlfn.IFS(Table1[[#This Row],[Customer service calls]]&gt;=4,"High risk",Table1[[#This Row],[Customer service calls]]&gt;=2,"Medium risk",TRUE,"Low risk")</f>
        <v>Low risk</v>
      </c>
      <c r="Y138" t="str" cm="1">
        <f t="array" ref="Y138">IFERROR(_xlfn.IFS(Table1[[#This Row],[Total usage(Min)]]&gt;=AVERAGE(U:U)*1.1,"High risk",Table1[[#This Row],[Total usage(Min)]]&lt;= AVERAGE(U:U)*0.9,"Low risk",TRUE,"Medium risk"),"N/A")</f>
        <v>Low risk</v>
      </c>
      <c r="Z138" t="str" cm="1">
        <f t="array" ref="Z138">IFERROR(_xlfn.IFS(Table1[[#This Row],[Total charges]]&gt;=AVERAGE(V:V)*1.1,"High risk",Table1[[#This Row],[Total charges]]&lt;=AVERAGE(V:V)*0.9,"Low risk",TRUE,"Medium risk"),"N/A")</f>
        <v>Low risk</v>
      </c>
      <c r="AA1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38" t="str" cm="1">
        <f t="array" ref="AC138">_xlfn.IFS(
AND(Table1[[#This Row],[Customer service risk level]]="High risk", Table1[[#This Row],[Intl usage behaviour]]="Unplanned Usage"),"High Risk",
OR(Table1[[#This Row],[Customer service risk level]]="Medium risk", Table1[[#This Row],[Charges risk level]]="High risk "),"Medium Risk",
TRUE,"Low Risk"
)</f>
        <v>Low Risk</v>
      </c>
    </row>
    <row r="139" spans="1:29" x14ac:dyDescent="0.25">
      <c r="A139" t="s">
        <v>66</v>
      </c>
      <c r="B139">
        <v>32</v>
      </c>
      <c r="C139">
        <v>408</v>
      </c>
      <c r="D139" t="s">
        <v>21</v>
      </c>
      <c r="E139" t="s">
        <v>27</v>
      </c>
      <c r="F139">
        <v>26</v>
      </c>
      <c r="G139">
        <v>266.7</v>
      </c>
      <c r="H139">
        <v>109</v>
      </c>
      <c r="I139">
        <v>45.34</v>
      </c>
      <c r="J139">
        <v>232.3</v>
      </c>
      <c r="K139">
        <v>107</v>
      </c>
      <c r="L139">
        <v>19.75</v>
      </c>
      <c r="M139">
        <v>212.8</v>
      </c>
      <c r="N139">
        <v>98</v>
      </c>
      <c r="O139">
        <v>9.58</v>
      </c>
      <c r="P139">
        <v>16.3</v>
      </c>
      <c r="Q139">
        <v>4</v>
      </c>
      <c r="R139">
        <v>4.4000000000000004</v>
      </c>
      <c r="S139">
        <v>1</v>
      </c>
      <c r="T139" t="b">
        <v>0</v>
      </c>
      <c r="U139">
        <f>IFERROR(SUM(Table1[[#This Row],[Total day minutes]],Table1[[#This Row],[Total eve minutes]],Table1[[#This Row],[Total night minutes]],Table1[[#This Row],[Total intl minutes]]),0)</f>
        <v>728.09999999999991</v>
      </c>
      <c r="V139">
        <f>SUM(Table1[[#This Row],[Total intl charge]],Table1[[#This Row],[Total night charge]],Table1[[#This Row],[Total eve charge]],Table1[[#This Row],[Total day charge]])</f>
        <v>79.070000000000007</v>
      </c>
      <c r="W139">
        <f>SUM(Table1[[#This Row],[Total intl calls]],Table1[[#This Row],[Total night calls]],Table1[[#This Row],[Total eve calls]],Table1[[#This Row],[Total day calls]])</f>
        <v>318</v>
      </c>
      <c r="X139" t="str" cm="1">
        <f t="array" ref="X139">_xlfn.IFS(Table1[[#This Row],[Customer service calls]]&gt;=4,"High risk",Table1[[#This Row],[Customer service calls]]&gt;=2,"Medium risk",TRUE,"Low risk")</f>
        <v>Low risk</v>
      </c>
      <c r="Y139" t="str" cm="1">
        <f t="array" ref="Y139">IFERROR(_xlfn.IFS(Table1[[#This Row],[Total usage(Min)]]&gt;=AVERAGE(U:U)*1.1,"High risk",Table1[[#This Row],[Total usage(Min)]]&lt;= AVERAGE(U:U)*0.9,"Low risk",TRUE,"Medium risk"),"N/A")</f>
        <v>High risk</v>
      </c>
      <c r="Z139" t="str" cm="1">
        <f t="array" ref="Z139">IFERROR(_xlfn.IFS(Table1[[#This Row],[Total charges]]&gt;=AVERAGE(V:V)*1.1,"High risk",Table1[[#This Row],[Total charges]]&lt;=AVERAGE(V:V)*0.9,"Low risk",TRUE,"Medium risk"),"N/A")</f>
        <v>High risk</v>
      </c>
      <c r="AA1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3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39" t="str" cm="1">
        <f t="array" ref="AC139">_xlfn.IFS(
AND(Table1[[#This Row],[Customer service risk level]]="High risk", Table1[[#This Row],[Intl usage behaviour]]="Unplanned Usage"),"High Risk",
OR(Table1[[#This Row],[Customer service risk level]]="Medium risk", Table1[[#This Row],[Charges risk level]]="High risk "),"Medium Risk",
TRUE,"Low Risk"
)</f>
        <v>Low Risk</v>
      </c>
    </row>
    <row r="140" spans="1:29" x14ac:dyDescent="0.25">
      <c r="A140" t="s">
        <v>56</v>
      </c>
      <c r="B140">
        <v>3</v>
      </c>
      <c r="C140">
        <v>415</v>
      </c>
      <c r="D140" t="s">
        <v>21</v>
      </c>
      <c r="E140" t="s">
        <v>27</v>
      </c>
      <c r="F140">
        <v>36</v>
      </c>
      <c r="G140">
        <v>118.1</v>
      </c>
      <c r="H140">
        <v>117</v>
      </c>
      <c r="I140">
        <v>20.079999999999998</v>
      </c>
      <c r="J140">
        <v>221.5</v>
      </c>
      <c r="K140">
        <v>125</v>
      </c>
      <c r="L140">
        <v>18.829999999999998</v>
      </c>
      <c r="M140">
        <v>103.9</v>
      </c>
      <c r="N140">
        <v>89</v>
      </c>
      <c r="O140">
        <v>4.68</v>
      </c>
      <c r="P140">
        <v>11.9</v>
      </c>
      <c r="Q140">
        <v>6</v>
      </c>
      <c r="R140">
        <v>3.21</v>
      </c>
      <c r="S140">
        <v>2</v>
      </c>
      <c r="T140" t="b">
        <v>0</v>
      </c>
      <c r="U140">
        <f>IFERROR(SUM(Table1[[#This Row],[Total day minutes]],Table1[[#This Row],[Total eve minutes]],Table1[[#This Row],[Total night minutes]],Table1[[#This Row],[Total intl minutes]]),0)</f>
        <v>455.4</v>
      </c>
      <c r="V140">
        <f>SUM(Table1[[#This Row],[Total intl charge]],Table1[[#This Row],[Total night charge]],Table1[[#This Row],[Total eve charge]],Table1[[#This Row],[Total day charge]])</f>
        <v>46.8</v>
      </c>
      <c r="W140">
        <f>SUM(Table1[[#This Row],[Total intl calls]],Table1[[#This Row],[Total night calls]],Table1[[#This Row],[Total eve calls]],Table1[[#This Row],[Total day calls]])</f>
        <v>337</v>
      </c>
      <c r="X140" t="str" cm="1">
        <f t="array" ref="X140">_xlfn.IFS(Table1[[#This Row],[Customer service calls]]&gt;=4,"High risk",Table1[[#This Row],[Customer service calls]]&gt;=2,"Medium risk",TRUE,"Low risk")</f>
        <v>Medium risk</v>
      </c>
      <c r="Y140" t="str" cm="1">
        <f t="array" ref="Y140">IFERROR(_xlfn.IFS(Table1[[#This Row],[Total usage(Min)]]&gt;=AVERAGE(U:U)*1.1,"High risk",Table1[[#This Row],[Total usage(Min)]]&lt;= AVERAGE(U:U)*0.9,"Low risk",TRUE,"Medium risk"),"N/A")</f>
        <v>Low risk</v>
      </c>
      <c r="Z140" t="str" cm="1">
        <f t="array" ref="Z140">IFERROR(_xlfn.IFS(Table1[[#This Row],[Total charges]]&gt;=AVERAGE(V:V)*1.1,"High risk",Table1[[#This Row],[Total charges]]&lt;=AVERAGE(V:V)*0.9,"Low risk",TRUE,"Medium risk"),"N/A")</f>
        <v>Low risk</v>
      </c>
      <c r="AA1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40" t="str" cm="1">
        <f t="array" ref="AC140">_xlfn.IFS(
AND(Table1[[#This Row],[Customer service risk level]]="High risk", Table1[[#This Row],[Intl usage behaviour]]="Unplanned Usage"),"High Risk",
OR(Table1[[#This Row],[Customer service risk level]]="Medium risk", Table1[[#This Row],[Charges risk level]]="High risk "),"Medium Risk",
TRUE,"Low Risk"
)</f>
        <v>Medium Risk</v>
      </c>
    </row>
    <row r="141" spans="1:29" x14ac:dyDescent="0.25">
      <c r="A141" t="s">
        <v>58</v>
      </c>
      <c r="B141">
        <v>119</v>
      </c>
      <c r="C141">
        <v>415</v>
      </c>
      <c r="D141" t="s">
        <v>21</v>
      </c>
      <c r="E141" t="s">
        <v>21</v>
      </c>
      <c r="F141">
        <v>0</v>
      </c>
      <c r="G141">
        <v>176.8</v>
      </c>
      <c r="H141">
        <v>90</v>
      </c>
      <c r="I141">
        <v>30.06</v>
      </c>
      <c r="J141">
        <v>224.7</v>
      </c>
      <c r="K141">
        <v>81</v>
      </c>
      <c r="L141">
        <v>19.100000000000001</v>
      </c>
      <c r="M141">
        <v>204.6</v>
      </c>
      <c r="N141">
        <v>77</v>
      </c>
      <c r="O141">
        <v>9.2100000000000009</v>
      </c>
      <c r="P141">
        <v>7.5</v>
      </c>
      <c r="Q141">
        <v>15</v>
      </c>
      <c r="R141">
        <v>2.0299999999999998</v>
      </c>
      <c r="S141">
        <v>1</v>
      </c>
      <c r="T141" t="b">
        <v>0</v>
      </c>
      <c r="U141">
        <f>IFERROR(SUM(Table1[[#This Row],[Total day minutes]],Table1[[#This Row],[Total eve minutes]],Table1[[#This Row],[Total night minutes]],Table1[[#This Row],[Total intl minutes]]),0)</f>
        <v>613.6</v>
      </c>
      <c r="V141">
        <f>SUM(Table1[[#This Row],[Total intl charge]],Table1[[#This Row],[Total night charge]],Table1[[#This Row],[Total eve charge]],Table1[[#This Row],[Total day charge]])</f>
        <v>60.400000000000006</v>
      </c>
      <c r="W141">
        <f>SUM(Table1[[#This Row],[Total intl calls]],Table1[[#This Row],[Total night calls]],Table1[[#This Row],[Total eve calls]],Table1[[#This Row],[Total day calls]])</f>
        <v>263</v>
      </c>
      <c r="X141" t="str" cm="1">
        <f t="array" ref="X141">_xlfn.IFS(Table1[[#This Row],[Customer service calls]]&gt;=4,"High risk",Table1[[#This Row],[Customer service calls]]&gt;=2,"Medium risk",TRUE,"Low risk")</f>
        <v>Low risk</v>
      </c>
      <c r="Y141" t="str" cm="1">
        <f t="array" ref="Y141">IFERROR(_xlfn.IFS(Table1[[#This Row],[Total usage(Min)]]&gt;=AVERAGE(U:U)*1.1,"High risk",Table1[[#This Row],[Total usage(Min)]]&lt;= AVERAGE(U:U)*0.9,"Low risk",TRUE,"Medium risk"),"N/A")</f>
        <v>Medium risk</v>
      </c>
      <c r="Z141" t="str" cm="1">
        <f t="array" ref="Z141">IFERROR(_xlfn.IFS(Table1[[#This Row],[Total charges]]&gt;=AVERAGE(V:V)*1.1,"High risk",Table1[[#This Row],[Total charges]]&lt;=AVERAGE(V:V)*0.9,"Low risk",TRUE,"Medium risk"),"N/A")</f>
        <v>Medium risk</v>
      </c>
      <c r="AA1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1" t="str" cm="1">
        <f t="array" ref="AC141">_xlfn.IFS(
AND(Table1[[#This Row],[Customer service risk level]]="High risk", Table1[[#This Row],[Intl usage behaviour]]="Unplanned Usage"),"High Risk",
OR(Table1[[#This Row],[Customer service risk level]]="Medium risk", Table1[[#This Row],[Charges risk level]]="High risk "),"Medium Risk",
TRUE,"Low Risk"
)</f>
        <v>Low Risk</v>
      </c>
    </row>
    <row r="142" spans="1:29" x14ac:dyDescent="0.25">
      <c r="A142" t="s">
        <v>20</v>
      </c>
      <c r="B142">
        <v>43</v>
      </c>
      <c r="C142">
        <v>415</v>
      </c>
      <c r="D142" t="s">
        <v>21</v>
      </c>
      <c r="E142" t="s">
        <v>21</v>
      </c>
      <c r="F142">
        <v>0</v>
      </c>
      <c r="G142">
        <v>241.9</v>
      </c>
      <c r="H142">
        <v>101</v>
      </c>
      <c r="I142">
        <v>41.12</v>
      </c>
      <c r="J142">
        <v>129.4</v>
      </c>
      <c r="K142">
        <v>121</v>
      </c>
      <c r="L142">
        <v>11</v>
      </c>
      <c r="M142">
        <v>264.8</v>
      </c>
      <c r="N142">
        <v>104</v>
      </c>
      <c r="O142">
        <v>11.92</v>
      </c>
      <c r="P142">
        <v>5.9</v>
      </c>
      <c r="Q142">
        <v>3</v>
      </c>
      <c r="R142">
        <v>1.59</v>
      </c>
      <c r="S142">
        <v>1</v>
      </c>
      <c r="T142" t="b">
        <v>0</v>
      </c>
      <c r="U142">
        <f>IFERROR(SUM(Table1[[#This Row],[Total day minutes]],Table1[[#This Row],[Total eve minutes]],Table1[[#This Row],[Total night minutes]],Table1[[#This Row],[Total intl minutes]]),0)</f>
        <v>642</v>
      </c>
      <c r="V142">
        <f>SUM(Table1[[#This Row],[Total intl charge]],Table1[[#This Row],[Total night charge]],Table1[[#This Row],[Total eve charge]],Table1[[#This Row],[Total day charge]])</f>
        <v>65.63</v>
      </c>
      <c r="W142">
        <f>SUM(Table1[[#This Row],[Total intl calls]],Table1[[#This Row],[Total night calls]],Table1[[#This Row],[Total eve calls]],Table1[[#This Row],[Total day calls]])</f>
        <v>329</v>
      </c>
      <c r="X142" t="str" cm="1">
        <f t="array" ref="X142">_xlfn.IFS(Table1[[#This Row],[Customer service calls]]&gt;=4,"High risk",Table1[[#This Row],[Customer service calls]]&gt;=2,"Medium risk",TRUE,"Low risk")</f>
        <v>Low risk</v>
      </c>
      <c r="Y142" t="str" cm="1">
        <f t="array" ref="Y142">IFERROR(_xlfn.IFS(Table1[[#This Row],[Total usage(Min)]]&gt;=AVERAGE(U:U)*1.1,"High risk",Table1[[#This Row],[Total usage(Min)]]&lt;= AVERAGE(U:U)*0.9,"Low risk",TRUE,"Medium risk"),"N/A")</f>
        <v>Medium risk</v>
      </c>
      <c r="Z142" t="str" cm="1">
        <f t="array" ref="Z142">IFERROR(_xlfn.IFS(Table1[[#This Row],[Total charges]]&gt;=AVERAGE(V:V)*1.1,"High risk",Table1[[#This Row],[Total charges]]&lt;=AVERAGE(V:V)*0.9,"Low risk",TRUE,"Medium risk"),"N/A")</f>
        <v>Medium risk</v>
      </c>
      <c r="AA1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2" t="str" cm="1">
        <f t="array" ref="AC142">_xlfn.IFS(
AND(Table1[[#This Row],[Customer service risk level]]="High risk", Table1[[#This Row],[Intl usage behaviour]]="Unplanned Usage"),"High Risk",
OR(Table1[[#This Row],[Customer service risk level]]="Medium risk", Table1[[#This Row],[Charges risk level]]="High risk "),"Medium Risk",
TRUE,"Low Risk"
)</f>
        <v>Low Risk</v>
      </c>
    </row>
    <row r="143" spans="1:29" x14ac:dyDescent="0.25">
      <c r="A143" t="s">
        <v>52</v>
      </c>
      <c r="B143">
        <v>116</v>
      </c>
      <c r="C143">
        <v>510</v>
      </c>
      <c r="D143" t="s">
        <v>21</v>
      </c>
      <c r="E143" t="s">
        <v>21</v>
      </c>
      <c r="F143">
        <v>0</v>
      </c>
      <c r="G143">
        <v>189.5</v>
      </c>
      <c r="H143">
        <v>90</v>
      </c>
      <c r="I143">
        <v>32.22</v>
      </c>
      <c r="J143">
        <v>189.8</v>
      </c>
      <c r="K143">
        <v>118</v>
      </c>
      <c r="L143">
        <v>16.13</v>
      </c>
      <c r="M143">
        <v>205.8</v>
      </c>
      <c r="N143">
        <v>83</v>
      </c>
      <c r="O143">
        <v>9.26</v>
      </c>
      <c r="P143">
        <v>13.1</v>
      </c>
      <c r="Q143">
        <v>2</v>
      </c>
      <c r="R143">
        <v>3.54</v>
      </c>
      <c r="S143">
        <v>1</v>
      </c>
      <c r="T143" t="b">
        <v>0</v>
      </c>
      <c r="U143">
        <f>IFERROR(SUM(Table1[[#This Row],[Total day minutes]],Table1[[#This Row],[Total eve minutes]],Table1[[#This Row],[Total night minutes]],Table1[[#This Row],[Total intl minutes]]),0)</f>
        <v>598.20000000000005</v>
      </c>
      <c r="V143">
        <f>SUM(Table1[[#This Row],[Total intl charge]],Table1[[#This Row],[Total night charge]],Table1[[#This Row],[Total eve charge]],Table1[[#This Row],[Total day charge]])</f>
        <v>61.15</v>
      </c>
      <c r="W143">
        <f>SUM(Table1[[#This Row],[Total intl calls]],Table1[[#This Row],[Total night calls]],Table1[[#This Row],[Total eve calls]],Table1[[#This Row],[Total day calls]])</f>
        <v>293</v>
      </c>
      <c r="X143" t="str" cm="1">
        <f t="array" ref="X143">_xlfn.IFS(Table1[[#This Row],[Customer service calls]]&gt;=4,"High risk",Table1[[#This Row],[Customer service calls]]&gt;=2,"Medium risk",TRUE,"Low risk")</f>
        <v>Low risk</v>
      </c>
      <c r="Y143" t="str" cm="1">
        <f t="array" ref="Y143">IFERROR(_xlfn.IFS(Table1[[#This Row],[Total usage(Min)]]&gt;=AVERAGE(U:U)*1.1,"High risk",Table1[[#This Row],[Total usage(Min)]]&lt;= AVERAGE(U:U)*0.9,"Low risk",TRUE,"Medium risk"),"N/A")</f>
        <v>Medium risk</v>
      </c>
      <c r="Z143" t="str" cm="1">
        <f t="array" ref="Z143">IFERROR(_xlfn.IFS(Table1[[#This Row],[Total charges]]&gt;=AVERAGE(V:V)*1.1,"High risk",Table1[[#This Row],[Total charges]]&lt;=AVERAGE(V:V)*0.9,"Low risk",TRUE,"Medium risk"),"N/A")</f>
        <v>Medium risk</v>
      </c>
      <c r="AA1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3" t="str" cm="1">
        <f t="array" ref="AC143">_xlfn.IFS(
AND(Table1[[#This Row],[Customer service risk level]]="High risk", Table1[[#This Row],[Intl usage behaviour]]="Unplanned Usage"),"High Risk",
OR(Table1[[#This Row],[Customer service risk level]]="Medium risk", Table1[[#This Row],[Charges risk level]]="High risk "),"Medium Risk",
TRUE,"Low Risk"
)</f>
        <v>Low Risk</v>
      </c>
    </row>
    <row r="144" spans="1:29" x14ac:dyDescent="0.25">
      <c r="A144" t="s">
        <v>66</v>
      </c>
      <c r="B144">
        <v>107</v>
      </c>
      <c r="C144">
        <v>415</v>
      </c>
      <c r="D144" t="s">
        <v>21</v>
      </c>
      <c r="E144" t="s">
        <v>21</v>
      </c>
      <c r="F144">
        <v>0</v>
      </c>
      <c r="G144">
        <v>123.1</v>
      </c>
      <c r="H144">
        <v>100</v>
      </c>
      <c r="I144">
        <v>20.93</v>
      </c>
      <c r="J144">
        <v>158.4</v>
      </c>
      <c r="K144">
        <v>82</v>
      </c>
      <c r="L144">
        <v>13.46</v>
      </c>
      <c r="M144">
        <v>256.10000000000002</v>
      </c>
      <c r="N144">
        <v>82</v>
      </c>
      <c r="O144">
        <v>11.52</v>
      </c>
      <c r="P144">
        <v>9.3000000000000007</v>
      </c>
      <c r="Q144">
        <v>5</v>
      </c>
      <c r="R144">
        <v>2.5099999999999998</v>
      </c>
      <c r="S144">
        <v>0</v>
      </c>
      <c r="T144" t="b">
        <v>0</v>
      </c>
      <c r="U144">
        <f>IFERROR(SUM(Table1[[#This Row],[Total day minutes]],Table1[[#This Row],[Total eve minutes]],Table1[[#This Row],[Total night minutes]],Table1[[#This Row],[Total intl minutes]]),0)</f>
        <v>546.9</v>
      </c>
      <c r="V144">
        <f>SUM(Table1[[#This Row],[Total intl charge]],Table1[[#This Row],[Total night charge]],Table1[[#This Row],[Total eve charge]],Table1[[#This Row],[Total day charge]])</f>
        <v>48.42</v>
      </c>
      <c r="W144">
        <f>SUM(Table1[[#This Row],[Total intl calls]],Table1[[#This Row],[Total night calls]],Table1[[#This Row],[Total eve calls]],Table1[[#This Row],[Total day calls]])</f>
        <v>269</v>
      </c>
      <c r="X144" t="str" cm="1">
        <f t="array" ref="X144">_xlfn.IFS(Table1[[#This Row],[Customer service calls]]&gt;=4,"High risk",Table1[[#This Row],[Customer service calls]]&gt;=2,"Medium risk",TRUE,"Low risk")</f>
        <v>Low risk</v>
      </c>
      <c r="Y144" t="str" cm="1">
        <f t="array" ref="Y144">IFERROR(_xlfn.IFS(Table1[[#This Row],[Total usage(Min)]]&gt;=AVERAGE(U:U)*1.1,"High risk",Table1[[#This Row],[Total usage(Min)]]&lt;= AVERAGE(U:U)*0.9,"Low risk",TRUE,"Medium risk"),"N/A")</f>
        <v>Medium risk</v>
      </c>
      <c r="Z144" t="str" cm="1">
        <f t="array" ref="Z144">IFERROR(_xlfn.IFS(Table1[[#This Row],[Total charges]]&gt;=AVERAGE(V:V)*1.1,"High risk",Table1[[#This Row],[Total charges]]&lt;=AVERAGE(V:V)*0.9,"Low risk",TRUE,"Medium risk"),"N/A")</f>
        <v>Low risk</v>
      </c>
      <c r="AA1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4" t="str" cm="1">
        <f t="array" ref="AC144">_xlfn.IFS(
AND(Table1[[#This Row],[Customer service risk level]]="High risk", Table1[[#This Row],[Intl usage behaviour]]="Unplanned Usage"),"High Risk",
OR(Table1[[#This Row],[Customer service risk level]]="Medium risk", Table1[[#This Row],[Charges risk level]]="High risk "),"Medium Risk",
TRUE,"Low Risk"
)</f>
        <v>Low Risk</v>
      </c>
    </row>
    <row r="145" spans="1:29" x14ac:dyDescent="0.25">
      <c r="A145" t="s">
        <v>68</v>
      </c>
      <c r="B145">
        <v>123</v>
      </c>
      <c r="C145">
        <v>408</v>
      </c>
      <c r="D145" t="s">
        <v>21</v>
      </c>
      <c r="E145" t="s">
        <v>21</v>
      </c>
      <c r="F145">
        <v>0</v>
      </c>
      <c r="G145">
        <v>159.1</v>
      </c>
      <c r="H145">
        <v>94</v>
      </c>
      <c r="I145">
        <v>27.05</v>
      </c>
      <c r="J145">
        <v>241.6</v>
      </c>
      <c r="K145">
        <v>119</v>
      </c>
      <c r="L145">
        <v>20.54</v>
      </c>
      <c r="M145">
        <v>202.4</v>
      </c>
      <c r="N145">
        <v>120</v>
      </c>
      <c r="O145">
        <v>9.11</v>
      </c>
      <c r="P145">
        <v>6.5</v>
      </c>
      <c r="Q145">
        <v>1</v>
      </c>
      <c r="R145">
        <v>1.76</v>
      </c>
      <c r="S145">
        <v>1</v>
      </c>
      <c r="T145" t="b">
        <v>0</v>
      </c>
      <c r="U145">
        <f>IFERROR(SUM(Table1[[#This Row],[Total day minutes]],Table1[[#This Row],[Total eve minutes]],Table1[[#This Row],[Total night minutes]],Table1[[#This Row],[Total intl minutes]]),0)</f>
        <v>609.6</v>
      </c>
      <c r="V145">
        <f>SUM(Table1[[#This Row],[Total intl charge]],Table1[[#This Row],[Total night charge]],Table1[[#This Row],[Total eve charge]],Table1[[#This Row],[Total day charge]])</f>
        <v>58.459999999999994</v>
      </c>
      <c r="W145">
        <f>SUM(Table1[[#This Row],[Total intl calls]],Table1[[#This Row],[Total night calls]],Table1[[#This Row],[Total eve calls]],Table1[[#This Row],[Total day calls]])</f>
        <v>334</v>
      </c>
      <c r="X145" t="str" cm="1">
        <f t="array" ref="X145">_xlfn.IFS(Table1[[#This Row],[Customer service calls]]&gt;=4,"High risk",Table1[[#This Row],[Customer service calls]]&gt;=2,"Medium risk",TRUE,"Low risk")</f>
        <v>Low risk</v>
      </c>
      <c r="Y145" t="str" cm="1">
        <f t="array" ref="Y145">IFERROR(_xlfn.IFS(Table1[[#This Row],[Total usage(Min)]]&gt;=AVERAGE(U:U)*1.1,"High risk",Table1[[#This Row],[Total usage(Min)]]&lt;= AVERAGE(U:U)*0.9,"Low risk",TRUE,"Medium risk"),"N/A")</f>
        <v>Medium risk</v>
      </c>
      <c r="Z145" t="str" cm="1">
        <f t="array" ref="Z145">IFERROR(_xlfn.IFS(Table1[[#This Row],[Total charges]]&gt;=AVERAGE(V:V)*1.1,"High risk",Table1[[#This Row],[Total charges]]&lt;=AVERAGE(V:V)*0.9,"Low risk",TRUE,"Medium risk"),"N/A")</f>
        <v>Medium risk</v>
      </c>
      <c r="AA1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5" t="str" cm="1">
        <f t="array" ref="AC145">_xlfn.IFS(
AND(Table1[[#This Row],[Customer service risk level]]="High risk", Table1[[#This Row],[Intl usage behaviour]]="Unplanned Usage"),"High Risk",
OR(Table1[[#This Row],[Customer service risk level]]="Medium risk", Table1[[#This Row],[Charges risk level]]="High risk "),"Medium Risk",
TRUE,"Low Risk"
)</f>
        <v>Low Risk</v>
      </c>
    </row>
    <row r="146" spans="1:29" x14ac:dyDescent="0.25">
      <c r="A146" t="s">
        <v>26</v>
      </c>
      <c r="B146">
        <v>110</v>
      </c>
      <c r="C146">
        <v>408</v>
      </c>
      <c r="D146" t="s">
        <v>21</v>
      </c>
      <c r="E146" t="s">
        <v>21</v>
      </c>
      <c r="F146">
        <v>0</v>
      </c>
      <c r="G146">
        <v>100.1</v>
      </c>
      <c r="H146">
        <v>90</v>
      </c>
      <c r="I146">
        <v>17.02</v>
      </c>
      <c r="J146">
        <v>233.3</v>
      </c>
      <c r="K146">
        <v>93</v>
      </c>
      <c r="L146">
        <v>19.829999999999998</v>
      </c>
      <c r="M146">
        <v>204.4</v>
      </c>
      <c r="N146">
        <v>57</v>
      </c>
      <c r="O146">
        <v>9.1999999999999993</v>
      </c>
      <c r="P146">
        <v>11.1</v>
      </c>
      <c r="Q146">
        <v>8</v>
      </c>
      <c r="R146">
        <v>3</v>
      </c>
      <c r="S146">
        <v>3</v>
      </c>
      <c r="T146" t="b">
        <v>0</v>
      </c>
      <c r="U146">
        <f>IFERROR(SUM(Table1[[#This Row],[Total day minutes]],Table1[[#This Row],[Total eve minutes]],Table1[[#This Row],[Total night minutes]],Table1[[#This Row],[Total intl minutes]]),0)</f>
        <v>548.9</v>
      </c>
      <c r="V146">
        <f>SUM(Table1[[#This Row],[Total intl charge]],Table1[[#This Row],[Total night charge]],Table1[[#This Row],[Total eve charge]],Table1[[#This Row],[Total day charge]])</f>
        <v>49.05</v>
      </c>
      <c r="W146">
        <f>SUM(Table1[[#This Row],[Total intl calls]],Table1[[#This Row],[Total night calls]],Table1[[#This Row],[Total eve calls]],Table1[[#This Row],[Total day calls]])</f>
        <v>248</v>
      </c>
      <c r="X146" t="str" cm="1">
        <f t="array" ref="X146">_xlfn.IFS(Table1[[#This Row],[Customer service calls]]&gt;=4,"High risk",Table1[[#This Row],[Customer service calls]]&gt;=2,"Medium risk",TRUE,"Low risk")</f>
        <v>Medium risk</v>
      </c>
      <c r="Y146" t="str" cm="1">
        <f t="array" ref="Y146">IFERROR(_xlfn.IFS(Table1[[#This Row],[Total usage(Min)]]&gt;=AVERAGE(U:U)*1.1,"High risk",Table1[[#This Row],[Total usage(Min)]]&lt;= AVERAGE(U:U)*0.9,"Low risk",TRUE,"Medium risk"),"N/A")</f>
        <v>Medium risk</v>
      </c>
      <c r="Z146" t="str" cm="1">
        <f t="array" ref="Z146">IFERROR(_xlfn.IFS(Table1[[#This Row],[Total charges]]&gt;=AVERAGE(V:V)*1.1,"High risk",Table1[[#This Row],[Total charges]]&lt;=AVERAGE(V:V)*0.9,"Low risk",TRUE,"Medium risk"),"N/A")</f>
        <v>Low risk</v>
      </c>
      <c r="AA1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6" t="str" cm="1">
        <f t="array" ref="AC146">_xlfn.IFS(
AND(Table1[[#This Row],[Customer service risk level]]="High risk", Table1[[#This Row],[Intl usage behaviour]]="Unplanned Usage"),"High Risk",
OR(Table1[[#This Row],[Customer service risk level]]="Medium risk", Table1[[#This Row],[Charges risk level]]="High risk "),"Medium Risk",
TRUE,"Low Risk"
)</f>
        <v>Medium Risk</v>
      </c>
    </row>
    <row r="147" spans="1:29" x14ac:dyDescent="0.25">
      <c r="A147" t="s">
        <v>62</v>
      </c>
      <c r="B147">
        <v>176</v>
      </c>
      <c r="C147">
        <v>415</v>
      </c>
      <c r="D147" t="s">
        <v>21</v>
      </c>
      <c r="E147" t="s">
        <v>21</v>
      </c>
      <c r="F147">
        <v>0</v>
      </c>
      <c r="G147">
        <v>223.2</v>
      </c>
      <c r="H147">
        <v>76</v>
      </c>
      <c r="I147">
        <v>37.94</v>
      </c>
      <c r="J147">
        <v>214.4</v>
      </c>
      <c r="K147">
        <v>131</v>
      </c>
      <c r="L147">
        <v>18.22</v>
      </c>
      <c r="M147">
        <v>154.4</v>
      </c>
      <c r="N147">
        <v>80</v>
      </c>
      <c r="O147">
        <v>6.95</v>
      </c>
      <c r="P147">
        <v>10.1</v>
      </c>
      <c r="Q147">
        <v>2</v>
      </c>
      <c r="R147">
        <v>2.73</v>
      </c>
      <c r="S147">
        <v>3</v>
      </c>
      <c r="T147" t="b">
        <v>0</v>
      </c>
      <c r="U147">
        <f>IFERROR(SUM(Table1[[#This Row],[Total day minutes]],Table1[[#This Row],[Total eve minutes]],Table1[[#This Row],[Total night minutes]],Table1[[#This Row],[Total intl minutes]]),0)</f>
        <v>602.1</v>
      </c>
      <c r="V147">
        <f>SUM(Table1[[#This Row],[Total intl charge]],Table1[[#This Row],[Total night charge]],Table1[[#This Row],[Total eve charge]],Table1[[#This Row],[Total day charge]])</f>
        <v>65.84</v>
      </c>
      <c r="W147">
        <f>SUM(Table1[[#This Row],[Total intl calls]],Table1[[#This Row],[Total night calls]],Table1[[#This Row],[Total eve calls]],Table1[[#This Row],[Total day calls]])</f>
        <v>289</v>
      </c>
      <c r="X147" t="str" cm="1">
        <f t="array" ref="X147">_xlfn.IFS(Table1[[#This Row],[Customer service calls]]&gt;=4,"High risk",Table1[[#This Row],[Customer service calls]]&gt;=2,"Medium risk",TRUE,"Low risk")</f>
        <v>Medium risk</v>
      </c>
      <c r="Y147" t="str" cm="1">
        <f t="array" ref="Y147">IFERROR(_xlfn.IFS(Table1[[#This Row],[Total usage(Min)]]&gt;=AVERAGE(U:U)*1.1,"High risk",Table1[[#This Row],[Total usage(Min)]]&lt;= AVERAGE(U:U)*0.9,"Low risk",TRUE,"Medium risk"),"N/A")</f>
        <v>Medium risk</v>
      </c>
      <c r="Z147" t="str" cm="1">
        <f t="array" ref="Z147">IFERROR(_xlfn.IFS(Table1[[#This Row],[Total charges]]&gt;=AVERAGE(V:V)*1.1,"High risk",Table1[[#This Row],[Total charges]]&lt;=AVERAGE(V:V)*0.9,"Low risk",TRUE,"Medium risk"),"N/A")</f>
        <v>High risk</v>
      </c>
      <c r="AA1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7" t="str" cm="1">
        <f t="array" ref="AC147">_xlfn.IFS(
AND(Table1[[#This Row],[Customer service risk level]]="High risk", Table1[[#This Row],[Intl usage behaviour]]="Unplanned Usage"),"High Risk",
OR(Table1[[#This Row],[Customer service risk level]]="Medium risk", Table1[[#This Row],[Charges risk level]]="High risk "),"Medium Risk",
TRUE,"Low Risk"
)</f>
        <v>Medium Risk</v>
      </c>
    </row>
    <row r="148" spans="1:29" x14ac:dyDescent="0.25">
      <c r="A148" t="s">
        <v>32</v>
      </c>
      <c r="B148">
        <v>13</v>
      </c>
      <c r="C148">
        <v>510</v>
      </c>
      <c r="D148" t="s">
        <v>21</v>
      </c>
      <c r="E148" t="s">
        <v>27</v>
      </c>
      <c r="F148">
        <v>21</v>
      </c>
      <c r="G148">
        <v>315.60000000000002</v>
      </c>
      <c r="H148">
        <v>105</v>
      </c>
      <c r="I148">
        <v>53.65</v>
      </c>
      <c r="J148">
        <v>208.9</v>
      </c>
      <c r="K148">
        <v>71</v>
      </c>
      <c r="L148">
        <v>17.760000000000002</v>
      </c>
      <c r="M148">
        <v>260.10000000000002</v>
      </c>
      <c r="N148">
        <v>123</v>
      </c>
      <c r="O148">
        <v>11.7</v>
      </c>
      <c r="P148">
        <v>12.1</v>
      </c>
      <c r="Q148">
        <v>3</v>
      </c>
      <c r="R148">
        <v>3.27</v>
      </c>
      <c r="S148">
        <v>3</v>
      </c>
      <c r="T148" t="b">
        <v>0</v>
      </c>
      <c r="U148">
        <f>IFERROR(SUM(Table1[[#This Row],[Total day minutes]],Table1[[#This Row],[Total eve minutes]],Table1[[#This Row],[Total night minutes]],Table1[[#This Row],[Total intl minutes]]),0)</f>
        <v>796.7</v>
      </c>
      <c r="V148">
        <f>SUM(Table1[[#This Row],[Total intl charge]],Table1[[#This Row],[Total night charge]],Table1[[#This Row],[Total eve charge]],Table1[[#This Row],[Total day charge]])</f>
        <v>86.38</v>
      </c>
      <c r="W148">
        <f>SUM(Table1[[#This Row],[Total intl calls]],Table1[[#This Row],[Total night calls]],Table1[[#This Row],[Total eve calls]],Table1[[#This Row],[Total day calls]])</f>
        <v>302</v>
      </c>
      <c r="X148" t="str" cm="1">
        <f t="array" ref="X148">_xlfn.IFS(Table1[[#This Row],[Customer service calls]]&gt;=4,"High risk",Table1[[#This Row],[Customer service calls]]&gt;=2,"Medium risk",TRUE,"Low risk")</f>
        <v>Medium risk</v>
      </c>
      <c r="Y148" t="str" cm="1">
        <f t="array" ref="Y148">IFERROR(_xlfn.IFS(Table1[[#This Row],[Total usage(Min)]]&gt;=AVERAGE(U:U)*1.1,"High risk",Table1[[#This Row],[Total usage(Min)]]&lt;= AVERAGE(U:U)*0.9,"Low risk",TRUE,"Medium risk"),"N/A")</f>
        <v>High risk</v>
      </c>
      <c r="Z148" t="str" cm="1">
        <f t="array" ref="Z148">IFERROR(_xlfn.IFS(Table1[[#This Row],[Total charges]]&gt;=AVERAGE(V:V)*1.1,"High risk",Table1[[#This Row],[Total charges]]&lt;=AVERAGE(V:V)*0.9,"Low risk",TRUE,"Medium risk"),"N/A")</f>
        <v>High risk</v>
      </c>
      <c r="AA1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48" t="str" cm="1">
        <f t="array" ref="AC148">_xlfn.IFS(
AND(Table1[[#This Row],[Customer service risk level]]="High risk", Table1[[#This Row],[Intl usage behaviour]]="Unplanned Usage"),"High Risk",
OR(Table1[[#This Row],[Customer service risk level]]="Medium risk", Table1[[#This Row],[Charges risk level]]="High risk "),"Medium Risk",
TRUE,"Low Risk"
)</f>
        <v>Medium Risk</v>
      </c>
    </row>
    <row r="149" spans="1:29" x14ac:dyDescent="0.25">
      <c r="A149" t="s">
        <v>52</v>
      </c>
      <c r="B149">
        <v>88</v>
      </c>
      <c r="C149">
        <v>415</v>
      </c>
      <c r="D149" t="s">
        <v>21</v>
      </c>
      <c r="E149" t="s">
        <v>21</v>
      </c>
      <c r="F149">
        <v>0</v>
      </c>
      <c r="G149">
        <v>189.8</v>
      </c>
      <c r="H149">
        <v>111</v>
      </c>
      <c r="I149">
        <v>32.270000000000003</v>
      </c>
      <c r="J149">
        <v>197.3</v>
      </c>
      <c r="K149">
        <v>101</v>
      </c>
      <c r="L149">
        <v>16.77</v>
      </c>
      <c r="M149">
        <v>234.5</v>
      </c>
      <c r="N149">
        <v>111</v>
      </c>
      <c r="O149">
        <v>10.55</v>
      </c>
      <c r="P149">
        <v>14.9</v>
      </c>
      <c r="Q149">
        <v>3</v>
      </c>
      <c r="R149">
        <v>4.0199999999999996</v>
      </c>
      <c r="S149">
        <v>2</v>
      </c>
      <c r="T149" t="b">
        <v>0</v>
      </c>
      <c r="U149">
        <f>IFERROR(SUM(Table1[[#This Row],[Total day minutes]],Table1[[#This Row],[Total eve minutes]],Table1[[#This Row],[Total night minutes]],Table1[[#This Row],[Total intl minutes]]),0)</f>
        <v>636.5</v>
      </c>
      <c r="V149">
        <f>SUM(Table1[[#This Row],[Total intl charge]],Table1[[#This Row],[Total night charge]],Table1[[#This Row],[Total eve charge]],Table1[[#This Row],[Total day charge]])</f>
        <v>63.61</v>
      </c>
      <c r="W149">
        <f>SUM(Table1[[#This Row],[Total intl calls]],Table1[[#This Row],[Total night calls]],Table1[[#This Row],[Total eve calls]],Table1[[#This Row],[Total day calls]])</f>
        <v>326</v>
      </c>
      <c r="X149" t="str" cm="1">
        <f t="array" ref="X149">_xlfn.IFS(Table1[[#This Row],[Customer service calls]]&gt;=4,"High risk",Table1[[#This Row],[Customer service calls]]&gt;=2,"Medium risk",TRUE,"Low risk")</f>
        <v>Medium risk</v>
      </c>
      <c r="Y149" t="str" cm="1">
        <f t="array" ref="Y149">IFERROR(_xlfn.IFS(Table1[[#This Row],[Total usage(Min)]]&gt;=AVERAGE(U:U)*1.1,"High risk",Table1[[#This Row],[Total usage(Min)]]&lt;= AVERAGE(U:U)*0.9,"Low risk",TRUE,"Medium risk"),"N/A")</f>
        <v>Medium risk</v>
      </c>
      <c r="Z149" t="str" cm="1">
        <f t="array" ref="Z149">IFERROR(_xlfn.IFS(Table1[[#This Row],[Total charges]]&gt;=AVERAGE(V:V)*1.1,"High risk",Table1[[#This Row],[Total charges]]&lt;=AVERAGE(V:V)*0.9,"Low risk",TRUE,"Medium risk"),"N/A")</f>
        <v>Medium risk</v>
      </c>
      <c r="AA1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4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49" t="str" cm="1">
        <f t="array" ref="AC149">_xlfn.IFS(
AND(Table1[[#This Row],[Customer service risk level]]="High risk", Table1[[#This Row],[Intl usage behaviour]]="Unplanned Usage"),"High Risk",
OR(Table1[[#This Row],[Customer service risk level]]="Medium risk", Table1[[#This Row],[Charges risk level]]="High risk "),"Medium Risk",
TRUE,"Low Risk"
)</f>
        <v>Medium Risk</v>
      </c>
    </row>
    <row r="150" spans="1:29" x14ac:dyDescent="0.25">
      <c r="A150" t="s">
        <v>64</v>
      </c>
      <c r="B150">
        <v>92</v>
      </c>
      <c r="C150">
        <v>510</v>
      </c>
      <c r="D150" t="s">
        <v>21</v>
      </c>
      <c r="E150" t="s">
        <v>27</v>
      </c>
      <c r="F150">
        <v>29</v>
      </c>
      <c r="G150">
        <v>155.4</v>
      </c>
      <c r="H150">
        <v>110</v>
      </c>
      <c r="I150">
        <v>26.42</v>
      </c>
      <c r="J150">
        <v>188.5</v>
      </c>
      <c r="K150">
        <v>104</v>
      </c>
      <c r="L150">
        <v>16.02</v>
      </c>
      <c r="M150">
        <v>254.9</v>
      </c>
      <c r="N150">
        <v>118</v>
      </c>
      <c r="O150">
        <v>11.47</v>
      </c>
      <c r="P150">
        <v>8</v>
      </c>
      <c r="Q150">
        <v>4</v>
      </c>
      <c r="R150">
        <v>2.16</v>
      </c>
      <c r="S150">
        <v>3</v>
      </c>
      <c r="T150" t="b">
        <v>0</v>
      </c>
      <c r="U150">
        <f>IFERROR(SUM(Table1[[#This Row],[Total day minutes]],Table1[[#This Row],[Total eve minutes]],Table1[[#This Row],[Total night minutes]],Table1[[#This Row],[Total intl minutes]]),0)</f>
        <v>606.79999999999995</v>
      </c>
      <c r="V150">
        <f>SUM(Table1[[#This Row],[Total intl charge]],Table1[[#This Row],[Total night charge]],Table1[[#This Row],[Total eve charge]],Table1[[#This Row],[Total day charge]])</f>
        <v>56.07</v>
      </c>
      <c r="W150">
        <f>SUM(Table1[[#This Row],[Total intl calls]],Table1[[#This Row],[Total night calls]],Table1[[#This Row],[Total eve calls]],Table1[[#This Row],[Total day calls]])</f>
        <v>336</v>
      </c>
      <c r="X150" t="str" cm="1">
        <f t="array" ref="X150">_xlfn.IFS(Table1[[#This Row],[Customer service calls]]&gt;=4,"High risk",Table1[[#This Row],[Customer service calls]]&gt;=2,"Medium risk",TRUE,"Low risk")</f>
        <v>Medium risk</v>
      </c>
      <c r="Y150" t="str" cm="1">
        <f t="array" ref="Y150">IFERROR(_xlfn.IFS(Table1[[#This Row],[Total usage(Min)]]&gt;=AVERAGE(U:U)*1.1,"High risk",Table1[[#This Row],[Total usage(Min)]]&lt;= AVERAGE(U:U)*0.9,"Low risk",TRUE,"Medium risk"),"N/A")</f>
        <v>Medium risk</v>
      </c>
      <c r="Z150" t="str" cm="1">
        <f t="array" ref="Z150">IFERROR(_xlfn.IFS(Table1[[#This Row],[Total charges]]&gt;=AVERAGE(V:V)*1.1,"High risk",Table1[[#This Row],[Total charges]]&lt;=AVERAGE(V:V)*0.9,"Low risk",TRUE,"Medium risk"),"N/A")</f>
        <v>Medium risk</v>
      </c>
      <c r="AA1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50" t="str" cm="1">
        <f t="array" ref="AC150">_xlfn.IFS(
AND(Table1[[#This Row],[Customer service risk level]]="High risk", Table1[[#This Row],[Intl usage behaviour]]="Unplanned Usage"),"High Risk",
OR(Table1[[#This Row],[Customer service risk level]]="Medium risk", Table1[[#This Row],[Charges risk level]]="High risk "),"Medium Risk",
TRUE,"Low Risk"
)</f>
        <v>Medium Risk</v>
      </c>
    </row>
    <row r="151" spans="1:29" x14ac:dyDescent="0.25">
      <c r="A151" t="s">
        <v>31</v>
      </c>
      <c r="B151">
        <v>165</v>
      </c>
      <c r="C151">
        <v>510</v>
      </c>
      <c r="D151" t="s">
        <v>21</v>
      </c>
      <c r="E151" t="s">
        <v>21</v>
      </c>
      <c r="F151">
        <v>0</v>
      </c>
      <c r="G151">
        <v>154.19999999999999</v>
      </c>
      <c r="H151">
        <v>91</v>
      </c>
      <c r="I151">
        <v>26.21</v>
      </c>
      <c r="J151">
        <v>268.60000000000002</v>
      </c>
      <c r="K151">
        <v>108</v>
      </c>
      <c r="L151">
        <v>22.83</v>
      </c>
      <c r="M151">
        <v>188.8</v>
      </c>
      <c r="N151">
        <v>99</v>
      </c>
      <c r="O151">
        <v>8.5</v>
      </c>
      <c r="P151">
        <v>10.9</v>
      </c>
      <c r="Q151">
        <v>4</v>
      </c>
      <c r="R151">
        <v>2.94</v>
      </c>
      <c r="S151">
        <v>6</v>
      </c>
      <c r="T151" t="b">
        <v>0</v>
      </c>
      <c r="U151">
        <f>IFERROR(SUM(Table1[[#This Row],[Total day minutes]],Table1[[#This Row],[Total eve minutes]],Table1[[#This Row],[Total night minutes]],Table1[[#This Row],[Total intl minutes]]),0)</f>
        <v>622.5</v>
      </c>
      <c r="V151">
        <f>SUM(Table1[[#This Row],[Total intl charge]],Table1[[#This Row],[Total night charge]],Table1[[#This Row],[Total eve charge]],Table1[[#This Row],[Total day charge]])</f>
        <v>60.48</v>
      </c>
      <c r="W151">
        <f>SUM(Table1[[#This Row],[Total intl calls]],Table1[[#This Row],[Total night calls]],Table1[[#This Row],[Total eve calls]],Table1[[#This Row],[Total day calls]])</f>
        <v>302</v>
      </c>
      <c r="X151" t="str" cm="1">
        <f t="array" ref="X151">_xlfn.IFS(Table1[[#This Row],[Customer service calls]]&gt;=4,"High risk",Table1[[#This Row],[Customer service calls]]&gt;=2,"Medium risk",TRUE,"Low risk")</f>
        <v>High risk</v>
      </c>
      <c r="Y151" t="str" cm="1">
        <f t="array" ref="Y151">IFERROR(_xlfn.IFS(Table1[[#This Row],[Total usage(Min)]]&gt;=AVERAGE(U:U)*1.1,"High risk",Table1[[#This Row],[Total usage(Min)]]&lt;= AVERAGE(U:U)*0.9,"Low risk",TRUE,"Medium risk"),"N/A")</f>
        <v>Medium risk</v>
      </c>
      <c r="Z151" t="str" cm="1">
        <f t="array" ref="Z151">IFERROR(_xlfn.IFS(Table1[[#This Row],[Total charges]]&gt;=AVERAGE(V:V)*1.1,"High risk",Table1[[#This Row],[Total charges]]&lt;=AVERAGE(V:V)*0.9,"Low risk",TRUE,"Medium risk"),"N/A")</f>
        <v>Medium risk</v>
      </c>
      <c r="AA1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1" t="str" cm="1">
        <f t="array" ref="AC151">_xlfn.IFS(
AND(Table1[[#This Row],[Customer service risk level]]="High risk", Table1[[#This Row],[Intl usage behaviour]]="Unplanned Usage"),"High Risk",
OR(Table1[[#This Row],[Customer service risk level]]="Medium risk", Table1[[#This Row],[Charges risk level]]="High risk "),"Medium Risk",
TRUE,"Low Risk"
)</f>
        <v>High Risk</v>
      </c>
    </row>
    <row r="152" spans="1:29" x14ac:dyDescent="0.25">
      <c r="A152" t="s">
        <v>69</v>
      </c>
      <c r="B152">
        <v>156</v>
      </c>
      <c r="C152">
        <v>415</v>
      </c>
      <c r="D152" t="s">
        <v>21</v>
      </c>
      <c r="E152" t="s">
        <v>21</v>
      </c>
      <c r="F152">
        <v>0</v>
      </c>
      <c r="G152">
        <v>178.8</v>
      </c>
      <c r="H152">
        <v>94</v>
      </c>
      <c r="I152">
        <v>30.4</v>
      </c>
      <c r="J152">
        <v>178.4</v>
      </c>
      <c r="K152">
        <v>97</v>
      </c>
      <c r="L152">
        <v>15.16</v>
      </c>
      <c r="M152">
        <v>169.2</v>
      </c>
      <c r="N152">
        <v>77</v>
      </c>
      <c r="O152">
        <v>7.61</v>
      </c>
      <c r="P152">
        <v>7.5</v>
      </c>
      <c r="Q152">
        <v>3</v>
      </c>
      <c r="R152">
        <v>2.0299999999999998</v>
      </c>
      <c r="S152">
        <v>1</v>
      </c>
      <c r="T152" t="b">
        <v>0</v>
      </c>
      <c r="U152">
        <f>IFERROR(SUM(Table1[[#This Row],[Total day minutes]],Table1[[#This Row],[Total eve minutes]],Table1[[#This Row],[Total night minutes]],Table1[[#This Row],[Total intl minutes]]),0)</f>
        <v>533.90000000000009</v>
      </c>
      <c r="V152">
        <f>SUM(Table1[[#This Row],[Total intl charge]],Table1[[#This Row],[Total night charge]],Table1[[#This Row],[Total eve charge]],Table1[[#This Row],[Total day charge]])</f>
        <v>55.2</v>
      </c>
      <c r="W152">
        <f>SUM(Table1[[#This Row],[Total intl calls]],Table1[[#This Row],[Total night calls]],Table1[[#This Row],[Total eve calls]],Table1[[#This Row],[Total day calls]])</f>
        <v>271</v>
      </c>
      <c r="X152" t="str" cm="1">
        <f t="array" ref="X152">_xlfn.IFS(Table1[[#This Row],[Customer service calls]]&gt;=4,"High risk",Table1[[#This Row],[Customer service calls]]&gt;=2,"Medium risk",TRUE,"Low risk")</f>
        <v>Low risk</v>
      </c>
      <c r="Y152" t="str" cm="1">
        <f t="array" ref="Y152">IFERROR(_xlfn.IFS(Table1[[#This Row],[Total usage(Min)]]&gt;=AVERAGE(U:U)*1.1,"High risk",Table1[[#This Row],[Total usage(Min)]]&lt;= AVERAGE(U:U)*0.9,"Low risk",TRUE,"Medium risk"),"N/A")</f>
        <v>Low risk</v>
      </c>
      <c r="Z152" t="str" cm="1">
        <f t="array" ref="Z152">IFERROR(_xlfn.IFS(Table1[[#This Row],[Total charges]]&gt;=AVERAGE(V:V)*1.1,"High risk",Table1[[#This Row],[Total charges]]&lt;=AVERAGE(V:V)*0.9,"Low risk",TRUE,"Medium risk"),"N/A")</f>
        <v>Medium risk</v>
      </c>
      <c r="AA1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2" t="str" cm="1">
        <f t="array" ref="AC152">_xlfn.IFS(
AND(Table1[[#This Row],[Customer service risk level]]="High risk", Table1[[#This Row],[Intl usage behaviour]]="Unplanned Usage"),"High Risk",
OR(Table1[[#This Row],[Customer service risk level]]="Medium risk", Table1[[#This Row],[Charges risk level]]="High risk "),"Medium Risk",
TRUE,"Low Risk"
)</f>
        <v>Low Risk</v>
      </c>
    </row>
    <row r="153" spans="1:29" x14ac:dyDescent="0.25">
      <c r="A153" t="s">
        <v>40</v>
      </c>
      <c r="B153">
        <v>63</v>
      </c>
      <c r="C153">
        <v>408</v>
      </c>
      <c r="D153" t="s">
        <v>21</v>
      </c>
      <c r="E153" t="s">
        <v>21</v>
      </c>
      <c r="F153">
        <v>0</v>
      </c>
      <c r="G153">
        <v>149.30000000000001</v>
      </c>
      <c r="H153">
        <v>104</v>
      </c>
      <c r="I153">
        <v>25.38</v>
      </c>
      <c r="J153">
        <v>273.60000000000002</v>
      </c>
      <c r="K153">
        <v>75</v>
      </c>
      <c r="L153">
        <v>23.26</v>
      </c>
      <c r="M153">
        <v>206.6</v>
      </c>
      <c r="N153">
        <v>72</v>
      </c>
      <c r="O153">
        <v>9.3000000000000007</v>
      </c>
      <c r="P153">
        <v>9.1</v>
      </c>
      <c r="Q153">
        <v>4</v>
      </c>
      <c r="R153">
        <v>2.46</v>
      </c>
      <c r="S153">
        <v>0</v>
      </c>
      <c r="T153" t="b">
        <v>0</v>
      </c>
      <c r="U153">
        <f>IFERROR(SUM(Table1[[#This Row],[Total day minutes]],Table1[[#This Row],[Total eve minutes]],Table1[[#This Row],[Total night minutes]],Table1[[#This Row],[Total intl minutes]]),0)</f>
        <v>638.6</v>
      </c>
      <c r="V153">
        <f>SUM(Table1[[#This Row],[Total intl charge]],Table1[[#This Row],[Total night charge]],Table1[[#This Row],[Total eve charge]],Table1[[#This Row],[Total day charge]])</f>
        <v>60.400000000000006</v>
      </c>
      <c r="W153">
        <f>SUM(Table1[[#This Row],[Total intl calls]],Table1[[#This Row],[Total night calls]],Table1[[#This Row],[Total eve calls]],Table1[[#This Row],[Total day calls]])</f>
        <v>255</v>
      </c>
      <c r="X153" t="str" cm="1">
        <f t="array" ref="X153">_xlfn.IFS(Table1[[#This Row],[Customer service calls]]&gt;=4,"High risk",Table1[[#This Row],[Customer service calls]]&gt;=2,"Medium risk",TRUE,"Low risk")</f>
        <v>Low risk</v>
      </c>
      <c r="Y153" t="str" cm="1">
        <f t="array" ref="Y153">IFERROR(_xlfn.IFS(Table1[[#This Row],[Total usage(Min)]]&gt;=AVERAGE(U:U)*1.1,"High risk",Table1[[#This Row],[Total usage(Min)]]&lt;= AVERAGE(U:U)*0.9,"Low risk",TRUE,"Medium risk"),"N/A")</f>
        <v>Medium risk</v>
      </c>
      <c r="Z153" t="str" cm="1">
        <f t="array" ref="Z153">IFERROR(_xlfn.IFS(Table1[[#This Row],[Total charges]]&gt;=AVERAGE(V:V)*1.1,"High risk",Table1[[#This Row],[Total charges]]&lt;=AVERAGE(V:V)*0.9,"Low risk",TRUE,"Medium risk"),"N/A")</f>
        <v>Medium risk</v>
      </c>
      <c r="AA1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3" t="str" cm="1">
        <f t="array" ref="AC153">_xlfn.IFS(
AND(Table1[[#This Row],[Customer service risk level]]="High risk", Table1[[#This Row],[Intl usage behaviour]]="Unplanned Usage"),"High Risk",
OR(Table1[[#This Row],[Customer service risk level]]="Medium risk", Table1[[#This Row],[Charges risk level]]="High risk "),"Medium Risk",
TRUE,"Low Risk"
)</f>
        <v>Low Risk</v>
      </c>
    </row>
    <row r="154" spans="1:29" x14ac:dyDescent="0.25">
      <c r="A154" t="s">
        <v>29</v>
      </c>
      <c r="B154">
        <v>83</v>
      </c>
      <c r="C154">
        <v>415</v>
      </c>
      <c r="D154" t="s">
        <v>27</v>
      </c>
      <c r="E154" t="s">
        <v>27</v>
      </c>
      <c r="F154">
        <v>32</v>
      </c>
      <c r="G154">
        <v>94.7</v>
      </c>
      <c r="H154">
        <v>111</v>
      </c>
      <c r="I154">
        <v>16.100000000000001</v>
      </c>
      <c r="J154">
        <v>154.4</v>
      </c>
      <c r="K154">
        <v>98</v>
      </c>
      <c r="L154">
        <v>13.12</v>
      </c>
      <c r="M154">
        <v>200.4</v>
      </c>
      <c r="N154">
        <v>109</v>
      </c>
      <c r="O154">
        <v>9.02</v>
      </c>
      <c r="P154">
        <v>10.6</v>
      </c>
      <c r="Q154">
        <v>6</v>
      </c>
      <c r="R154">
        <v>2.86</v>
      </c>
      <c r="S154">
        <v>2</v>
      </c>
      <c r="T154" t="b">
        <v>0</v>
      </c>
      <c r="U154">
        <f>IFERROR(SUM(Table1[[#This Row],[Total day minutes]],Table1[[#This Row],[Total eve minutes]],Table1[[#This Row],[Total night minutes]],Table1[[#This Row],[Total intl minutes]]),0)</f>
        <v>460.1</v>
      </c>
      <c r="V154">
        <f>SUM(Table1[[#This Row],[Total intl charge]],Table1[[#This Row],[Total night charge]],Table1[[#This Row],[Total eve charge]],Table1[[#This Row],[Total day charge]])</f>
        <v>41.1</v>
      </c>
      <c r="W154">
        <f>SUM(Table1[[#This Row],[Total intl calls]],Table1[[#This Row],[Total night calls]],Table1[[#This Row],[Total eve calls]],Table1[[#This Row],[Total day calls]])</f>
        <v>324</v>
      </c>
      <c r="X154" t="str" cm="1">
        <f t="array" ref="X154">_xlfn.IFS(Table1[[#This Row],[Customer service calls]]&gt;=4,"High risk",Table1[[#This Row],[Customer service calls]]&gt;=2,"Medium risk",TRUE,"Low risk")</f>
        <v>Medium risk</v>
      </c>
      <c r="Y154" t="str" cm="1">
        <f t="array" ref="Y154">IFERROR(_xlfn.IFS(Table1[[#This Row],[Total usage(Min)]]&gt;=AVERAGE(U:U)*1.1,"High risk",Table1[[#This Row],[Total usage(Min)]]&lt;= AVERAGE(U:U)*0.9,"Low risk",TRUE,"Medium risk"),"N/A")</f>
        <v>Low risk</v>
      </c>
      <c r="Z154" t="str" cm="1">
        <f t="array" ref="Z154">IFERROR(_xlfn.IFS(Table1[[#This Row],[Total charges]]&gt;=AVERAGE(V:V)*1.1,"High risk",Table1[[#This Row],[Total charges]]&lt;=AVERAGE(V:V)*0.9,"Low risk",TRUE,"Medium risk"),"N/A")</f>
        <v>Low risk</v>
      </c>
      <c r="AA1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5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54" t="str" cm="1">
        <f t="array" ref="AC154">_xlfn.IFS(
AND(Table1[[#This Row],[Customer service risk level]]="High risk", Table1[[#This Row],[Intl usage behaviour]]="Unplanned Usage"),"High Risk",
OR(Table1[[#This Row],[Customer service risk level]]="Medium risk", Table1[[#This Row],[Charges risk level]]="High risk "),"Medium Risk",
TRUE,"Low Risk"
)</f>
        <v>Medium Risk</v>
      </c>
    </row>
    <row r="155" spans="1:29" x14ac:dyDescent="0.25">
      <c r="A155" t="s">
        <v>30</v>
      </c>
      <c r="B155">
        <v>158</v>
      </c>
      <c r="C155">
        <v>415</v>
      </c>
      <c r="D155" t="s">
        <v>21</v>
      </c>
      <c r="E155" t="s">
        <v>21</v>
      </c>
      <c r="F155">
        <v>0</v>
      </c>
      <c r="G155">
        <v>222.8</v>
      </c>
      <c r="H155">
        <v>101</v>
      </c>
      <c r="I155">
        <v>37.880000000000003</v>
      </c>
      <c r="J155">
        <v>203</v>
      </c>
      <c r="K155">
        <v>128</v>
      </c>
      <c r="L155">
        <v>17.260000000000002</v>
      </c>
      <c r="M155">
        <v>210.6</v>
      </c>
      <c r="N155">
        <v>106</v>
      </c>
      <c r="O155">
        <v>9.48</v>
      </c>
      <c r="P155">
        <v>6.9</v>
      </c>
      <c r="Q155">
        <v>2</v>
      </c>
      <c r="R155">
        <v>1.86</v>
      </c>
      <c r="S155">
        <v>2</v>
      </c>
      <c r="T155" t="b">
        <v>0</v>
      </c>
      <c r="U155">
        <f>IFERROR(SUM(Table1[[#This Row],[Total day minutes]],Table1[[#This Row],[Total eve minutes]],Table1[[#This Row],[Total night minutes]],Table1[[#This Row],[Total intl minutes]]),0)</f>
        <v>643.29999999999995</v>
      </c>
      <c r="V155">
        <f>SUM(Table1[[#This Row],[Total intl charge]],Table1[[#This Row],[Total night charge]],Table1[[#This Row],[Total eve charge]],Table1[[#This Row],[Total day charge]])</f>
        <v>66.48</v>
      </c>
      <c r="W155">
        <f>SUM(Table1[[#This Row],[Total intl calls]],Table1[[#This Row],[Total night calls]],Table1[[#This Row],[Total eve calls]],Table1[[#This Row],[Total day calls]])</f>
        <v>337</v>
      </c>
      <c r="X155" t="str" cm="1">
        <f t="array" ref="X155">_xlfn.IFS(Table1[[#This Row],[Customer service calls]]&gt;=4,"High risk",Table1[[#This Row],[Customer service calls]]&gt;=2,"Medium risk",TRUE,"Low risk")</f>
        <v>Medium risk</v>
      </c>
      <c r="Y155" t="str" cm="1">
        <f t="array" ref="Y155">IFERROR(_xlfn.IFS(Table1[[#This Row],[Total usage(Min)]]&gt;=AVERAGE(U:U)*1.1,"High risk",Table1[[#This Row],[Total usage(Min)]]&lt;= AVERAGE(U:U)*0.9,"Low risk",TRUE,"Medium risk"),"N/A")</f>
        <v>Medium risk</v>
      </c>
      <c r="Z155" t="str" cm="1">
        <f t="array" ref="Z155">IFERROR(_xlfn.IFS(Table1[[#This Row],[Total charges]]&gt;=AVERAGE(V:V)*1.1,"High risk",Table1[[#This Row],[Total charges]]&lt;=AVERAGE(V:V)*0.9,"Low risk",TRUE,"Medium risk"),"N/A")</f>
        <v>High risk</v>
      </c>
      <c r="AA1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5" t="str" cm="1">
        <f t="array" ref="AC155">_xlfn.IFS(
AND(Table1[[#This Row],[Customer service risk level]]="High risk", Table1[[#This Row],[Intl usage behaviour]]="Unplanned Usage"),"High Risk",
OR(Table1[[#This Row],[Customer service risk level]]="Medium risk", Table1[[#This Row],[Charges risk level]]="High risk "),"Medium Risk",
TRUE,"Low Risk"
)</f>
        <v>Medium Risk</v>
      </c>
    </row>
    <row r="156" spans="1:29" x14ac:dyDescent="0.25">
      <c r="A156" t="s">
        <v>66</v>
      </c>
      <c r="B156">
        <v>115</v>
      </c>
      <c r="C156">
        <v>510</v>
      </c>
      <c r="D156" t="s">
        <v>27</v>
      </c>
      <c r="E156" t="s">
        <v>21</v>
      </c>
      <c r="F156">
        <v>0</v>
      </c>
      <c r="G156">
        <v>249.9</v>
      </c>
      <c r="H156">
        <v>95</v>
      </c>
      <c r="I156">
        <v>42.48</v>
      </c>
      <c r="J156">
        <v>242.5</v>
      </c>
      <c r="K156">
        <v>104</v>
      </c>
      <c r="L156">
        <v>20.61</v>
      </c>
      <c r="M156">
        <v>151.69999999999999</v>
      </c>
      <c r="N156">
        <v>121</v>
      </c>
      <c r="O156">
        <v>6.83</v>
      </c>
      <c r="P156">
        <v>15.3</v>
      </c>
      <c r="Q156">
        <v>6</v>
      </c>
      <c r="R156">
        <v>4.13</v>
      </c>
      <c r="S156">
        <v>1</v>
      </c>
      <c r="T156" t="b">
        <v>1</v>
      </c>
      <c r="U156">
        <f>IFERROR(SUM(Table1[[#This Row],[Total day minutes]],Table1[[#This Row],[Total eve minutes]],Table1[[#This Row],[Total night minutes]],Table1[[#This Row],[Total intl minutes]]),0)</f>
        <v>659.39999999999986</v>
      </c>
      <c r="V156">
        <f>SUM(Table1[[#This Row],[Total intl charge]],Table1[[#This Row],[Total night charge]],Table1[[#This Row],[Total eve charge]],Table1[[#This Row],[Total day charge]])</f>
        <v>74.05</v>
      </c>
      <c r="W156">
        <f>SUM(Table1[[#This Row],[Total intl calls]],Table1[[#This Row],[Total night calls]],Table1[[#This Row],[Total eve calls]],Table1[[#This Row],[Total day calls]])</f>
        <v>326</v>
      </c>
      <c r="X156" t="str" cm="1">
        <f t="array" ref="X156">_xlfn.IFS(Table1[[#This Row],[Customer service calls]]&gt;=4,"High risk",Table1[[#This Row],[Customer service calls]]&gt;=2,"Medium risk",TRUE,"Low risk")</f>
        <v>Low risk</v>
      </c>
      <c r="Y156" t="str" cm="1">
        <f t="array" ref="Y156">IFERROR(_xlfn.IFS(Table1[[#This Row],[Total usage(Min)]]&gt;=AVERAGE(U:U)*1.1,"High risk",Table1[[#This Row],[Total usage(Min)]]&lt;= AVERAGE(U:U)*0.9,"Low risk",TRUE,"Medium risk"),"N/A")</f>
        <v>High risk</v>
      </c>
      <c r="Z156" t="str" cm="1">
        <f t="array" ref="Z156">IFERROR(_xlfn.IFS(Table1[[#This Row],[Total charges]]&gt;=AVERAGE(V:V)*1.1,"High risk",Table1[[#This Row],[Total charges]]&lt;=AVERAGE(V:V)*0.9,"Low risk",TRUE,"Medium risk"),"N/A")</f>
        <v>High risk</v>
      </c>
      <c r="AA1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5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6" t="str" cm="1">
        <f t="array" ref="AC156">_xlfn.IFS(
AND(Table1[[#This Row],[Customer service risk level]]="High risk", Table1[[#This Row],[Intl usage behaviour]]="Unplanned Usage"),"High Risk",
OR(Table1[[#This Row],[Customer service risk level]]="Medium risk", Table1[[#This Row],[Charges risk level]]="High risk "),"Medium Risk",
TRUE,"Low Risk"
)</f>
        <v>Low Risk</v>
      </c>
    </row>
    <row r="157" spans="1:29" x14ac:dyDescent="0.25">
      <c r="A157" t="s">
        <v>59</v>
      </c>
      <c r="B157">
        <v>103</v>
      </c>
      <c r="C157">
        <v>510</v>
      </c>
      <c r="D157" t="s">
        <v>21</v>
      </c>
      <c r="E157" t="s">
        <v>27</v>
      </c>
      <c r="F157">
        <v>36</v>
      </c>
      <c r="G157">
        <v>87.2</v>
      </c>
      <c r="H157">
        <v>92</v>
      </c>
      <c r="I157">
        <v>14.82</v>
      </c>
      <c r="J157">
        <v>169.3</v>
      </c>
      <c r="K157">
        <v>110</v>
      </c>
      <c r="L157">
        <v>14.39</v>
      </c>
      <c r="M157">
        <v>166.7</v>
      </c>
      <c r="N157">
        <v>80</v>
      </c>
      <c r="O157">
        <v>7.5</v>
      </c>
      <c r="P157">
        <v>10.9</v>
      </c>
      <c r="Q157">
        <v>5</v>
      </c>
      <c r="R157">
        <v>2.94</v>
      </c>
      <c r="S157">
        <v>6</v>
      </c>
      <c r="T157" t="b">
        <v>1</v>
      </c>
      <c r="U157">
        <f>IFERROR(SUM(Table1[[#This Row],[Total day minutes]],Table1[[#This Row],[Total eve minutes]],Table1[[#This Row],[Total night minutes]],Table1[[#This Row],[Total intl minutes]]),0)</f>
        <v>434.09999999999997</v>
      </c>
      <c r="V157">
        <f>SUM(Table1[[#This Row],[Total intl charge]],Table1[[#This Row],[Total night charge]],Table1[[#This Row],[Total eve charge]],Table1[[#This Row],[Total day charge]])</f>
        <v>39.65</v>
      </c>
      <c r="W157">
        <f>SUM(Table1[[#This Row],[Total intl calls]],Table1[[#This Row],[Total night calls]],Table1[[#This Row],[Total eve calls]],Table1[[#This Row],[Total day calls]])</f>
        <v>287</v>
      </c>
      <c r="X157" t="str" cm="1">
        <f t="array" ref="X157">_xlfn.IFS(Table1[[#This Row],[Customer service calls]]&gt;=4,"High risk",Table1[[#This Row],[Customer service calls]]&gt;=2,"Medium risk",TRUE,"Low risk")</f>
        <v>High risk</v>
      </c>
      <c r="Y157" t="str" cm="1">
        <f t="array" ref="Y157">IFERROR(_xlfn.IFS(Table1[[#This Row],[Total usage(Min)]]&gt;=AVERAGE(U:U)*1.1,"High risk",Table1[[#This Row],[Total usage(Min)]]&lt;= AVERAGE(U:U)*0.9,"Low risk",TRUE,"Medium risk"),"N/A")</f>
        <v>Low risk</v>
      </c>
      <c r="Z157" t="str" cm="1">
        <f t="array" ref="Z157">IFERROR(_xlfn.IFS(Table1[[#This Row],[Total charges]]&gt;=AVERAGE(V:V)*1.1,"High risk",Table1[[#This Row],[Total charges]]&lt;=AVERAGE(V:V)*0.9,"Low risk",TRUE,"Medium risk"),"N/A")</f>
        <v>Low risk</v>
      </c>
      <c r="AA1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57" t="str" cm="1">
        <f t="array" ref="AC157">_xlfn.IFS(
AND(Table1[[#This Row],[Customer service risk level]]="High risk", Table1[[#This Row],[Intl usage behaviour]]="Unplanned Usage"),"High Risk",
OR(Table1[[#This Row],[Customer service risk level]]="Medium risk", Table1[[#This Row],[Charges risk level]]="High risk "),"Medium Risk",
TRUE,"Low Risk"
)</f>
        <v>High Risk</v>
      </c>
    </row>
    <row r="158" spans="1:29" x14ac:dyDescent="0.25">
      <c r="A158" t="s">
        <v>64</v>
      </c>
      <c r="B158">
        <v>64</v>
      </c>
      <c r="C158">
        <v>415</v>
      </c>
      <c r="D158" t="s">
        <v>21</v>
      </c>
      <c r="E158" t="s">
        <v>21</v>
      </c>
      <c r="F158">
        <v>0</v>
      </c>
      <c r="G158">
        <v>224.8</v>
      </c>
      <c r="H158">
        <v>111</v>
      </c>
      <c r="I158">
        <v>38.22</v>
      </c>
      <c r="J158">
        <v>190</v>
      </c>
      <c r="K158">
        <v>101</v>
      </c>
      <c r="L158">
        <v>16.149999999999999</v>
      </c>
      <c r="M158">
        <v>221.4</v>
      </c>
      <c r="N158">
        <v>110</v>
      </c>
      <c r="O158">
        <v>9.9600000000000009</v>
      </c>
      <c r="P158">
        <v>9.1999999999999993</v>
      </c>
      <c r="Q158">
        <v>2</v>
      </c>
      <c r="R158">
        <v>2.48</v>
      </c>
      <c r="S158">
        <v>1</v>
      </c>
      <c r="T158" t="b">
        <v>0</v>
      </c>
      <c r="U158">
        <f>IFERROR(SUM(Table1[[#This Row],[Total day minutes]],Table1[[#This Row],[Total eve minutes]],Table1[[#This Row],[Total night minutes]],Table1[[#This Row],[Total intl minutes]]),0)</f>
        <v>645.40000000000009</v>
      </c>
      <c r="V158">
        <f>SUM(Table1[[#This Row],[Total intl charge]],Table1[[#This Row],[Total night charge]],Table1[[#This Row],[Total eve charge]],Table1[[#This Row],[Total day charge]])</f>
        <v>66.81</v>
      </c>
      <c r="W158">
        <f>SUM(Table1[[#This Row],[Total intl calls]],Table1[[#This Row],[Total night calls]],Table1[[#This Row],[Total eve calls]],Table1[[#This Row],[Total day calls]])</f>
        <v>324</v>
      </c>
      <c r="X158" t="str" cm="1">
        <f t="array" ref="X158">_xlfn.IFS(Table1[[#This Row],[Customer service calls]]&gt;=4,"High risk",Table1[[#This Row],[Customer service calls]]&gt;=2,"Medium risk",TRUE,"Low risk")</f>
        <v>Low risk</v>
      </c>
      <c r="Y158" t="str" cm="1">
        <f t="array" ref="Y158">IFERROR(_xlfn.IFS(Table1[[#This Row],[Total usage(Min)]]&gt;=AVERAGE(U:U)*1.1,"High risk",Table1[[#This Row],[Total usage(Min)]]&lt;= AVERAGE(U:U)*0.9,"Low risk",TRUE,"Medium risk"),"N/A")</f>
        <v>Medium risk</v>
      </c>
      <c r="Z158" t="str" cm="1">
        <f t="array" ref="Z158">IFERROR(_xlfn.IFS(Table1[[#This Row],[Total charges]]&gt;=AVERAGE(V:V)*1.1,"High risk",Table1[[#This Row],[Total charges]]&lt;=AVERAGE(V:V)*0.9,"Low risk",TRUE,"Medium risk"),"N/A")</f>
        <v>High risk</v>
      </c>
      <c r="AA1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58" t="str" cm="1">
        <f t="array" ref="AC158">_xlfn.IFS(
AND(Table1[[#This Row],[Customer service risk level]]="High risk", Table1[[#This Row],[Intl usage behaviour]]="Unplanned Usage"),"High Risk",
OR(Table1[[#This Row],[Customer service risk level]]="Medium risk", Table1[[#This Row],[Charges risk level]]="High risk "),"Medium Risk",
TRUE,"Low Risk"
)</f>
        <v>Low Risk</v>
      </c>
    </row>
    <row r="159" spans="1:29" x14ac:dyDescent="0.25">
      <c r="A159" t="s">
        <v>49</v>
      </c>
      <c r="B159">
        <v>86</v>
      </c>
      <c r="C159">
        <v>510</v>
      </c>
      <c r="D159" t="s">
        <v>21</v>
      </c>
      <c r="E159" t="s">
        <v>27</v>
      </c>
      <c r="F159">
        <v>39</v>
      </c>
      <c r="G159">
        <v>261.2</v>
      </c>
      <c r="H159">
        <v>122</v>
      </c>
      <c r="I159">
        <v>44.4</v>
      </c>
      <c r="J159">
        <v>214.2</v>
      </c>
      <c r="K159">
        <v>101</v>
      </c>
      <c r="L159">
        <v>18.21</v>
      </c>
      <c r="M159">
        <v>154.9</v>
      </c>
      <c r="N159">
        <v>101</v>
      </c>
      <c r="O159">
        <v>6.97</v>
      </c>
      <c r="P159">
        <v>12.7</v>
      </c>
      <c r="Q159">
        <v>5</v>
      </c>
      <c r="R159">
        <v>3.43</v>
      </c>
      <c r="S159">
        <v>2</v>
      </c>
      <c r="T159" t="b">
        <v>0</v>
      </c>
      <c r="U159">
        <f>IFERROR(SUM(Table1[[#This Row],[Total day minutes]],Table1[[#This Row],[Total eve minutes]],Table1[[#This Row],[Total night minutes]],Table1[[#This Row],[Total intl minutes]]),0)</f>
        <v>643</v>
      </c>
      <c r="V159">
        <f>SUM(Table1[[#This Row],[Total intl charge]],Table1[[#This Row],[Total night charge]],Table1[[#This Row],[Total eve charge]],Table1[[#This Row],[Total day charge]])</f>
        <v>73.009999999999991</v>
      </c>
      <c r="W159">
        <f>SUM(Table1[[#This Row],[Total intl calls]],Table1[[#This Row],[Total night calls]],Table1[[#This Row],[Total eve calls]],Table1[[#This Row],[Total day calls]])</f>
        <v>329</v>
      </c>
      <c r="X159" t="str" cm="1">
        <f t="array" ref="X159">_xlfn.IFS(Table1[[#This Row],[Customer service calls]]&gt;=4,"High risk",Table1[[#This Row],[Customer service calls]]&gt;=2,"Medium risk",TRUE,"Low risk")</f>
        <v>Medium risk</v>
      </c>
      <c r="Y159" t="str" cm="1">
        <f t="array" ref="Y159">IFERROR(_xlfn.IFS(Table1[[#This Row],[Total usage(Min)]]&gt;=AVERAGE(U:U)*1.1,"High risk",Table1[[#This Row],[Total usage(Min)]]&lt;= AVERAGE(U:U)*0.9,"Low risk",TRUE,"Medium risk"),"N/A")</f>
        <v>Medium risk</v>
      </c>
      <c r="Z159" t="str" cm="1">
        <f t="array" ref="Z159">IFERROR(_xlfn.IFS(Table1[[#This Row],[Total charges]]&gt;=AVERAGE(V:V)*1.1,"High risk",Table1[[#This Row],[Total charges]]&lt;=AVERAGE(V:V)*0.9,"Low risk",TRUE,"Medium risk"),"N/A")</f>
        <v>High risk</v>
      </c>
      <c r="AA1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5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59" t="str" cm="1">
        <f t="array" ref="AC159">_xlfn.IFS(
AND(Table1[[#This Row],[Customer service risk level]]="High risk", Table1[[#This Row],[Intl usage behaviour]]="Unplanned Usage"),"High Risk",
OR(Table1[[#This Row],[Customer service risk level]]="Medium risk", Table1[[#This Row],[Charges risk level]]="High risk "),"Medium Risk",
TRUE,"Low Risk"
)</f>
        <v>Medium Risk</v>
      </c>
    </row>
    <row r="160" spans="1:29" x14ac:dyDescent="0.25">
      <c r="A160" t="s">
        <v>62</v>
      </c>
      <c r="B160">
        <v>151</v>
      </c>
      <c r="C160">
        <v>415</v>
      </c>
      <c r="D160" t="s">
        <v>21</v>
      </c>
      <c r="E160" t="s">
        <v>27</v>
      </c>
      <c r="F160">
        <v>26</v>
      </c>
      <c r="G160">
        <v>196.5</v>
      </c>
      <c r="H160">
        <v>98</v>
      </c>
      <c r="I160">
        <v>33.409999999999997</v>
      </c>
      <c r="J160">
        <v>175.8</v>
      </c>
      <c r="K160">
        <v>111</v>
      </c>
      <c r="L160">
        <v>14.94</v>
      </c>
      <c r="M160">
        <v>221.8</v>
      </c>
      <c r="N160">
        <v>124</v>
      </c>
      <c r="O160">
        <v>9.98</v>
      </c>
      <c r="P160">
        <v>13.4</v>
      </c>
      <c r="Q160">
        <v>5</v>
      </c>
      <c r="R160">
        <v>3.62</v>
      </c>
      <c r="S160">
        <v>0</v>
      </c>
      <c r="T160" t="b">
        <v>0</v>
      </c>
      <c r="U160">
        <f>IFERROR(SUM(Table1[[#This Row],[Total day minutes]],Table1[[#This Row],[Total eve minutes]],Table1[[#This Row],[Total night minutes]],Table1[[#This Row],[Total intl minutes]]),0)</f>
        <v>607.5</v>
      </c>
      <c r="V160">
        <f>SUM(Table1[[#This Row],[Total intl charge]],Table1[[#This Row],[Total night charge]],Table1[[#This Row],[Total eve charge]],Table1[[#This Row],[Total day charge]])</f>
        <v>61.949999999999996</v>
      </c>
      <c r="W160">
        <f>SUM(Table1[[#This Row],[Total intl calls]],Table1[[#This Row],[Total night calls]],Table1[[#This Row],[Total eve calls]],Table1[[#This Row],[Total day calls]])</f>
        <v>338</v>
      </c>
      <c r="X160" t="str" cm="1">
        <f t="array" ref="X160">_xlfn.IFS(Table1[[#This Row],[Customer service calls]]&gt;=4,"High risk",Table1[[#This Row],[Customer service calls]]&gt;=2,"Medium risk",TRUE,"Low risk")</f>
        <v>Low risk</v>
      </c>
      <c r="Y160" t="str" cm="1">
        <f t="array" ref="Y160">IFERROR(_xlfn.IFS(Table1[[#This Row],[Total usage(Min)]]&gt;=AVERAGE(U:U)*1.1,"High risk",Table1[[#This Row],[Total usage(Min)]]&lt;= AVERAGE(U:U)*0.9,"Low risk",TRUE,"Medium risk"),"N/A")</f>
        <v>Medium risk</v>
      </c>
      <c r="Z160" t="str" cm="1">
        <f t="array" ref="Z160">IFERROR(_xlfn.IFS(Table1[[#This Row],[Total charges]]&gt;=AVERAGE(V:V)*1.1,"High risk",Table1[[#This Row],[Total charges]]&lt;=AVERAGE(V:V)*0.9,"Low risk",TRUE,"Medium risk"),"N/A")</f>
        <v>Medium risk</v>
      </c>
      <c r="AA1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0" t="str" cm="1">
        <f t="array" ref="AC160">_xlfn.IFS(
AND(Table1[[#This Row],[Customer service risk level]]="High risk", Table1[[#This Row],[Intl usage behaviour]]="Unplanned Usage"),"High Risk",
OR(Table1[[#This Row],[Customer service risk level]]="Medium risk", Table1[[#This Row],[Charges risk level]]="High risk "),"Medium Risk",
TRUE,"Low Risk"
)</f>
        <v>Low Risk</v>
      </c>
    </row>
    <row r="161" spans="1:29" x14ac:dyDescent="0.25">
      <c r="A161" t="s">
        <v>46</v>
      </c>
      <c r="B161">
        <v>87</v>
      </c>
      <c r="C161">
        <v>510</v>
      </c>
      <c r="D161" t="s">
        <v>27</v>
      </c>
      <c r="E161" t="s">
        <v>21</v>
      </c>
      <c r="F161">
        <v>0</v>
      </c>
      <c r="G161">
        <v>167.3</v>
      </c>
      <c r="H161">
        <v>119</v>
      </c>
      <c r="I161">
        <v>28.44</v>
      </c>
      <c r="J161">
        <v>198.5</v>
      </c>
      <c r="K161">
        <v>119</v>
      </c>
      <c r="L161">
        <v>16.87</v>
      </c>
      <c r="M161">
        <v>133.1</v>
      </c>
      <c r="N161">
        <v>88</v>
      </c>
      <c r="O161">
        <v>5.99</v>
      </c>
      <c r="P161">
        <v>11</v>
      </c>
      <c r="Q161">
        <v>6</v>
      </c>
      <c r="R161">
        <v>2.97</v>
      </c>
      <c r="S161">
        <v>1</v>
      </c>
      <c r="T161" t="b">
        <v>0</v>
      </c>
      <c r="U161">
        <f>IFERROR(SUM(Table1[[#This Row],[Total day minutes]],Table1[[#This Row],[Total eve minutes]],Table1[[#This Row],[Total night minutes]],Table1[[#This Row],[Total intl minutes]]),0)</f>
        <v>509.9</v>
      </c>
      <c r="V161">
        <f>SUM(Table1[[#This Row],[Total intl charge]],Table1[[#This Row],[Total night charge]],Table1[[#This Row],[Total eve charge]],Table1[[#This Row],[Total day charge]])</f>
        <v>54.27</v>
      </c>
      <c r="W161">
        <f>SUM(Table1[[#This Row],[Total intl calls]],Table1[[#This Row],[Total night calls]],Table1[[#This Row],[Total eve calls]],Table1[[#This Row],[Total day calls]])</f>
        <v>332</v>
      </c>
      <c r="X161" t="str" cm="1">
        <f t="array" ref="X161">_xlfn.IFS(Table1[[#This Row],[Customer service calls]]&gt;=4,"High risk",Table1[[#This Row],[Customer service calls]]&gt;=2,"Medium risk",TRUE,"Low risk")</f>
        <v>Low risk</v>
      </c>
      <c r="Y161" t="str" cm="1">
        <f t="array" ref="Y161">IFERROR(_xlfn.IFS(Table1[[#This Row],[Total usage(Min)]]&gt;=AVERAGE(U:U)*1.1,"High risk",Table1[[#This Row],[Total usage(Min)]]&lt;= AVERAGE(U:U)*0.9,"Low risk",TRUE,"Medium risk"),"N/A")</f>
        <v>Low risk</v>
      </c>
      <c r="Z161" t="str" cm="1">
        <f t="array" ref="Z161">IFERROR(_xlfn.IFS(Table1[[#This Row],[Total charges]]&gt;=AVERAGE(V:V)*1.1,"High risk",Table1[[#This Row],[Total charges]]&lt;=AVERAGE(V:V)*0.9,"Low risk",TRUE,"Medium risk"),"N/A")</f>
        <v>Medium risk</v>
      </c>
      <c r="AA1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61" t="str" cm="1">
        <f t="array" ref="AC161">_xlfn.IFS(
AND(Table1[[#This Row],[Customer service risk level]]="High risk", Table1[[#This Row],[Intl usage behaviour]]="Unplanned Usage"),"High Risk",
OR(Table1[[#This Row],[Customer service risk level]]="Medium risk", Table1[[#This Row],[Charges risk level]]="High risk "),"Medium Risk",
TRUE,"Low Risk"
)</f>
        <v>Low Risk</v>
      </c>
    </row>
    <row r="162" spans="1:29" x14ac:dyDescent="0.25">
      <c r="A162" t="s">
        <v>48</v>
      </c>
      <c r="B162">
        <v>90</v>
      </c>
      <c r="C162">
        <v>415</v>
      </c>
      <c r="D162" t="s">
        <v>21</v>
      </c>
      <c r="E162" t="s">
        <v>21</v>
      </c>
      <c r="F162">
        <v>0</v>
      </c>
      <c r="G162">
        <v>109.6</v>
      </c>
      <c r="H162">
        <v>88</v>
      </c>
      <c r="I162">
        <v>18.63</v>
      </c>
      <c r="J162">
        <v>137.6</v>
      </c>
      <c r="K162">
        <v>108</v>
      </c>
      <c r="L162">
        <v>11.7</v>
      </c>
      <c r="M162">
        <v>159.69999999999999</v>
      </c>
      <c r="N162">
        <v>121</v>
      </c>
      <c r="O162">
        <v>7.19</v>
      </c>
      <c r="P162">
        <v>11</v>
      </c>
      <c r="Q162">
        <v>5</v>
      </c>
      <c r="R162">
        <v>2.97</v>
      </c>
      <c r="S162">
        <v>2</v>
      </c>
      <c r="T162" t="b">
        <v>0</v>
      </c>
      <c r="U162">
        <f>IFERROR(SUM(Table1[[#This Row],[Total day minutes]],Table1[[#This Row],[Total eve minutes]],Table1[[#This Row],[Total night minutes]],Table1[[#This Row],[Total intl minutes]]),0)</f>
        <v>417.9</v>
      </c>
      <c r="V162">
        <f>SUM(Table1[[#This Row],[Total intl charge]],Table1[[#This Row],[Total night charge]],Table1[[#This Row],[Total eve charge]],Table1[[#This Row],[Total day charge]])</f>
        <v>40.489999999999995</v>
      </c>
      <c r="W162">
        <f>SUM(Table1[[#This Row],[Total intl calls]],Table1[[#This Row],[Total night calls]],Table1[[#This Row],[Total eve calls]],Table1[[#This Row],[Total day calls]])</f>
        <v>322</v>
      </c>
      <c r="X162" t="str" cm="1">
        <f t="array" ref="X162">_xlfn.IFS(Table1[[#This Row],[Customer service calls]]&gt;=4,"High risk",Table1[[#This Row],[Customer service calls]]&gt;=2,"Medium risk",TRUE,"Low risk")</f>
        <v>Medium risk</v>
      </c>
      <c r="Y162" t="str" cm="1">
        <f t="array" ref="Y162">IFERROR(_xlfn.IFS(Table1[[#This Row],[Total usage(Min)]]&gt;=AVERAGE(U:U)*1.1,"High risk",Table1[[#This Row],[Total usage(Min)]]&lt;= AVERAGE(U:U)*0.9,"Low risk",TRUE,"Medium risk"),"N/A")</f>
        <v>Low risk</v>
      </c>
      <c r="Z162" t="str" cm="1">
        <f t="array" ref="Z162">IFERROR(_xlfn.IFS(Table1[[#This Row],[Total charges]]&gt;=AVERAGE(V:V)*1.1,"High risk",Table1[[#This Row],[Total charges]]&lt;=AVERAGE(V:V)*0.9,"Low risk",TRUE,"Medium risk"),"N/A")</f>
        <v>Low risk</v>
      </c>
      <c r="AA1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62" t="str" cm="1">
        <f t="array" ref="AC162">_xlfn.IFS(
AND(Table1[[#This Row],[Customer service risk level]]="High risk", Table1[[#This Row],[Intl usage behaviour]]="Unplanned Usage"),"High Risk",
OR(Table1[[#This Row],[Customer service risk level]]="Medium risk", Table1[[#This Row],[Charges risk level]]="High risk "),"Medium Risk",
TRUE,"Low Risk"
)</f>
        <v>Medium Risk</v>
      </c>
    </row>
    <row r="163" spans="1:29" x14ac:dyDescent="0.25">
      <c r="A163" t="s">
        <v>20</v>
      </c>
      <c r="B163">
        <v>108</v>
      </c>
      <c r="C163">
        <v>510</v>
      </c>
      <c r="D163" t="s">
        <v>21</v>
      </c>
      <c r="E163" t="s">
        <v>27</v>
      </c>
      <c r="F163">
        <v>30</v>
      </c>
      <c r="G163">
        <v>276.60000000000002</v>
      </c>
      <c r="H163">
        <v>99</v>
      </c>
      <c r="I163">
        <v>47.02</v>
      </c>
      <c r="J163">
        <v>220.1</v>
      </c>
      <c r="K163">
        <v>113</v>
      </c>
      <c r="L163">
        <v>18.71</v>
      </c>
      <c r="M163">
        <v>177.9</v>
      </c>
      <c r="N163">
        <v>95</v>
      </c>
      <c r="O163">
        <v>8.01</v>
      </c>
      <c r="P163">
        <v>9.8000000000000007</v>
      </c>
      <c r="Q163">
        <v>6</v>
      </c>
      <c r="R163">
        <v>2.65</v>
      </c>
      <c r="S163">
        <v>2</v>
      </c>
      <c r="T163" t="b">
        <v>0</v>
      </c>
      <c r="U163">
        <f>IFERROR(SUM(Table1[[#This Row],[Total day minutes]],Table1[[#This Row],[Total eve minutes]],Table1[[#This Row],[Total night minutes]],Table1[[#This Row],[Total intl minutes]]),0)</f>
        <v>684.4</v>
      </c>
      <c r="V163">
        <f>SUM(Table1[[#This Row],[Total intl charge]],Table1[[#This Row],[Total night charge]],Table1[[#This Row],[Total eve charge]],Table1[[#This Row],[Total day charge]])</f>
        <v>76.39</v>
      </c>
      <c r="W163">
        <f>SUM(Table1[[#This Row],[Total intl calls]],Table1[[#This Row],[Total night calls]],Table1[[#This Row],[Total eve calls]],Table1[[#This Row],[Total day calls]])</f>
        <v>313</v>
      </c>
      <c r="X163" t="str" cm="1">
        <f t="array" ref="X163">_xlfn.IFS(Table1[[#This Row],[Customer service calls]]&gt;=4,"High risk",Table1[[#This Row],[Customer service calls]]&gt;=2,"Medium risk",TRUE,"Low risk")</f>
        <v>Medium risk</v>
      </c>
      <c r="Y163" t="str" cm="1">
        <f t="array" ref="Y163">IFERROR(_xlfn.IFS(Table1[[#This Row],[Total usage(Min)]]&gt;=AVERAGE(U:U)*1.1,"High risk",Table1[[#This Row],[Total usage(Min)]]&lt;= AVERAGE(U:U)*0.9,"Low risk",TRUE,"Medium risk"),"N/A")</f>
        <v>High risk</v>
      </c>
      <c r="Z163" t="str" cm="1">
        <f t="array" ref="Z163">IFERROR(_xlfn.IFS(Table1[[#This Row],[Total charges]]&gt;=AVERAGE(V:V)*1.1,"High risk",Table1[[#This Row],[Total charges]]&lt;=AVERAGE(V:V)*0.9,"Low risk",TRUE,"Medium risk"),"N/A")</f>
        <v>High risk</v>
      </c>
      <c r="AA1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3" t="str" cm="1">
        <f t="array" ref="AC163">_xlfn.IFS(
AND(Table1[[#This Row],[Customer service risk level]]="High risk", Table1[[#This Row],[Intl usage behaviour]]="Unplanned Usage"),"High Risk",
OR(Table1[[#This Row],[Customer service risk level]]="Medium risk", Table1[[#This Row],[Charges risk level]]="High risk "),"Medium Risk",
TRUE,"Low Risk"
)</f>
        <v>Medium Risk</v>
      </c>
    </row>
    <row r="164" spans="1:29" x14ac:dyDescent="0.25">
      <c r="A164" t="s">
        <v>70</v>
      </c>
      <c r="B164">
        <v>33</v>
      </c>
      <c r="C164">
        <v>415</v>
      </c>
      <c r="D164" t="s">
        <v>21</v>
      </c>
      <c r="E164" t="s">
        <v>27</v>
      </c>
      <c r="F164">
        <v>35</v>
      </c>
      <c r="G164">
        <v>186.8</v>
      </c>
      <c r="H164">
        <v>124</v>
      </c>
      <c r="I164">
        <v>31.76</v>
      </c>
      <c r="J164">
        <v>261</v>
      </c>
      <c r="K164">
        <v>69</v>
      </c>
      <c r="L164">
        <v>22.19</v>
      </c>
      <c r="M164">
        <v>317.8</v>
      </c>
      <c r="N164">
        <v>103</v>
      </c>
      <c r="O164">
        <v>14.3</v>
      </c>
      <c r="P164">
        <v>15</v>
      </c>
      <c r="Q164">
        <v>5</v>
      </c>
      <c r="R164">
        <v>4.05</v>
      </c>
      <c r="S164">
        <v>0</v>
      </c>
      <c r="T164" t="b">
        <v>0</v>
      </c>
      <c r="U164">
        <f>IFERROR(SUM(Table1[[#This Row],[Total day minutes]],Table1[[#This Row],[Total eve minutes]],Table1[[#This Row],[Total night minutes]],Table1[[#This Row],[Total intl minutes]]),0)</f>
        <v>780.6</v>
      </c>
      <c r="V164">
        <f>SUM(Table1[[#This Row],[Total intl charge]],Table1[[#This Row],[Total night charge]],Table1[[#This Row],[Total eve charge]],Table1[[#This Row],[Total day charge]])</f>
        <v>72.300000000000011</v>
      </c>
      <c r="W164">
        <f>SUM(Table1[[#This Row],[Total intl calls]],Table1[[#This Row],[Total night calls]],Table1[[#This Row],[Total eve calls]],Table1[[#This Row],[Total day calls]])</f>
        <v>301</v>
      </c>
      <c r="X164" t="str" cm="1">
        <f t="array" ref="X164">_xlfn.IFS(Table1[[#This Row],[Customer service calls]]&gt;=4,"High risk",Table1[[#This Row],[Customer service calls]]&gt;=2,"Medium risk",TRUE,"Low risk")</f>
        <v>Low risk</v>
      </c>
      <c r="Y164" t="str" cm="1">
        <f t="array" ref="Y164">IFERROR(_xlfn.IFS(Table1[[#This Row],[Total usage(Min)]]&gt;=AVERAGE(U:U)*1.1,"High risk",Table1[[#This Row],[Total usage(Min)]]&lt;= AVERAGE(U:U)*0.9,"Low risk",TRUE,"Medium risk"),"N/A")</f>
        <v>High risk</v>
      </c>
      <c r="Z164" t="str" cm="1">
        <f t="array" ref="Z164">IFERROR(_xlfn.IFS(Table1[[#This Row],[Total charges]]&gt;=AVERAGE(V:V)*1.1,"High risk",Table1[[#This Row],[Total charges]]&lt;=AVERAGE(V:V)*0.9,"Low risk",TRUE,"Medium risk"),"N/A")</f>
        <v>High risk</v>
      </c>
      <c r="AA1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4" t="str" cm="1">
        <f t="array" ref="AC164">_xlfn.IFS(
AND(Table1[[#This Row],[Customer service risk level]]="High risk", Table1[[#This Row],[Intl usage behaviour]]="Unplanned Usage"),"High Risk",
OR(Table1[[#This Row],[Customer service risk level]]="Medium risk", Table1[[#This Row],[Charges risk level]]="High risk "),"Medium Risk",
TRUE,"Low Risk"
)</f>
        <v>Low Risk</v>
      </c>
    </row>
    <row r="165" spans="1:29" x14ac:dyDescent="0.25">
      <c r="A165" t="s">
        <v>31</v>
      </c>
      <c r="B165">
        <v>149</v>
      </c>
      <c r="C165">
        <v>415</v>
      </c>
      <c r="D165" t="s">
        <v>27</v>
      </c>
      <c r="E165" t="s">
        <v>27</v>
      </c>
      <c r="F165">
        <v>28</v>
      </c>
      <c r="G165">
        <v>126.9</v>
      </c>
      <c r="H165">
        <v>97</v>
      </c>
      <c r="I165">
        <v>21.57</v>
      </c>
      <c r="J165">
        <v>166.9</v>
      </c>
      <c r="K165">
        <v>102</v>
      </c>
      <c r="L165">
        <v>14.19</v>
      </c>
      <c r="M165">
        <v>145.19999999999999</v>
      </c>
      <c r="N165">
        <v>77</v>
      </c>
      <c r="O165">
        <v>6.53</v>
      </c>
      <c r="P165">
        <v>8.8000000000000007</v>
      </c>
      <c r="Q165">
        <v>3</v>
      </c>
      <c r="R165">
        <v>2.38</v>
      </c>
      <c r="S165">
        <v>5</v>
      </c>
      <c r="T165" t="b">
        <v>1</v>
      </c>
      <c r="U165">
        <f>IFERROR(SUM(Table1[[#This Row],[Total day minutes]],Table1[[#This Row],[Total eve minutes]],Table1[[#This Row],[Total night minutes]],Table1[[#This Row],[Total intl minutes]]),0)</f>
        <v>447.8</v>
      </c>
      <c r="V165">
        <f>SUM(Table1[[#This Row],[Total intl charge]],Table1[[#This Row],[Total night charge]],Table1[[#This Row],[Total eve charge]],Table1[[#This Row],[Total day charge]])</f>
        <v>44.67</v>
      </c>
      <c r="W165">
        <f>SUM(Table1[[#This Row],[Total intl calls]],Table1[[#This Row],[Total night calls]],Table1[[#This Row],[Total eve calls]],Table1[[#This Row],[Total day calls]])</f>
        <v>279</v>
      </c>
      <c r="X165" t="str" cm="1">
        <f t="array" ref="X165">_xlfn.IFS(Table1[[#This Row],[Customer service calls]]&gt;=4,"High risk",Table1[[#This Row],[Customer service calls]]&gt;=2,"Medium risk",TRUE,"Low risk")</f>
        <v>High risk</v>
      </c>
      <c r="Y165" t="str" cm="1">
        <f t="array" ref="Y165">IFERROR(_xlfn.IFS(Table1[[#This Row],[Total usage(Min)]]&gt;=AVERAGE(U:U)*1.1,"High risk",Table1[[#This Row],[Total usage(Min)]]&lt;= AVERAGE(U:U)*0.9,"Low risk",TRUE,"Medium risk"),"N/A")</f>
        <v>Low risk</v>
      </c>
      <c r="Z165" t="str" cm="1">
        <f t="array" ref="Z165">IFERROR(_xlfn.IFS(Table1[[#This Row],[Total charges]]&gt;=AVERAGE(V:V)*1.1,"High risk",Table1[[#This Row],[Total charges]]&lt;=AVERAGE(V:V)*0.9,"Low risk",TRUE,"Medium risk"),"N/A")</f>
        <v>Low risk</v>
      </c>
      <c r="AA1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6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5" t="str" cm="1">
        <f t="array" ref="AC165">_xlfn.IFS(
AND(Table1[[#This Row],[Customer service risk level]]="High risk", Table1[[#This Row],[Intl usage behaviour]]="Unplanned Usage"),"High Risk",
OR(Table1[[#This Row],[Customer service risk level]]="Medium risk", Table1[[#This Row],[Charges risk level]]="High risk "),"Medium Risk",
TRUE,"Low Risk"
)</f>
        <v>Low Risk</v>
      </c>
    </row>
    <row r="166" spans="1:29" x14ac:dyDescent="0.25">
      <c r="A166" t="s">
        <v>34</v>
      </c>
      <c r="B166">
        <v>106</v>
      </c>
      <c r="C166">
        <v>510</v>
      </c>
      <c r="D166" t="s">
        <v>21</v>
      </c>
      <c r="E166" t="s">
        <v>21</v>
      </c>
      <c r="F166">
        <v>0</v>
      </c>
      <c r="G166">
        <v>169.4</v>
      </c>
      <c r="H166">
        <v>107</v>
      </c>
      <c r="I166">
        <v>28.8</v>
      </c>
      <c r="J166">
        <v>197.2</v>
      </c>
      <c r="K166">
        <v>71</v>
      </c>
      <c r="L166">
        <v>16.760000000000002</v>
      </c>
      <c r="M166">
        <v>202.2</v>
      </c>
      <c r="N166">
        <v>79</v>
      </c>
      <c r="O166">
        <v>9.1</v>
      </c>
      <c r="P166">
        <v>10.7</v>
      </c>
      <c r="Q166">
        <v>4</v>
      </c>
      <c r="R166">
        <v>2.89</v>
      </c>
      <c r="S166">
        <v>1</v>
      </c>
      <c r="T166" t="b">
        <v>0</v>
      </c>
      <c r="U166">
        <f>IFERROR(SUM(Table1[[#This Row],[Total day minutes]],Table1[[#This Row],[Total eve minutes]],Table1[[#This Row],[Total night minutes]],Table1[[#This Row],[Total intl minutes]]),0)</f>
        <v>579.5</v>
      </c>
      <c r="V166">
        <f>SUM(Table1[[#This Row],[Total intl charge]],Table1[[#This Row],[Total night charge]],Table1[[#This Row],[Total eve charge]],Table1[[#This Row],[Total day charge]])</f>
        <v>57.55</v>
      </c>
      <c r="W166">
        <f>SUM(Table1[[#This Row],[Total intl calls]],Table1[[#This Row],[Total night calls]],Table1[[#This Row],[Total eve calls]],Table1[[#This Row],[Total day calls]])</f>
        <v>261</v>
      </c>
      <c r="X166" t="str" cm="1">
        <f t="array" ref="X166">_xlfn.IFS(Table1[[#This Row],[Customer service calls]]&gt;=4,"High risk",Table1[[#This Row],[Customer service calls]]&gt;=2,"Medium risk",TRUE,"Low risk")</f>
        <v>Low risk</v>
      </c>
      <c r="Y166" t="str" cm="1">
        <f t="array" ref="Y166">IFERROR(_xlfn.IFS(Table1[[#This Row],[Total usage(Min)]]&gt;=AVERAGE(U:U)*1.1,"High risk",Table1[[#This Row],[Total usage(Min)]]&lt;= AVERAGE(U:U)*0.9,"Low risk",TRUE,"Medium risk"),"N/A")</f>
        <v>Medium risk</v>
      </c>
      <c r="Z166" t="str" cm="1">
        <f t="array" ref="Z166">IFERROR(_xlfn.IFS(Table1[[#This Row],[Total charges]]&gt;=AVERAGE(V:V)*1.1,"High risk",Table1[[#This Row],[Total charges]]&lt;=AVERAGE(V:V)*0.9,"Low risk",TRUE,"Medium risk"),"N/A")</f>
        <v>Medium risk</v>
      </c>
      <c r="AA1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66" t="str" cm="1">
        <f t="array" ref="AC166">_xlfn.IFS(
AND(Table1[[#This Row],[Customer service risk level]]="High risk", Table1[[#This Row],[Intl usage behaviour]]="Unplanned Usage"),"High Risk",
OR(Table1[[#This Row],[Customer service risk level]]="Medium risk", Table1[[#This Row],[Charges risk level]]="High risk "),"Medium Risk",
TRUE,"Low Risk"
)</f>
        <v>Low Risk</v>
      </c>
    </row>
    <row r="167" spans="1:29" x14ac:dyDescent="0.25">
      <c r="A167" t="s">
        <v>68</v>
      </c>
      <c r="B167">
        <v>167</v>
      </c>
      <c r="C167">
        <v>408</v>
      </c>
      <c r="D167" t="s">
        <v>27</v>
      </c>
      <c r="E167" t="s">
        <v>21</v>
      </c>
      <c r="F167">
        <v>0</v>
      </c>
      <c r="G167">
        <v>219.1</v>
      </c>
      <c r="H167">
        <v>100</v>
      </c>
      <c r="I167">
        <v>37.25</v>
      </c>
      <c r="J167">
        <v>242.9</v>
      </c>
      <c r="K167">
        <v>90</v>
      </c>
      <c r="L167">
        <v>20.65</v>
      </c>
      <c r="M167">
        <v>168.9</v>
      </c>
      <c r="N167">
        <v>101</v>
      </c>
      <c r="O167">
        <v>7.6</v>
      </c>
      <c r="P167">
        <v>10.1</v>
      </c>
      <c r="Q167">
        <v>4</v>
      </c>
      <c r="R167">
        <v>2.73</v>
      </c>
      <c r="S167">
        <v>2</v>
      </c>
      <c r="T167" t="b">
        <v>0</v>
      </c>
      <c r="U167">
        <f>IFERROR(SUM(Table1[[#This Row],[Total day minutes]],Table1[[#This Row],[Total eve minutes]],Table1[[#This Row],[Total night minutes]],Table1[[#This Row],[Total intl minutes]]),0)</f>
        <v>641</v>
      </c>
      <c r="V167">
        <f>SUM(Table1[[#This Row],[Total intl charge]],Table1[[#This Row],[Total night charge]],Table1[[#This Row],[Total eve charge]],Table1[[#This Row],[Total day charge]])</f>
        <v>68.22999999999999</v>
      </c>
      <c r="W167">
        <f>SUM(Table1[[#This Row],[Total intl calls]],Table1[[#This Row],[Total night calls]],Table1[[#This Row],[Total eve calls]],Table1[[#This Row],[Total day calls]])</f>
        <v>295</v>
      </c>
      <c r="X167" t="str" cm="1">
        <f t="array" ref="X167">_xlfn.IFS(Table1[[#This Row],[Customer service calls]]&gt;=4,"High risk",Table1[[#This Row],[Customer service calls]]&gt;=2,"Medium risk",TRUE,"Low risk")</f>
        <v>Medium risk</v>
      </c>
      <c r="Y167" t="str" cm="1">
        <f t="array" ref="Y167">IFERROR(_xlfn.IFS(Table1[[#This Row],[Total usage(Min)]]&gt;=AVERAGE(U:U)*1.1,"High risk",Table1[[#This Row],[Total usage(Min)]]&lt;= AVERAGE(U:U)*0.9,"Low risk",TRUE,"Medium risk"),"N/A")</f>
        <v>Medium risk</v>
      </c>
      <c r="Z167" t="str" cm="1">
        <f t="array" ref="Z167">IFERROR(_xlfn.IFS(Table1[[#This Row],[Total charges]]&gt;=AVERAGE(V:V)*1.1,"High risk",Table1[[#This Row],[Total charges]]&lt;=AVERAGE(V:V)*0.9,"Low risk",TRUE,"Medium risk"),"N/A")</f>
        <v>High risk</v>
      </c>
      <c r="AA1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6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67" t="str" cm="1">
        <f t="array" ref="AC167">_xlfn.IFS(
AND(Table1[[#This Row],[Customer service risk level]]="High risk", Table1[[#This Row],[Intl usage behaviour]]="Unplanned Usage"),"High Risk",
OR(Table1[[#This Row],[Customer service risk level]]="Medium risk", Table1[[#This Row],[Charges risk level]]="High risk "),"Medium Risk",
TRUE,"Low Risk"
)</f>
        <v>Medium Risk</v>
      </c>
    </row>
    <row r="168" spans="1:29" x14ac:dyDescent="0.25">
      <c r="A168" t="s">
        <v>31</v>
      </c>
      <c r="B168">
        <v>35</v>
      </c>
      <c r="C168">
        <v>510</v>
      </c>
      <c r="D168" t="s">
        <v>21</v>
      </c>
      <c r="E168" t="s">
        <v>27</v>
      </c>
      <c r="F168">
        <v>27</v>
      </c>
      <c r="G168">
        <v>241.7</v>
      </c>
      <c r="H168">
        <v>87</v>
      </c>
      <c r="I168">
        <v>41.09</v>
      </c>
      <c r="J168">
        <v>142</v>
      </c>
      <c r="K168">
        <v>101</v>
      </c>
      <c r="L168">
        <v>12.07</v>
      </c>
      <c r="M168">
        <v>288.89999999999998</v>
      </c>
      <c r="N168">
        <v>68</v>
      </c>
      <c r="O168">
        <v>13</v>
      </c>
      <c r="P168">
        <v>9.4</v>
      </c>
      <c r="Q168">
        <v>4</v>
      </c>
      <c r="R168">
        <v>2.54</v>
      </c>
      <c r="S168">
        <v>1</v>
      </c>
      <c r="T168" t="b">
        <v>0</v>
      </c>
      <c r="U168">
        <f>IFERROR(SUM(Table1[[#This Row],[Total day minutes]],Table1[[#This Row],[Total eve minutes]],Table1[[#This Row],[Total night minutes]],Table1[[#This Row],[Total intl minutes]]),0)</f>
        <v>681.99999999999989</v>
      </c>
      <c r="V168">
        <f>SUM(Table1[[#This Row],[Total intl charge]],Table1[[#This Row],[Total night charge]],Table1[[#This Row],[Total eve charge]],Table1[[#This Row],[Total day charge]])</f>
        <v>68.7</v>
      </c>
      <c r="W168">
        <f>SUM(Table1[[#This Row],[Total intl calls]],Table1[[#This Row],[Total night calls]],Table1[[#This Row],[Total eve calls]],Table1[[#This Row],[Total day calls]])</f>
        <v>260</v>
      </c>
      <c r="X168" t="str" cm="1">
        <f t="array" ref="X168">_xlfn.IFS(Table1[[#This Row],[Customer service calls]]&gt;=4,"High risk",Table1[[#This Row],[Customer service calls]]&gt;=2,"Medium risk",TRUE,"Low risk")</f>
        <v>Low risk</v>
      </c>
      <c r="Y168" t="str" cm="1">
        <f t="array" ref="Y168">IFERROR(_xlfn.IFS(Table1[[#This Row],[Total usage(Min)]]&gt;=AVERAGE(U:U)*1.1,"High risk",Table1[[#This Row],[Total usage(Min)]]&lt;= AVERAGE(U:U)*0.9,"Low risk",TRUE,"Medium risk"),"N/A")</f>
        <v>High risk</v>
      </c>
      <c r="Z168" t="str" cm="1">
        <f t="array" ref="Z168">IFERROR(_xlfn.IFS(Table1[[#This Row],[Total charges]]&gt;=AVERAGE(V:V)*1.1,"High risk",Table1[[#This Row],[Total charges]]&lt;=AVERAGE(V:V)*0.9,"Low risk",TRUE,"Medium risk"),"N/A")</f>
        <v>High risk</v>
      </c>
      <c r="AA1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8" t="str" cm="1">
        <f t="array" ref="AC168">_xlfn.IFS(
AND(Table1[[#This Row],[Customer service risk level]]="High risk", Table1[[#This Row],[Intl usage behaviour]]="Unplanned Usage"),"High Risk",
OR(Table1[[#This Row],[Customer service risk level]]="Medium risk", Table1[[#This Row],[Charges risk level]]="High risk "),"Medium Risk",
TRUE,"Low Risk"
)</f>
        <v>Low Risk</v>
      </c>
    </row>
    <row r="169" spans="1:29" x14ac:dyDescent="0.25">
      <c r="A169" t="s">
        <v>43</v>
      </c>
      <c r="B169">
        <v>107</v>
      </c>
      <c r="C169">
        <v>415</v>
      </c>
      <c r="D169" t="s">
        <v>21</v>
      </c>
      <c r="E169" t="s">
        <v>27</v>
      </c>
      <c r="F169">
        <v>22</v>
      </c>
      <c r="G169">
        <v>281.10000000000002</v>
      </c>
      <c r="H169">
        <v>83</v>
      </c>
      <c r="I169">
        <v>47.79</v>
      </c>
      <c r="J169">
        <v>143.69999999999999</v>
      </c>
      <c r="K169">
        <v>130</v>
      </c>
      <c r="L169">
        <v>12.21</v>
      </c>
      <c r="M169">
        <v>239.4</v>
      </c>
      <c r="N169">
        <v>128</v>
      </c>
      <c r="O169">
        <v>10.77</v>
      </c>
      <c r="P169">
        <v>11.2</v>
      </c>
      <c r="Q169">
        <v>9</v>
      </c>
      <c r="R169">
        <v>3.02</v>
      </c>
      <c r="S169">
        <v>1</v>
      </c>
      <c r="T169" t="b">
        <v>0</v>
      </c>
      <c r="U169">
        <f>IFERROR(SUM(Table1[[#This Row],[Total day minutes]],Table1[[#This Row],[Total eve minutes]],Table1[[#This Row],[Total night minutes]],Table1[[#This Row],[Total intl minutes]]),0)</f>
        <v>675.40000000000009</v>
      </c>
      <c r="V169">
        <f>SUM(Table1[[#This Row],[Total intl charge]],Table1[[#This Row],[Total night charge]],Table1[[#This Row],[Total eve charge]],Table1[[#This Row],[Total day charge]])</f>
        <v>73.789999999999992</v>
      </c>
      <c r="W169">
        <f>SUM(Table1[[#This Row],[Total intl calls]],Table1[[#This Row],[Total night calls]],Table1[[#This Row],[Total eve calls]],Table1[[#This Row],[Total day calls]])</f>
        <v>350</v>
      </c>
      <c r="X169" t="str" cm="1">
        <f t="array" ref="X169">_xlfn.IFS(Table1[[#This Row],[Customer service calls]]&gt;=4,"High risk",Table1[[#This Row],[Customer service calls]]&gt;=2,"Medium risk",TRUE,"Low risk")</f>
        <v>Low risk</v>
      </c>
      <c r="Y169" t="str" cm="1">
        <f t="array" ref="Y169">IFERROR(_xlfn.IFS(Table1[[#This Row],[Total usage(Min)]]&gt;=AVERAGE(U:U)*1.1,"High risk",Table1[[#This Row],[Total usage(Min)]]&lt;= AVERAGE(U:U)*0.9,"Low risk",TRUE,"Medium risk"),"N/A")</f>
        <v>High risk</v>
      </c>
      <c r="Z169" t="str" cm="1">
        <f t="array" ref="Z169">IFERROR(_xlfn.IFS(Table1[[#This Row],[Total charges]]&gt;=AVERAGE(V:V)*1.1,"High risk",Table1[[#This Row],[Total charges]]&lt;=AVERAGE(V:V)*0.9,"Low risk",TRUE,"Medium risk"),"N/A")</f>
        <v>High risk</v>
      </c>
      <c r="AA1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6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69" t="str" cm="1">
        <f t="array" ref="AC169">_xlfn.IFS(
AND(Table1[[#This Row],[Customer service risk level]]="High risk", Table1[[#This Row],[Intl usage behaviour]]="Unplanned Usage"),"High Risk",
OR(Table1[[#This Row],[Customer service risk level]]="Medium risk", Table1[[#This Row],[Charges risk level]]="High risk "),"Medium Risk",
TRUE,"Low Risk"
)</f>
        <v>Low Risk</v>
      </c>
    </row>
    <row r="170" spans="1:29" x14ac:dyDescent="0.25">
      <c r="A170" t="s">
        <v>38</v>
      </c>
      <c r="B170">
        <v>92</v>
      </c>
      <c r="C170">
        <v>415</v>
      </c>
      <c r="D170" t="s">
        <v>27</v>
      </c>
      <c r="E170" t="s">
        <v>27</v>
      </c>
      <c r="F170">
        <v>45</v>
      </c>
      <c r="G170">
        <v>281.10000000000002</v>
      </c>
      <c r="H170">
        <v>88</v>
      </c>
      <c r="I170">
        <v>47.79</v>
      </c>
      <c r="J170">
        <v>198</v>
      </c>
      <c r="K170">
        <v>103</v>
      </c>
      <c r="L170">
        <v>16.829999999999998</v>
      </c>
      <c r="M170">
        <v>94.3</v>
      </c>
      <c r="N170">
        <v>76</v>
      </c>
      <c r="O170">
        <v>4.24</v>
      </c>
      <c r="P170">
        <v>7.5</v>
      </c>
      <c r="Q170">
        <v>3</v>
      </c>
      <c r="R170">
        <v>2.0299999999999998</v>
      </c>
      <c r="S170">
        <v>0</v>
      </c>
      <c r="T170" t="b">
        <v>0</v>
      </c>
      <c r="U170">
        <f>IFERROR(SUM(Table1[[#This Row],[Total day minutes]],Table1[[#This Row],[Total eve minutes]],Table1[[#This Row],[Total night minutes]],Table1[[#This Row],[Total intl minutes]]),0)</f>
        <v>580.9</v>
      </c>
      <c r="V170">
        <f>SUM(Table1[[#This Row],[Total intl charge]],Table1[[#This Row],[Total night charge]],Table1[[#This Row],[Total eve charge]],Table1[[#This Row],[Total day charge]])</f>
        <v>70.89</v>
      </c>
      <c r="W170">
        <f>SUM(Table1[[#This Row],[Total intl calls]],Table1[[#This Row],[Total night calls]],Table1[[#This Row],[Total eve calls]],Table1[[#This Row],[Total day calls]])</f>
        <v>270</v>
      </c>
      <c r="X170" t="str" cm="1">
        <f t="array" ref="X170">_xlfn.IFS(Table1[[#This Row],[Customer service calls]]&gt;=4,"High risk",Table1[[#This Row],[Customer service calls]]&gt;=2,"Medium risk",TRUE,"Low risk")</f>
        <v>Low risk</v>
      </c>
      <c r="Y170" t="str" cm="1">
        <f t="array" ref="Y170">IFERROR(_xlfn.IFS(Table1[[#This Row],[Total usage(Min)]]&gt;=AVERAGE(U:U)*1.1,"High risk",Table1[[#This Row],[Total usage(Min)]]&lt;= AVERAGE(U:U)*0.9,"Low risk",TRUE,"Medium risk"),"N/A")</f>
        <v>Medium risk</v>
      </c>
      <c r="Z170" t="str" cm="1">
        <f t="array" ref="Z170">IFERROR(_xlfn.IFS(Table1[[#This Row],[Total charges]]&gt;=AVERAGE(V:V)*1.1,"High risk",Table1[[#This Row],[Total charges]]&lt;=AVERAGE(V:V)*0.9,"Low risk",TRUE,"Medium risk"),"N/A")</f>
        <v>High risk</v>
      </c>
      <c r="AA1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7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70" t="str" cm="1">
        <f t="array" ref="AC170">_xlfn.IFS(
AND(Table1[[#This Row],[Customer service risk level]]="High risk", Table1[[#This Row],[Intl usage behaviour]]="Unplanned Usage"),"High Risk",
OR(Table1[[#This Row],[Customer service risk level]]="Medium risk", Table1[[#This Row],[Charges risk level]]="High risk "),"Medium Risk",
TRUE,"Low Risk"
)</f>
        <v>Low Risk</v>
      </c>
    </row>
    <row r="171" spans="1:29" x14ac:dyDescent="0.25">
      <c r="A171" t="s">
        <v>33</v>
      </c>
      <c r="B171">
        <v>38</v>
      </c>
      <c r="C171">
        <v>415</v>
      </c>
      <c r="D171" t="s">
        <v>21</v>
      </c>
      <c r="E171" t="s">
        <v>21</v>
      </c>
      <c r="F171">
        <v>0</v>
      </c>
      <c r="G171">
        <v>137.80000000000001</v>
      </c>
      <c r="H171">
        <v>86</v>
      </c>
      <c r="I171">
        <v>23.43</v>
      </c>
      <c r="J171">
        <v>286.3</v>
      </c>
      <c r="K171">
        <v>76</v>
      </c>
      <c r="L171">
        <v>24.34</v>
      </c>
      <c r="M171">
        <v>167</v>
      </c>
      <c r="N171">
        <v>77</v>
      </c>
      <c r="O171">
        <v>7.52</v>
      </c>
      <c r="P171">
        <v>14.1</v>
      </c>
      <c r="Q171">
        <v>3</v>
      </c>
      <c r="R171">
        <v>3.81</v>
      </c>
      <c r="S171">
        <v>2</v>
      </c>
      <c r="T171" t="b">
        <v>0</v>
      </c>
      <c r="U171">
        <f>IFERROR(SUM(Table1[[#This Row],[Total day minutes]],Table1[[#This Row],[Total eve minutes]],Table1[[#This Row],[Total night minutes]],Table1[[#This Row],[Total intl minutes]]),0)</f>
        <v>605.20000000000005</v>
      </c>
      <c r="V171">
        <f>SUM(Table1[[#This Row],[Total intl charge]],Table1[[#This Row],[Total night charge]],Table1[[#This Row],[Total eve charge]],Table1[[#This Row],[Total day charge]])</f>
        <v>59.1</v>
      </c>
      <c r="W171">
        <f>SUM(Table1[[#This Row],[Total intl calls]],Table1[[#This Row],[Total night calls]],Table1[[#This Row],[Total eve calls]],Table1[[#This Row],[Total day calls]])</f>
        <v>242</v>
      </c>
      <c r="X171" t="str" cm="1">
        <f t="array" ref="X171">_xlfn.IFS(Table1[[#This Row],[Customer service calls]]&gt;=4,"High risk",Table1[[#This Row],[Customer service calls]]&gt;=2,"Medium risk",TRUE,"Low risk")</f>
        <v>Medium risk</v>
      </c>
      <c r="Y171" t="str" cm="1">
        <f t="array" ref="Y171">IFERROR(_xlfn.IFS(Table1[[#This Row],[Total usage(Min)]]&gt;=AVERAGE(U:U)*1.1,"High risk",Table1[[#This Row],[Total usage(Min)]]&lt;= AVERAGE(U:U)*0.9,"Low risk",TRUE,"Medium risk"),"N/A")</f>
        <v>Medium risk</v>
      </c>
      <c r="Z171" t="str" cm="1">
        <f t="array" ref="Z171">IFERROR(_xlfn.IFS(Table1[[#This Row],[Total charges]]&gt;=AVERAGE(V:V)*1.1,"High risk",Table1[[#This Row],[Total charges]]&lt;=AVERAGE(V:V)*0.9,"Low risk",TRUE,"Medium risk"),"N/A")</f>
        <v>Medium risk</v>
      </c>
      <c r="AA1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1" t="str" cm="1">
        <f t="array" ref="AC171">_xlfn.IFS(
AND(Table1[[#This Row],[Customer service risk level]]="High risk", Table1[[#This Row],[Intl usage behaviour]]="Unplanned Usage"),"High Risk",
OR(Table1[[#This Row],[Customer service risk level]]="Medium risk", Table1[[#This Row],[Charges risk level]]="High risk "),"Medium Risk",
TRUE,"Low Risk"
)</f>
        <v>Medium Risk</v>
      </c>
    </row>
    <row r="172" spans="1:29" x14ac:dyDescent="0.25">
      <c r="A172" t="s">
        <v>30</v>
      </c>
      <c r="B172">
        <v>68</v>
      </c>
      <c r="C172">
        <v>408</v>
      </c>
      <c r="D172" t="s">
        <v>27</v>
      </c>
      <c r="E172" t="s">
        <v>21</v>
      </c>
      <c r="F172">
        <v>0</v>
      </c>
      <c r="G172">
        <v>148.5</v>
      </c>
      <c r="H172">
        <v>126</v>
      </c>
      <c r="I172">
        <v>25.25</v>
      </c>
      <c r="J172">
        <v>219.4</v>
      </c>
      <c r="K172">
        <v>125</v>
      </c>
      <c r="L172">
        <v>18.649999999999999</v>
      </c>
      <c r="M172">
        <v>198.5</v>
      </c>
      <c r="N172">
        <v>121</v>
      </c>
      <c r="O172">
        <v>8.93</v>
      </c>
      <c r="P172">
        <v>14.5</v>
      </c>
      <c r="Q172">
        <v>7</v>
      </c>
      <c r="R172">
        <v>3.92</v>
      </c>
      <c r="S172">
        <v>1</v>
      </c>
      <c r="T172" t="b">
        <v>1</v>
      </c>
      <c r="U172">
        <f>IFERROR(SUM(Table1[[#This Row],[Total day minutes]],Table1[[#This Row],[Total eve minutes]],Table1[[#This Row],[Total night minutes]],Table1[[#This Row],[Total intl minutes]]),0)</f>
        <v>580.9</v>
      </c>
      <c r="V172">
        <f>SUM(Table1[[#This Row],[Total intl charge]],Table1[[#This Row],[Total night charge]],Table1[[#This Row],[Total eve charge]],Table1[[#This Row],[Total day charge]])</f>
        <v>56.75</v>
      </c>
      <c r="W172">
        <f>SUM(Table1[[#This Row],[Total intl calls]],Table1[[#This Row],[Total night calls]],Table1[[#This Row],[Total eve calls]],Table1[[#This Row],[Total day calls]])</f>
        <v>379</v>
      </c>
      <c r="X172" t="str" cm="1">
        <f t="array" ref="X172">_xlfn.IFS(Table1[[#This Row],[Customer service calls]]&gt;=4,"High risk",Table1[[#This Row],[Customer service calls]]&gt;=2,"Medium risk",TRUE,"Low risk")</f>
        <v>Low risk</v>
      </c>
      <c r="Y172" t="str" cm="1">
        <f t="array" ref="Y172">IFERROR(_xlfn.IFS(Table1[[#This Row],[Total usage(Min)]]&gt;=AVERAGE(U:U)*1.1,"High risk",Table1[[#This Row],[Total usage(Min)]]&lt;= AVERAGE(U:U)*0.9,"Low risk",TRUE,"Medium risk"),"N/A")</f>
        <v>Medium risk</v>
      </c>
      <c r="Z172" t="str" cm="1">
        <f t="array" ref="Z172">IFERROR(_xlfn.IFS(Table1[[#This Row],[Total charges]]&gt;=AVERAGE(V:V)*1.1,"High risk",Table1[[#This Row],[Total charges]]&lt;=AVERAGE(V:V)*0.9,"Low risk",TRUE,"Medium risk"),"N/A")</f>
        <v>Medium risk</v>
      </c>
      <c r="AA1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7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2" t="str" cm="1">
        <f t="array" ref="AC172">_xlfn.IFS(
AND(Table1[[#This Row],[Customer service risk level]]="High risk", Table1[[#This Row],[Intl usage behaviour]]="Unplanned Usage"),"High Risk",
OR(Table1[[#This Row],[Customer service risk level]]="Medium risk", Table1[[#This Row],[Charges risk level]]="High risk "),"Medium Risk",
TRUE,"Low Risk"
)</f>
        <v>Low Risk</v>
      </c>
    </row>
    <row r="173" spans="1:29" x14ac:dyDescent="0.25">
      <c r="A173" t="s">
        <v>41</v>
      </c>
      <c r="B173">
        <v>123</v>
      </c>
      <c r="C173">
        <v>510</v>
      </c>
      <c r="D173" t="s">
        <v>21</v>
      </c>
      <c r="E173" t="s">
        <v>21</v>
      </c>
      <c r="F173">
        <v>0</v>
      </c>
      <c r="G173">
        <v>194</v>
      </c>
      <c r="H173">
        <v>118</v>
      </c>
      <c r="I173">
        <v>32.979999999999997</v>
      </c>
      <c r="J173">
        <v>242</v>
      </c>
      <c r="K173">
        <v>114</v>
      </c>
      <c r="L173">
        <v>20.57</v>
      </c>
      <c r="M173">
        <v>146.30000000000001</v>
      </c>
      <c r="N173">
        <v>108</v>
      </c>
      <c r="O173">
        <v>6.58</v>
      </c>
      <c r="P173">
        <v>12.1</v>
      </c>
      <c r="Q173">
        <v>4</v>
      </c>
      <c r="R173">
        <v>3.27</v>
      </c>
      <c r="S173">
        <v>1</v>
      </c>
      <c r="T173" t="b">
        <v>0</v>
      </c>
      <c r="U173">
        <f>IFERROR(SUM(Table1[[#This Row],[Total day minutes]],Table1[[#This Row],[Total eve minutes]],Table1[[#This Row],[Total night minutes]],Table1[[#This Row],[Total intl minutes]]),0)</f>
        <v>594.4</v>
      </c>
      <c r="V173">
        <f>SUM(Table1[[#This Row],[Total intl charge]],Table1[[#This Row],[Total night charge]],Table1[[#This Row],[Total eve charge]],Table1[[#This Row],[Total day charge]])</f>
        <v>63.4</v>
      </c>
      <c r="W173">
        <f>SUM(Table1[[#This Row],[Total intl calls]],Table1[[#This Row],[Total night calls]],Table1[[#This Row],[Total eve calls]],Table1[[#This Row],[Total day calls]])</f>
        <v>344</v>
      </c>
      <c r="X173" t="str" cm="1">
        <f t="array" ref="X173">_xlfn.IFS(Table1[[#This Row],[Customer service calls]]&gt;=4,"High risk",Table1[[#This Row],[Customer service calls]]&gt;=2,"Medium risk",TRUE,"Low risk")</f>
        <v>Low risk</v>
      </c>
      <c r="Y173" t="str" cm="1">
        <f t="array" ref="Y173">IFERROR(_xlfn.IFS(Table1[[#This Row],[Total usage(Min)]]&gt;=AVERAGE(U:U)*1.1,"High risk",Table1[[#This Row],[Total usage(Min)]]&lt;= AVERAGE(U:U)*0.9,"Low risk",TRUE,"Medium risk"),"N/A")</f>
        <v>Medium risk</v>
      </c>
      <c r="Z173" t="str" cm="1">
        <f t="array" ref="Z173">IFERROR(_xlfn.IFS(Table1[[#This Row],[Total charges]]&gt;=AVERAGE(V:V)*1.1,"High risk",Table1[[#This Row],[Total charges]]&lt;=AVERAGE(V:V)*0.9,"Low risk",TRUE,"Medium risk"),"N/A")</f>
        <v>Medium risk</v>
      </c>
      <c r="AA1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3" t="str" cm="1">
        <f t="array" ref="AC173">_xlfn.IFS(
AND(Table1[[#This Row],[Customer service risk level]]="High risk", Table1[[#This Row],[Intl usage behaviour]]="Unplanned Usage"),"High Risk",
OR(Table1[[#This Row],[Customer service risk level]]="Medium risk", Table1[[#This Row],[Charges risk level]]="High risk "),"Medium Risk",
TRUE,"Low Risk"
)</f>
        <v>Low Risk</v>
      </c>
    </row>
    <row r="174" spans="1:29" x14ac:dyDescent="0.25">
      <c r="A174" t="s">
        <v>40</v>
      </c>
      <c r="B174">
        <v>75</v>
      </c>
      <c r="C174">
        <v>510</v>
      </c>
      <c r="D174" t="s">
        <v>21</v>
      </c>
      <c r="E174" t="s">
        <v>27</v>
      </c>
      <c r="F174">
        <v>41</v>
      </c>
      <c r="G174">
        <v>130.9</v>
      </c>
      <c r="H174">
        <v>115</v>
      </c>
      <c r="I174">
        <v>22.25</v>
      </c>
      <c r="J174">
        <v>203.4</v>
      </c>
      <c r="K174">
        <v>110</v>
      </c>
      <c r="L174">
        <v>17.29</v>
      </c>
      <c r="M174">
        <v>171.7</v>
      </c>
      <c r="N174">
        <v>68</v>
      </c>
      <c r="O174">
        <v>7.73</v>
      </c>
      <c r="P174">
        <v>12.4</v>
      </c>
      <c r="Q174">
        <v>4</v>
      </c>
      <c r="R174">
        <v>3.35</v>
      </c>
      <c r="S174">
        <v>1</v>
      </c>
      <c r="T174" t="b">
        <v>0</v>
      </c>
      <c r="U174">
        <f>IFERROR(SUM(Table1[[#This Row],[Total day minutes]],Table1[[#This Row],[Total eve minutes]],Table1[[#This Row],[Total night minutes]],Table1[[#This Row],[Total intl minutes]]),0)</f>
        <v>518.4</v>
      </c>
      <c r="V174">
        <f>SUM(Table1[[#This Row],[Total intl charge]],Table1[[#This Row],[Total night charge]],Table1[[#This Row],[Total eve charge]],Table1[[#This Row],[Total day charge]])</f>
        <v>50.62</v>
      </c>
      <c r="W174">
        <f>SUM(Table1[[#This Row],[Total intl calls]],Table1[[#This Row],[Total night calls]],Table1[[#This Row],[Total eve calls]],Table1[[#This Row],[Total day calls]])</f>
        <v>297</v>
      </c>
      <c r="X174" t="str" cm="1">
        <f t="array" ref="X174">_xlfn.IFS(Table1[[#This Row],[Customer service calls]]&gt;=4,"High risk",Table1[[#This Row],[Customer service calls]]&gt;=2,"Medium risk",TRUE,"Low risk")</f>
        <v>Low risk</v>
      </c>
      <c r="Y174" t="str" cm="1">
        <f t="array" ref="Y174">IFERROR(_xlfn.IFS(Table1[[#This Row],[Total usage(Min)]]&gt;=AVERAGE(U:U)*1.1,"High risk",Table1[[#This Row],[Total usage(Min)]]&lt;= AVERAGE(U:U)*0.9,"Low risk",TRUE,"Medium risk"),"N/A")</f>
        <v>Low risk</v>
      </c>
      <c r="Z174" t="str" cm="1">
        <f t="array" ref="Z174">IFERROR(_xlfn.IFS(Table1[[#This Row],[Total charges]]&gt;=AVERAGE(V:V)*1.1,"High risk",Table1[[#This Row],[Total charges]]&lt;=AVERAGE(V:V)*0.9,"Low risk",TRUE,"Medium risk"),"N/A")</f>
        <v>Low risk</v>
      </c>
      <c r="AA1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74" t="str" cm="1">
        <f t="array" ref="AC174">_xlfn.IFS(
AND(Table1[[#This Row],[Customer service risk level]]="High risk", Table1[[#This Row],[Intl usage behaviour]]="Unplanned Usage"),"High Risk",
OR(Table1[[#This Row],[Customer service risk level]]="Medium risk", Table1[[#This Row],[Charges risk level]]="High risk "),"Medium Risk",
TRUE,"Low Risk"
)</f>
        <v>Low Risk</v>
      </c>
    </row>
    <row r="175" spans="1:29" x14ac:dyDescent="0.25">
      <c r="A175" t="s">
        <v>46</v>
      </c>
      <c r="B175">
        <v>153</v>
      </c>
      <c r="C175">
        <v>408</v>
      </c>
      <c r="D175" t="s">
        <v>21</v>
      </c>
      <c r="E175" t="s">
        <v>21</v>
      </c>
      <c r="F175">
        <v>0</v>
      </c>
      <c r="G175">
        <v>185.3</v>
      </c>
      <c r="H175">
        <v>127</v>
      </c>
      <c r="I175">
        <v>31.5</v>
      </c>
      <c r="J175">
        <v>208</v>
      </c>
      <c r="K175">
        <v>73</v>
      </c>
      <c r="L175">
        <v>17.68</v>
      </c>
      <c r="M175">
        <v>206.1</v>
      </c>
      <c r="N175">
        <v>124</v>
      </c>
      <c r="O175">
        <v>9.27</v>
      </c>
      <c r="P175">
        <v>15.1</v>
      </c>
      <c r="Q175">
        <v>3</v>
      </c>
      <c r="R175">
        <v>4.08</v>
      </c>
      <c r="S175">
        <v>1</v>
      </c>
      <c r="T175" t="b">
        <v>0</v>
      </c>
      <c r="U175">
        <f>IFERROR(SUM(Table1[[#This Row],[Total day minutes]],Table1[[#This Row],[Total eve minutes]],Table1[[#This Row],[Total night minutes]],Table1[[#This Row],[Total intl minutes]]),0)</f>
        <v>614.5</v>
      </c>
      <c r="V175">
        <f>SUM(Table1[[#This Row],[Total intl charge]],Table1[[#This Row],[Total night charge]],Table1[[#This Row],[Total eve charge]],Table1[[#This Row],[Total day charge]])</f>
        <v>62.53</v>
      </c>
      <c r="W175">
        <f>SUM(Table1[[#This Row],[Total intl calls]],Table1[[#This Row],[Total night calls]],Table1[[#This Row],[Total eve calls]],Table1[[#This Row],[Total day calls]])</f>
        <v>327</v>
      </c>
      <c r="X175" t="str" cm="1">
        <f t="array" ref="X175">_xlfn.IFS(Table1[[#This Row],[Customer service calls]]&gt;=4,"High risk",Table1[[#This Row],[Customer service calls]]&gt;=2,"Medium risk",TRUE,"Low risk")</f>
        <v>Low risk</v>
      </c>
      <c r="Y175" t="str" cm="1">
        <f t="array" ref="Y175">IFERROR(_xlfn.IFS(Table1[[#This Row],[Total usage(Min)]]&gt;=AVERAGE(U:U)*1.1,"High risk",Table1[[#This Row],[Total usage(Min)]]&lt;= AVERAGE(U:U)*0.9,"Low risk",TRUE,"Medium risk"),"N/A")</f>
        <v>Medium risk</v>
      </c>
      <c r="Z175" t="str" cm="1">
        <f t="array" ref="Z175">IFERROR(_xlfn.IFS(Table1[[#This Row],[Total charges]]&gt;=AVERAGE(V:V)*1.1,"High risk",Table1[[#This Row],[Total charges]]&lt;=AVERAGE(V:V)*0.9,"Low risk",TRUE,"Medium risk"),"N/A")</f>
        <v>Medium risk</v>
      </c>
      <c r="AA1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5" t="str" cm="1">
        <f t="array" ref="AC175">_xlfn.IFS(
AND(Table1[[#This Row],[Customer service risk level]]="High risk", Table1[[#This Row],[Intl usage behaviour]]="Unplanned Usage"),"High Risk",
OR(Table1[[#This Row],[Customer service risk level]]="Medium risk", Table1[[#This Row],[Charges risk level]]="High risk "),"Medium Risk",
TRUE,"Low Risk"
)</f>
        <v>Low Risk</v>
      </c>
    </row>
    <row r="176" spans="1:29" x14ac:dyDescent="0.25">
      <c r="A176" t="s">
        <v>51</v>
      </c>
      <c r="B176">
        <v>143</v>
      </c>
      <c r="C176">
        <v>415</v>
      </c>
      <c r="D176" t="s">
        <v>21</v>
      </c>
      <c r="E176" t="s">
        <v>21</v>
      </c>
      <c r="F176">
        <v>0</v>
      </c>
      <c r="G176">
        <v>119.1</v>
      </c>
      <c r="H176">
        <v>117</v>
      </c>
      <c r="I176">
        <v>20.25</v>
      </c>
      <c r="J176">
        <v>287.7</v>
      </c>
      <c r="K176">
        <v>136</v>
      </c>
      <c r="L176">
        <v>24.45</v>
      </c>
      <c r="M176">
        <v>223</v>
      </c>
      <c r="N176">
        <v>100</v>
      </c>
      <c r="O176">
        <v>10.039999999999999</v>
      </c>
      <c r="P176">
        <v>12.2</v>
      </c>
      <c r="Q176">
        <v>4</v>
      </c>
      <c r="R176">
        <v>3.29</v>
      </c>
      <c r="S176">
        <v>0</v>
      </c>
      <c r="T176" t="b">
        <v>0</v>
      </c>
      <c r="U176">
        <f>IFERROR(SUM(Table1[[#This Row],[Total day minutes]],Table1[[#This Row],[Total eve minutes]],Table1[[#This Row],[Total night minutes]],Table1[[#This Row],[Total intl minutes]]),0)</f>
        <v>642</v>
      </c>
      <c r="V176">
        <f>SUM(Table1[[#This Row],[Total intl charge]],Table1[[#This Row],[Total night charge]],Table1[[#This Row],[Total eve charge]],Table1[[#This Row],[Total day charge]])</f>
        <v>58.03</v>
      </c>
      <c r="W176">
        <f>SUM(Table1[[#This Row],[Total intl calls]],Table1[[#This Row],[Total night calls]],Table1[[#This Row],[Total eve calls]],Table1[[#This Row],[Total day calls]])</f>
        <v>357</v>
      </c>
      <c r="X176" t="str" cm="1">
        <f t="array" ref="X176">_xlfn.IFS(Table1[[#This Row],[Customer service calls]]&gt;=4,"High risk",Table1[[#This Row],[Customer service calls]]&gt;=2,"Medium risk",TRUE,"Low risk")</f>
        <v>Low risk</v>
      </c>
      <c r="Y176" t="str" cm="1">
        <f t="array" ref="Y176">IFERROR(_xlfn.IFS(Table1[[#This Row],[Total usage(Min)]]&gt;=AVERAGE(U:U)*1.1,"High risk",Table1[[#This Row],[Total usage(Min)]]&lt;= AVERAGE(U:U)*0.9,"Low risk",TRUE,"Medium risk"),"N/A")</f>
        <v>Medium risk</v>
      </c>
      <c r="Z176" t="str" cm="1">
        <f t="array" ref="Z176">IFERROR(_xlfn.IFS(Table1[[#This Row],[Total charges]]&gt;=AVERAGE(V:V)*1.1,"High risk",Table1[[#This Row],[Total charges]]&lt;=AVERAGE(V:V)*0.9,"Low risk",TRUE,"Medium risk"),"N/A")</f>
        <v>Medium risk</v>
      </c>
      <c r="AA1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6" t="str" cm="1">
        <f t="array" ref="AC176">_xlfn.IFS(
AND(Table1[[#This Row],[Customer service risk level]]="High risk", Table1[[#This Row],[Intl usage behaviour]]="Unplanned Usage"),"High Risk",
OR(Table1[[#This Row],[Customer service risk level]]="Medium risk", Table1[[#This Row],[Charges risk level]]="High risk "),"Medium Risk",
TRUE,"Low Risk"
)</f>
        <v>Low Risk</v>
      </c>
    </row>
    <row r="177" spans="1:29" x14ac:dyDescent="0.25">
      <c r="A177" t="s">
        <v>24</v>
      </c>
      <c r="B177">
        <v>87</v>
      </c>
      <c r="C177">
        <v>408</v>
      </c>
      <c r="D177" t="s">
        <v>21</v>
      </c>
      <c r="E177" t="s">
        <v>21</v>
      </c>
      <c r="F177">
        <v>0</v>
      </c>
      <c r="G177">
        <v>322.5</v>
      </c>
      <c r="H177">
        <v>106</v>
      </c>
      <c r="I177">
        <v>54.83</v>
      </c>
      <c r="J177">
        <v>204.6</v>
      </c>
      <c r="K177">
        <v>93</v>
      </c>
      <c r="L177">
        <v>17.39</v>
      </c>
      <c r="M177">
        <v>186.2</v>
      </c>
      <c r="N177">
        <v>128</v>
      </c>
      <c r="O177">
        <v>8.3800000000000008</v>
      </c>
      <c r="P177">
        <v>9.4</v>
      </c>
      <c r="Q177">
        <v>4</v>
      </c>
      <c r="R177">
        <v>2.54</v>
      </c>
      <c r="S177">
        <v>2</v>
      </c>
      <c r="T177" t="b">
        <v>1</v>
      </c>
      <c r="U177">
        <f>IFERROR(SUM(Table1[[#This Row],[Total day minutes]],Table1[[#This Row],[Total eve minutes]],Table1[[#This Row],[Total night minutes]],Table1[[#This Row],[Total intl minutes]]),0)</f>
        <v>722.69999999999993</v>
      </c>
      <c r="V177">
        <f>SUM(Table1[[#This Row],[Total intl charge]],Table1[[#This Row],[Total night charge]],Table1[[#This Row],[Total eve charge]],Table1[[#This Row],[Total day charge]])</f>
        <v>83.14</v>
      </c>
      <c r="W177">
        <f>SUM(Table1[[#This Row],[Total intl calls]],Table1[[#This Row],[Total night calls]],Table1[[#This Row],[Total eve calls]],Table1[[#This Row],[Total day calls]])</f>
        <v>331</v>
      </c>
      <c r="X177" t="str" cm="1">
        <f t="array" ref="X177">_xlfn.IFS(Table1[[#This Row],[Customer service calls]]&gt;=4,"High risk",Table1[[#This Row],[Customer service calls]]&gt;=2,"Medium risk",TRUE,"Low risk")</f>
        <v>Medium risk</v>
      </c>
      <c r="Y177" t="str" cm="1">
        <f t="array" ref="Y177">IFERROR(_xlfn.IFS(Table1[[#This Row],[Total usage(Min)]]&gt;=AVERAGE(U:U)*1.1,"High risk",Table1[[#This Row],[Total usage(Min)]]&lt;= AVERAGE(U:U)*0.9,"Low risk",TRUE,"Medium risk"),"N/A")</f>
        <v>High risk</v>
      </c>
      <c r="Z177" t="str" cm="1">
        <f t="array" ref="Z177">IFERROR(_xlfn.IFS(Table1[[#This Row],[Total charges]]&gt;=AVERAGE(V:V)*1.1,"High risk",Table1[[#This Row],[Total charges]]&lt;=AVERAGE(V:V)*0.9,"Low risk",TRUE,"Medium risk"),"N/A")</f>
        <v>High risk</v>
      </c>
      <c r="AA1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7" t="str" cm="1">
        <f t="array" ref="AC177">_xlfn.IFS(
AND(Table1[[#This Row],[Customer service risk level]]="High risk", Table1[[#This Row],[Intl usage behaviour]]="Unplanned Usage"),"High Risk",
OR(Table1[[#This Row],[Customer service risk level]]="Medium risk", Table1[[#This Row],[Charges risk level]]="High risk "),"Medium Risk",
TRUE,"Low Risk"
)</f>
        <v>Medium Risk</v>
      </c>
    </row>
    <row r="178" spans="1:29" x14ac:dyDescent="0.25">
      <c r="A178" t="s">
        <v>22</v>
      </c>
      <c r="B178">
        <v>100</v>
      </c>
      <c r="C178">
        <v>510</v>
      </c>
      <c r="D178" t="s">
        <v>21</v>
      </c>
      <c r="E178" t="s">
        <v>21</v>
      </c>
      <c r="F178">
        <v>0</v>
      </c>
      <c r="G178">
        <v>216.2</v>
      </c>
      <c r="H178">
        <v>107</v>
      </c>
      <c r="I178">
        <v>36.75</v>
      </c>
      <c r="J178">
        <v>215.6</v>
      </c>
      <c r="K178">
        <v>84</v>
      </c>
      <c r="L178">
        <v>18.329999999999998</v>
      </c>
      <c r="M178">
        <v>138.4</v>
      </c>
      <c r="N178">
        <v>127</v>
      </c>
      <c r="O178">
        <v>6.23</v>
      </c>
      <c r="P178">
        <v>10.199999999999999</v>
      </c>
      <c r="Q178">
        <v>3</v>
      </c>
      <c r="R178">
        <v>2.75</v>
      </c>
      <c r="S178">
        <v>0</v>
      </c>
      <c r="T178" t="b">
        <v>0</v>
      </c>
      <c r="U178">
        <f>IFERROR(SUM(Table1[[#This Row],[Total day minutes]],Table1[[#This Row],[Total eve minutes]],Table1[[#This Row],[Total night minutes]],Table1[[#This Row],[Total intl minutes]]),0)</f>
        <v>580.4</v>
      </c>
      <c r="V178">
        <f>SUM(Table1[[#This Row],[Total intl charge]],Table1[[#This Row],[Total night charge]],Table1[[#This Row],[Total eve charge]],Table1[[#This Row],[Total day charge]])</f>
        <v>64.06</v>
      </c>
      <c r="W178">
        <f>SUM(Table1[[#This Row],[Total intl calls]],Table1[[#This Row],[Total night calls]],Table1[[#This Row],[Total eve calls]],Table1[[#This Row],[Total day calls]])</f>
        <v>321</v>
      </c>
      <c r="X178" t="str" cm="1">
        <f t="array" ref="X178">_xlfn.IFS(Table1[[#This Row],[Customer service calls]]&gt;=4,"High risk",Table1[[#This Row],[Customer service calls]]&gt;=2,"Medium risk",TRUE,"Low risk")</f>
        <v>Low risk</v>
      </c>
      <c r="Y178" t="str" cm="1">
        <f t="array" ref="Y178">IFERROR(_xlfn.IFS(Table1[[#This Row],[Total usage(Min)]]&gt;=AVERAGE(U:U)*1.1,"High risk",Table1[[#This Row],[Total usage(Min)]]&lt;= AVERAGE(U:U)*0.9,"Low risk",TRUE,"Medium risk"),"N/A")</f>
        <v>Medium risk</v>
      </c>
      <c r="Z178" t="str" cm="1">
        <f t="array" ref="Z178">IFERROR(_xlfn.IFS(Table1[[#This Row],[Total charges]]&gt;=AVERAGE(V:V)*1.1,"High risk",Table1[[#This Row],[Total charges]]&lt;=AVERAGE(V:V)*0.9,"Low risk",TRUE,"Medium risk"),"N/A")</f>
        <v>Medium risk</v>
      </c>
      <c r="AA1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78" t="str" cm="1">
        <f t="array" ref="AC178">_xlfn.IFS(
AND(Table1[[#This Row],[Customer service risk level]]="High risk", Table1[[#This Row],[Intl usage behaviour]]="Unplanned Usage"),"High Risk",
OR(Table1[[#This Row],[Customer service risk level]]="Medium risk", Table1[[#This Row],[Charges risk level]]="High risk "),"Medium Risk",
TRUE,"Low Risk"
)</f>
        <v>Low Risk</v>
      </c>
    </row>
    <row r="179" spans="1:29" x14ac:dyDescent="0.25">
      <c r="A179" t="s">
        <v>51</v>
      </c>
      <c r="B179">
        <v>144</v>
      </c>
      <c r="C179">
        <v>415</v>
      </c>
      <c r="D179" t="s">
        <v>21</v>
      </c>
      <c r="E179" t="s">
        <v>27</v>
      </c>
      <c r="F179">
        <v>51</v>
      </c>
      <c r="G179">
        <v>283.89999999999998</v>
      </c>
      <c r="H179">
        <v>98</v>
      </c>
      <c r="I179">
        <v>48.26</v>
      </c>
      <c r="J179">
        <v>192</v>
      </c>
      <c r="K179">
        <v>109</v>
      </c>
      <c r="L179">
        <v>16.32</v>
      </c>
      <c r="M179">
        <v>196.3</v>
      </c>
      <c r="N179">
        <v>85</v>
      </c>
      <c r="O179">
        <v>8.83</v>
      </c>
      <c r="P179">
        <v>10</v>
      </c>
      <c r="Q179">
        <v>4</v>
      </c>
      <c r="R179">
        <v>2.7</v>
      </c>
      <c r="S179">
        <v>1</v>
      </c>
      <c r="T179" t="b">
        <v>0</v>
      </c>
      <c r="U179">
        <f>IFERROR(SUM(Table1[[#This Row],[Total day minutes]],Table1[[#This Row],[Total eve minutes]],Table1[[#This Row],[Total night minutes]],Table1[[#This Row],[Total intl minutes]]),0)</f>
        <v>682.2</v>
      </c>
      <c r="V179">
        <f>SUM(Table1[[#This Row],[Total intl charge]],Table1[[#This Row],[Total night charge]],Table1[[#This Row],[Total eve charge]],Table1[[#This Row],[Total day charge]])</f>
        <v>76.11</v>
      </c>
      <c r="W179">
        <f>SUM(Table1[[#This Row],[Total intl calls]],Table1[[#This Row],[Total night calls]],Table1[[#This Row],[Total eve calls]],Table1[[#This Row],[Total day calls]])</f>
        <v>296</v>
      </c>
      <c r="X179" t="str" cm="1">
        <f t="array" ref="X179">_xlfn.IFS(Table1[[#This Row],[Customer service calls]]&gt;=4,"High risk",Table1[[#This Row],[Customer service calls]]&gt;=2,"Medium risk",TRUE,"Low risk")</f>
        <v>Low risk</v>
      </c>
      <c r="Y179" t="str" cm="1">
        <f t="array" ref="Y179">IFERROR(_xlfn.IFS(Table1[[#This Row],[Total usage(Min)]]&gt;=AVERAGE(U:U)*1.1,"High risk",Table1[[#This Row],[Total usage(Min)]]&lt;= AVERAGE(U:U)*0.9,"Low risk",TRUE,"Medium risk"),"N/A")</f>
        <v>High risk</v>
      </c>
      <c r="Z179" t="str" cm="1">
        <f t="array" ref="Z179">IFERROR(_xlfn.IFS(Table1[[#This Row],[Total charges]]&gt;=AVERAGE(V:V)*1.1,"High risk",Table1[[#This Row],[Total charges]]&lt;=AVERAGE(V:V)*0.9,"Low risk",TRUE,"Medium risk"),"N/A")</f>
        <v>High risk</v>
      </c>
      <c r="AA1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7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79" t="str" cm="1">
        <f t="array" ref="AC179">_xlfn.IFS(
AND(Table1[[#This Row],[Customer service risk level]]="High risk", Table1[[#This Row],[Intl usage behaviour]]="Unplanned Usage"),"High Risk",
OR(Table1[[#This Row],[Customer service risk level]]="Medium risk", Table1[[#This Row],[Charges risk level]]="High risk "),"Medium Risk",
TRUE,"Low Risk"
)</f>
        <v>Low Risk</v>
      </c>
    </row>
    <row r="180" spans="1:29" x14ac:dyDescent="0.25">
      <c r="A180" t="s">
        <v>68</v>
      </c>
      <c r="B180">
        <v>70</v>
      </c>
      <c r="C180">
        <v>415</v>
      </c>
      <c r="D180" t="s">
        <v>21</v>
      </c>
      <c r="E180" t="s">
        <v>27</v>
      </c>
      <c r="F180">
        <v>31</v>
      </c>
      <c r="G180">
        <v>125.9</v>
      </c>
      <c r="H180">
        <v>101</v>
      </c>
      <c r="I180">
        <v>21.4</v>
      </c>
      <c r="J180">
        <v>196.4</v>
      </c>
      <c r="K180">
        <v>102</v>
      </c>
      <c r="L180">
        <v>16.690000000000001</v>
      </c>
      <c r="M180">
        <v>252.7</v>
      </c>
      <c r="N180">
        <v>75</v>
      </c>
      <c r="O180">
        <v>11.37</v>
      </c>
      <c r="P180">
        <v>10.3</v>
      </c>
      <c r="Q180">
        <v>4</v>
      </c>
      <c r="R180">
        <v>2.78</v>
      </c>
      <c r="S180">
        <v>1</v>
      </c>
      <c r="T180" t="b">
        <v>0</v>
      </c>
      <c r="U180">
        <f>IFERROR(SUM(Table1[[#This Row],[Total day minutes]],Table1[[#This Row],[Total eve minutes]],Table1[[#This Row],[Total night minutes]],Table1[[#This Row],[Total intl minutes]]),0)</f>
        <v>585.29999999999995</v>
      </c>
      <c r="V180">
        <f>SUM(Table1[[#This Row],[Total intl charge]],Table1[[#This Row],[Total night charge]],Table1[[#This Row],[Total eve charge]],Table1[[#This Row],[Total day charge]])</f>
        <v>52.239999999999995</v>
      </c>
      <c r="W180">
        <f>SUM(Table1[[#This Row],[Total intl calls]],Table1[[#This Row],[Total night calls]],Table1[[#This Row],[Total eve calls]],Table1[[#This Row],[Total day calls]])</f>
        <v>282</v>
      </c>
      <c r="X180" t="str" cm="1">
        <f t="array" ref="X180">_xlfn.IFS(Table1[[#This Row],[Customer service calls]]&gt;=4,"High risk",Table1[[#This Row],[Customer service calls]]&gt;=2,"Medium risk",TRUE,"Low risk")</f>
        <v>Low risk</v>
      </c>
      <c r="Y180" t="str" cm="1">
        <f t="array" ref="Y180">IFERROR(_xlfn.IFS(Table1[[#This Row],[Total usage(Min)]]&gt;=AVERAGE(U:U)*1.1,"High risk",Table1[[#This Row],[Total usage(Min)]]&lt;= AVERAGE(U:U)*0.9,"Low risk",TRUE,"Medium risk"),"N/A")</f>
        <v>Medium risk</v>
      </c>
      <c r="Z180" t="str" cm="1">
        <f t="array" ref="Z180">IFERROR(_xlfn.IFS(Table1[[#This Row],[Total charges]]&gt;=AVERAGE(V:V)*1.1,"High risk",Table1[[#This Row],[Total charges]]&lt;=AVERAGE(V:V)*0.9,"Low risk",TRUE,"Medium risk"),"N/A")</f>
        <v>Low risk</v>
      </c>
      <c r="AA1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80" t="str" cm="1">
        <f t="array" ref="AC180">_xlfn.IFS(
AND(Table1[[#This Row],[Customer service risk level]]="High risk", Table1[[#This Row],[Intl usage behaviour]]="Unplanned Usage"),"High Risk",
OR(Table1[[#This Row],[Customer service risk level]]="Medium risk", Table1[[#This Row],[Charges risk level]]="High risk "),"Medium Risk",
TRUE,"Low Risk"
)</f>
        <v>Low Risk</v>
      </c>
    </row>
    <row r="181" spans="1:29" x14ac:dyDescent="0.25">
      <c r="A181" t="s">
        <v>35</v>
      </c>
      <c r="B181">
        <v>136</v>
      </c>
      <c r="C181">
        <v>408</v>
      </c>
      <c r="D181" t="s">
        <v>27</v>
      </c>
      <c r="E181" t="s">
        <v>21</v>
      </c>
      <c r="F181">
        <v>0</v>
      </c>
      <c r="G181">
        <v>199.6</v>
      </c>
      <c r="H181">
        <v>89</v>
      </c>
      <c r="I181">
        <v>33.93</v>
      </c>
      <c r="J181">
        <v>211.4</v>
      </c>
      <c r="K181">
        <v>96</v>
      </c>
      <c r="L181">
        <v>17.97</v>
      </c>
      <c r="M181">
        <v>72.400000000000006</v>
      </c>
      <c r="N181">
        <v>84</v>
      </c>
      <c r="O181">
        <v>3.26</v>
      </c>
      <c r="P181">
        <v>11</v>
      </c>
      <c r="Q181">
        <v>4</v>
      </c>
      <c r="R181">
        <v>2.97</v>
      </c>
      <c r="S181">
        <v>3</v>
      </c>
      <c r="T181" t="b">
        <v>1</v>
      </c>
      <c r="U181">
        <f>IFERROR(SUM(Table1[[#This Row],[Total day minutes]],Table1[[#This Row],[Total eve minutes]],Table1[[#This Row],[Total night minutes]],Table1[[#This Row],[Total intl minutes]]),0)</f>
        <v>494.4</v>
      </c>
      <c r="V181">
        <f>SUM(Table1[[#This Row],[Total intl charge]],Table1[[#This Row],[Total night charge]],Table1[[#This Row],[Total eve charge]],Table1[[#This Row],[Total day charge]])</f>
        <v>58.129999999999995</v>
      </c>
      <c r="W181">
        <f>SUM(Table1[[#This Row],[Total intl calls]],Table1[[#This Row],[Total night calls]],Table1[[#This Row],[Total eve calls]],Table1[[#This Row],[Total day calls]])</f>
        <v>273</v>
      </c>
      <c r="X181" t="str" cm="1">
        <f t="array" ref="X181">_xlfn.IFS(Table1[[#This Row],[Customer service calls]]&gt;=4,"High risk",Table1[[#This Row],[Customer service calls]]&gt;=2,"Medium risk",TRUE,"Low risk")</f>
        <v>Medium risk</v>
      </c>
      <c r="Y181" t="str" cm="1">
        <f t="array" ref="Y181">IFERROR(_xlfn.IFS(Table1[[#This Row],[Total usage(Min)]]&gt;=AVERAGE(U:U)*1.1,"High risk",Table1[[#This Row],[Total usage(Min)]]&lt;= AVERAGE(U:U)*0.9,"Low risk",TRUE,"Medium risk"),"N/A")</f>
        <v>Low risk</v>
      </c>
      <c r="Z181" t="str" cm="1">
        <f t="array" ref="Z181">IFERROR(_xlfn.IFS(Table1[[#This Row],[Total charges]]&gt;=AVERAGE(V:V)*1.1,"High risk",Table1[[#This Row],[Total charges]]&lt;=AVERAGE(V:V)*0.9,"Low risk",TRUE,"Medium risk"),"N/A")</f>
        <v>Medium risk</v>
      </c>
      <c r="AA1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8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1" t="str" cm="1">
        <f t="array" ref="AC181">_xlfn.IFS(
AND(Table1[[#This Row],[Customer service risk level]]="High risk", Table1[[#This Row],[Intl usage behaviour]]="Unplanned Usage"),"High Risk",
OR(Table1[[#This Row],[Customer service risk level]]="Medium risk", Table1[[#This Row],[Charges risk level]]="High risk "),"Medium Risk",
TRUE,"Low Risk"
)</f>
        <v>Medium Risk</v>
      </c>
    </row>
    <row r="182" spans="1:29" x14ac:dyDescent="0.25">
      <c r="A182" t="s">
        <v>43</v>
      </c>
      <c r="B182">
        <v>120</v>
      </c>
      <c r="C182">
        <v>415</v>
      </c>
      <c r="D182" t="s">
        <v>21</v>
      </c>
      <c r="E182" t="s">
        <v>27</v>
      </c>
      <c r="F182">
        <v>24</v>
      </c>
      <c r="G182">
        <v>212.7</v>
      </c>
      <c r="H182">
        <v>73</v>
      </c>
      <c r="I182">
        <v>36.159999999999997</v>
      </c>
      <c r="J182">
        <v>257.5</v>
      </c>
      <c r="K182">
        <v>103</v>
      </c>
      <c r="L182">
        <v>21.89</v>
      </c>
      <c r="M182">
        <v>227.8</v>
      </c>
      <c r="N182">
        <v>119</v>
      </c>
      <c r="O182">
        <v>10.25</v>
      </c>
      <c r="P182">
        <v>9.6999999999999993</v>
      </c>
      <c r="Q182">
        <v>13</v>
      </c>
      <c r="R182">
        <v>2.62</v>
      </c>
      <c r="S182">
        <v>2</v>
      </c>
      <c r="T182" t="b">
        <v>0</v>
      </c>
      <c r="U182">
        <f>IFERROR(SUM(Table1[[#This Row],[Total day minutes]],Table1[[#This Row],[Total eve minutes]],Table1[[#This Row],[Total night minutes]],Table1[[#This Row],[Total intl minutes]]),0)</f>
        <v>707.7</v>
      </c>
      <c r="V182">
        <f>SUM(Table1[[#This Row],[Total intl charge]],Table1[[#This Row],[Total night charge]],Table1[[#This Row],[Total eve charge]],Table1[[#This Row],[Total day charge]])</f>
        <v>70.92</v>
      </c>
      <c r="W182">
        <f>SUM(Table1[[#This Row],[Total intl calls]],Table1[[#This Row],[Total night calls]],Table1[[#This Row],[Total eve calls]],Table1[[#This Row],[Total day calls]])</f>
        <v>308</v>
      </c>
      <c r="X182" t="str" cm="1">
        <f t="array" ref="X182">_xlfn.IFS(Table1[[#This Row],[Customer service calls]]&gt;=4,"High risk",Table1[[#This Row],[Customer service calls]]&gt;=2,"Medium risk",TRUE,"Low risk")</f>
        <v>Medium risk</v>
      </c>
      <c r="Y182" t="str" cm="1">
        <f t="array" ref="Y182">IFERROR(_xlfn.IFS(Table1[[#This Row],[Total usage(Min)]]&gt;=AVERAGE(U:U)*1.1,"High risk",Table1[[#This Row],[Total usage(Min)]]&lt;= AVERAGE(U:U)*0.9,"Low risk",TRUE,"Medium risk"),"N/A")</f>
        <v>High risk</v>
      </c>
      <c r="Z182" t="str" cm="1">
        <f t="array" ref="Z182">IFERROR(_xlfn.IFS(Table1[[#This Row],[Total charges]]&gt;=AVERAGE(V:V)*1.1,"High risk",Table1[[#This Row],[Total charges]]&lt;=AVERAGE(V:V)*0.9,"Low risk",TRUE,"Medium risk"),"N/A")</f>
        <v>High risk</v>
      </c>
      <c r="AA1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82" t="str" cm="1">
        <f t="array" ref="AC182">_xlfn.IFS(
AND(Table1[[#This Row],[Customer service risk level]]="High risk", Table1[[#This Row],[Intl usage behaviour]]="Unplanned Usage"),"High Risk",
OR(Table1[[#This Row],[Customer service risk level]]="Medium risk", Table1[[#This Row],[Charges risk level]]="High risk "),"Medium Risk",
TRUE,"Low Risk"
)</f>
        <v>Medium Risk</v>
      </c>
    </row>
    <row r="183" spans="1:29" x14ac:dyDescent="0.25">
      <c r="A183" t="s">
        <v>50</v>
      </c>
      <c r="B183">
        <v>104</v>
      </c>
      <c r="C183">
        <v>408</v>
      </c>
      <c r="D183" t="s">
        <v>21</v>
      </c>
      <c r="E183" t="s">
        <v>21</v>
      </c>
      <c r="F183">
        <v>0</v>
      </c>
      <c r="G183">
        <v>183.6</v>
      </c>
      <c r="H183">
        <v>133</v>
      </c>
      <c r="I183">
        <v>31.21</v>
      </c>
      <c r="J183">
        <v>120.7</v>
      </c>
      <c r="K183">
        <v>98</v>
      </c>
      <c r="L183">
        <v>10.26</v>
      </c>
      <c r="M183">
        <v>215.1</v>
      </c>
      <c r="N183">
        <v>112</v>
      </c>
      <c r="O183">
        <v>9.68</v>
      </c>
      <c r="P183">
        <v>12.7</v>
      </c>
      <c r="Q183">
        <v>2</v>
      </c>
      <c r="R183">
        <v>3.43</v>
      </c>
      <c r="S183">
        <v>1</v>
      </c>
      <c r="T183" t="b">
        <v>0</v>
      </c>
      <c r="U183">
        <f>IFERROR(SUM(Table1[[#This Row],[Total day minutes]],Table1[[#This Row],[Total eve minutes]],Table1[[#This Row],[Total night minutes]],Table1[[#This Row],[Total intl minutes]]),0)</f>
        <v>532.1</v>
      </c>
      <c r="V183">
        <f>SUM(Table1[[#This Row],[Total intl charge]],Table1[[#This Row],[Total night charge]],Table1[[#This Row],[Total eve charge]],Table1[[#This Row],[Total day charge]])</f>
        <v>54.58</v>
      </c>
      <c r="W183">
        <f>SUM(Table1[[#This Row],[Total intl calls]],Table1[[#This Row],[Total night calls]],Table1[[#This Row],[Total eve calls]],Table1[[#This Row],[Total day calls]])</f>
        <v>345</v>
      </c>
      <c r="X183" t="str" cm="1">
        <f t="array" ref="X183">_xlfn.IFS(Table1[[#This Row],[Customer service calls]]&gt;=4,"High risk",Table1[[#This Row],[Customer service calls]]&gt;=2,"Medium risk",TRUE,"Low risk")</f>
        <v>Low risk</v>
      </c>
      <c r="Y183" t="str" cm="1">
        <f t="array" ref="Y183">IFERROR(_xlfn.IFS(Table1[[#This Row],[Total usage(Min)]]&gt;=AVERAGE(U:U)*1.1,"High risk",Table1[[#This Row],[Total usage(Min)]]&lt;= AVERAGE(U:U)*0.9,"Low risk",TRUE,"Medium risk"),"N/A")</f>
        <v>Low risk</v>
      </c>
      <c r="Z183" t="str" cm="1">
        <f t="array" ref="Z183">IFERROR(_xlfn.IFS(Table1[[#This Row],[Total charges]]&gt;=AVERAGE(V:V)*1.1,"High risk",Table1[[#This Row],[Total charges]]&lt;=AVERAGE(V:V)*0.9,"Low risk",TRUE,"Medium risk"),"N/A")</f>
        <v>Medium risk</v>
      </c>
      <c r="AA1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3" t="str" cm="1">
        <f t="array" ref="AC183">_xlfn.IFS(
AND(Table1[[#This Row],[Customer service risk level]]="High risk", Table1[[#This Row],[Intl usage behaviour]]="Unplanned Usage"),"High Risk",
OR(Table1[[#This Row],[Customer service risk level]]="Medium risk", Table1[[#This Row],[Charges risk level]]="High risk "),"Medium Risk",
TRUE,"Low Risk"
)</f>
        <v>Low Risk</v>
      </c>
    </row>
    <row r="184" spans="1:29" x14ac:dyDescent="0.25">
      <c r="A184" t="s">
        <v>39</v>
      </c>
      <c r="B184">
        <v>75</v>
      </c>
      <c r="C184">
        <v>510</v>
      </c>
      <c r="D184" t="s">
        <v>21</v>
      </c>
      <c r="E184" t="s">
        <v>27</v>
      </c>
      <c r="F184">
        <v>38</v>
      </c>
      <c r="G184">
        <v>163.6</v>
      </c>
      <c r="H184">
        <v>132</v>
      </c>
      <c r="I184">
        <v>27.81</v>
      </c>
      <c r="J184">
        <v>146.69999999999999</v>
      </c>
      <c r="K184">
        <v>113</v>
      </c>
      <c r="L184">
        <v>12.47</v>
      </c>
      <c r="M184">
        <v>345.8</v>
      </c>
      <c r="N184">
        <v>115</v>
      </c>
      <c r="O184">
        <v>15.56</v>
      </c>
      <c r="P184">
        <v>13.1</v>
      </c>
      <c r="Q184">
        <v>3</v>
      </c>
      <c r="R184">
        <v>3.54</v>
      </c>
      <c r="S184">
        <v>3</v>
      </c>
      <c r="T184" t="b">
        <v>0</v>
      </c>
      <c r="U184">
        <f>IFERROR(SUM(Table1[[#This Row],[Total day minutes]],Table1[[#This Row],[Total eve minutes]],Table1[[#This Row],[Total night minutes]],Table1[[#This Row],[Total intl minutes]]),0)</f>
        <v>669.19999999999993</v>
      </c>
      <c r="V184">
        <f>SUM(Table1[[#This Row],[Total intl charge]],Table1[[#This Row],[Total night charge]],Table1[[#This Row],[Total eve charge]],Table1[[#This Row],[Total day charge]])</f>
        <v>59.379999999999995</v>
      </c>
      <c r="W184">
        <f>SUM(Table1[[#This Row],[Total intl calls]],Table1[[#This Row],[Total night calls]],Table1[[#This Row],[Total eve calls]],Table1[[#This Row],[Total day calls]])</f>
        <v>363</v>
      </c>
      <c r="X184" t="str" cm="1">
        <f t="array" ref="X184">_xlfn.IFS(Table1[[#This Row],[Customer service calls]]&gt;=4,"High risk",Table1[[#This Row],[Customer service calls]]&gt;=2,"Medium risk",TRUE,"Low risk")</f>
        <v>Medium risk</v>
      </c>
      <c r="Y184" t="str" cm="1">
        <f t="array" ref="Y184">IFERROR(_xlfn.IFS(Table1[[#This Row],[Total usage(Min)]]&gt;=AVERAGE(U:U)*1.1,"High risk",Table1[[#This Row],[Total usage(Min)]]&lt;= AVERAGE(U:U)*0.9,"Low risk",TRUE,"Medium risk"),"N/A")</f>
        <v>High risk</v>
      </c>
      <c r="Z184" t="str" cm="1">
        <f t="array" ref="Z184">IFERROR(_xlfn.IFS(Table1[[#This Row],[Total charges]]&gt;=AVERAGE(V:V)*1.1,"High risk",Table1[[#This Row],[Total charges]]&lt;=AVERAGE(V:V)*0.9,"Low risk",TRUE,"Medium risk"),"N/A")</f>
        <v>Medium risk</v>
      </c>
      <c r="AA1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84" t="str" cm="1">
        <f t="array" ref="AC184">_xlfn.IFS(
AND(Table1[[#This Row],[Customer service risk level]]="High risk", Table1[[#This Row],[Intl usage behaviour]]="Unplanned Usage"),"High Risk",
OR(Table1[[#This Row],[Customer service risk level]]="Medium risk", Table1[[#This Row],[Charges risk level]]="High risk "),"Medium Risk",
TRUE,"Low Risk"
)</f>
        <v>Medium Risk</v>
      </c>
    </row>
    <row r="185" spans="1:29" x14ac:dyDescent="0.25">
      <c r="A185" t="s">
        <v>41</v>
      </c>
      <c r="B185">
        <v>127</v>
      </c>
      <c r="C185">
        <v>510</v>
      </c>
      <c r="D185" t="s">
        <v>27</v>
      </c>
      <c r="E185" t="s">
        <v>21</v>
      </c>
      <c r="F185">
        <v>0</v>
      </c>
      <c r="G185">
        <v>180.9</v>
      </c>
      <c r="H185">
        <v>114</v>
      </c>
      <c r="I185">
        <v>30.75</v>
      </c>
      <c r="J185">
        <v>209.5</v>
      </c>
      <c r="K185">
        <v>118</v>
      </c>
      <c r="L185">
        <v>17.809999999999999</v>
      </c>
      <c r="M185">
        <v>249.9</v>
      </c>
      <c r="N185">
        <v>105</v>
      </c>
      <c r="O185">
        <v>11.25</v>
      </c>
      <c r="P185">
        <v>7.4</v>
      </c>
      <c r="Q185">
        <v>4</v>
      </c>
      <c r="R185">
        <v>2</v>
      </c>
      <c r="S185">
        <v>2</v>
      </c>
      <c r="T185" t="b">
        <v>0</v>
      </c>
      <c r="U185">
        <f>IFERROR(SUM(Table1[[#This Row],[Total day minutes]],Table1[[#This Row],[Total eve minutes]],Table1[[#This Row],[Total night minutes]],Table1[[#This Row],[Total intl minutes]]),0)</f>
        <v>647.69999999999993</v>
      </c>
      <c r="V185">
        <f>SUM(Table1[[#This Row],[Total intl charge]],Table1[[#This Row],[Total night charge]],Table1[[#This Row],[Total eve charge]],Table1[[#This Row],[Total day charge]])</f>
        <v>61.81</v>
      </c>
      <c r="W185">
        <f>SUM(Table1[[#This Row],[Total intl calls]],Table1[[#This Row],[Total night calls]],Table1[[#This Row],[Total eve calls]],Table1[[#This Row],[Total day calls]])</f>
        <v>341</v>
      </c>
      <c r="X185" t="str" cm="1">
        <f t="array" ref="X185">_xlfn.IFS(Table1[[#This Row],[Customer service calls]]&gt;=4,"High risk",Table1[[#This Row],[Customer service calls]]&gt;=2,"Medium risk",TRUE,"Low risk")</f>
        <v>Medium risk</v>
      </c>
      <c r="Y185" t="str" cm="1">
        <f t="array" ref="Y185">IFERROR(_xlfn.IFS(Table1[[#This Row],[Total usage(Min)]]&gt;=AVERAGE(U:U)*1.1,"High risk",Table1[[#This Row],[Total usage(Min)]]&lt;= AVERAGE(U:U)*0.9,"Low risk",TRUE,"Medium risk"),"N/A")</f>
        <v>Medium risk</v>
      </c>
      <c r="Z185" t="str" cm="1">
        <f t="array" ref="Z185">IFERROR(_xlfn.IFS(Table1[[#This Row],[Total charges]]&gt;=AVERAGE(V:V)*1.1,"High risk",Table1[[#This Row],[Total charges]]&lt;=AVERAGE(V:V)*0.9,"Low risk",TRUE,"Medium risk"),"N/A")</f>
        <v>Medium risk</v>
      </c>
      <c r="AA1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8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5" t="str" cm="1">
        <f t="array" ref="AC185">_xlfn.IFS(
AND(Table1[[#This Row],[Customer service risk level]]="High risk", Table1[[#This Row],[Intl usage behaviour]]="Unplanned Usage"),"High Risk",
OR(Table1[[#This Row],[Customer service risk level]]="Medium risk", Table1[[#This Row],[Charges risk level]]="High risk "),"Medium Risk",
TRUE,"Low Risk"
)</f>
        <v>Medium Risk</v>
      </c>
    </row>
    <row r="186" spans="1:29" x14ac:dyDescent="0.25">
      <c r="A186" t="s">
        <v>29</v>
      </c>
      <c r="B186">
        <v>122</v>
      </c>
      <c r="C186">
        <v>510</v>
      </c>
      <c r="D186" t="s">
        <v>21</v>
      </c>
      <c r="E186" t="s">
        <v>27</v>
      </c>
      <c r="F186">
        <v>33</v>
      </c>
      <c r="G186">
        <v>270.8</v>
      </c>
      <c r="H186">
        <v>96</v>
      </c>
      <c r="I186">
        <v>46.04</v>
      </c>
      <c r="J186">
        <v>220.4</v>
      </c>
      <c r="K186">
        <v>110</v>
      </c>
      <c r="L186">
        <v>18.73</v>
      </c>
      <c r="M186">
        <v>169.9</v>
      </c>
      <c r="N186">
        <v>104</v>
      </c>
      <c r="O186">
        <v>7.65</v>
      </c>
      <c r="P186">
        <v>11.8</v>
      </c>
      <c r="Q186">
        <v>8</v>
      </c>
      <c r="R186">
        <v>3.19</v>
      </c>
      <c r="S186">
        <v>4</v>
      </c>
      <c r="T186" t="b">
        <v>0</v>
      </c>
      <c r="U186">
        <f>IFERROR(SUM(Table1[[#This Row],[Total day minutes]],Table1[[#This Row],[Total eve minutes]],Table1[[#This Row],[Total night minutes]],Table1[[#This Row],[Total intl minutes]]),0)</f>
        <v>672.9</v>
      </c>
      <c r="V186">
        <f>SUM(Table1[[#This Row],[Total intl charge]],Table1[[#This Row],[Total night charge]],Table1[[#This Row],[Total eve charge]],Table1[[#This Row],[Total day charge]])</f>
        <v>75.61</v>
      </c>
      <c r="W186">
        <f>SUM(Table1[[#This Row],[Total intl calls]],Table1[[#This Row],[Total night calls]],Table1[[#This Row],[Total eve calls]],Table1[[#This Row],[Total day calls]])</f>
        <v>318</v>
      </c>
      <c r="X186" t="str" cm="1">
        <f t="array" ref="X186">_xlfn.IFS(Table1[[#This Row],[Customer service calls]]&gt;=4,"High risk",Table1[[#This Row],[Customer service calls]]&gt;=2,"Medium risk",TRUE,"Low risk")</f>
        <v>High risk</v>
      </c>
      <c r="Y186" t="str" cm="1">
        <f t="array" ref="Y186">IFERROR(_xlfn.IFS(Table1[[#This Row],[Total usage(Min)]]&gt;=AVERAGE(U:U)*1.1,"High risk",Table1[[#This Row],[Total usage(Min)]]&lt;= AVERAGE(U:U)*0.9,"Low risk",TRUE,"Medium risk"),"N/A")</f>
        <v>High risk</v>
      </c>
      <c r="Z186" t="str" cm="1">
        <f t="array" ref="Z186">IFERROR(_xlfn.IFS(Table1[[#This Row],[Total charges]]&gt;=AVERAGE(V:V)*1.1,"High risk",Table1[[#This Row],[Total charges]]&lt;=AVERAGE(V:V)*0.9,"Low risk",TRUE,"Medium risk"),"N/A")</f>
        <v>High risk</v>
      </c>
      <c r="AA1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86" t="str" cm="1">
        <f t="array" ref="AC186">_xlfn.IFS(
AND(Table1[[#This Row],[Customer service risk level]]="High risk", Table1[[#This Row],[Intl usage behaviour]]="Unplanned Usage"),"High Risk",
OR(Table1[[#This Row],[Customer service risk level]]="Medium risk", Table1[[#This Row],[Charges risk level]]="High risk "),"Medium Risk",
TRUE,"Low Risk"
)</f>
        <v>High Risk</v>
      </c>
    </row>
    <row r="187" spans="1:29" x14ac:dyDescent="0.25">
      <c r="A187" t="s">
        <v>33</v>
      </c>
      <c r="B187">
        <v>124</v>
      </c>
      <c r="C187">
        <v>415</v>
      </c>
      <c r="D187" t="s">
        <v>21</v>
      </c>
      <c r="E187" t="s">
        <v>21</v>
      </c>
      <c r="F187">
        <v>0</v>
      </c>
      <c r="G187">
        <v>178.4</v>
      </c>
      <c r="H187">
        <v>72</v>
      </c>
      <c r="I187">
        <v>30.33</v>
      </c>
      <c r="J187">
        <v>233.6</v>
      </c>
      <c r="K187">
        <v>134</v>
      </c>
      <c r="L187">
        <v>19.86</v>
      </c>
      <c r="M187">
        <v>179.4</v>
      </c>
      <c r="N187">
        <v>91</v>
      </c>
      <c r="O187">
        <v>8.07</v>
      </c>
      <c r="P187">
        <v>12</v>
      </c>
      <c r="Q187">
        <v>2</v>
      </c>
      <c r="R187">
        <v>3.24</v>
      </c>
      <c r="S187">
        <v>0</v>
      </c>
      <c r="T187" t="b">
        <v>0</v>
      </c>
      <c r="U187">
        <f>IFERROR(SUM(Table1[[#This Row],[Total day minutes]],Table1[[#This Row],[Total eve minutes]],Table1[[#This Row],[Total night minutes]],Table1[[#This Row],[Total intl minutes]]),0)</f>
        <v>603.4</v>
      </c>
      <c r="V187">
        <f>SUM(Table1[[#This Row],[Total intl charge]],Table1[[#This Row],[Total night charge]],Table1[[#This Row],[Total eve charge]],Table1[[#This Row],[Total day charge]])</f>
        <v>61.5</v>
      </c>
      <c r="W187">
        <f>SUM(Table1[[#This Row],[Total intl calls]],Table1[[#This Row],[Total night calls]],Table1[[#This Row],[Total eve calls]],Table1[[#This Row],[Total day calls]])</f>
        <v>299</v>
      </c>
      <c r="X187" t="str" cm="1">
        <f t="array" ref="X187">_xlfn.IFS(Table1[[#This Row],[Customer service calls]]&gt;=4,"High risk",Table1[[#This Row],[Customer service calls]]&gt;=2,"Medium risk",TRUE,"Low risk")</f>
        <v>Low risk</v>
      </c>
      <c r="Y187" t="str" cm="1">
        <f t="array" ref="Y187">IFERROR(_xlfn.IFS(Table1[[#This Row],[Total usage(Min)]]&gt;=AVERAGE(U:U)*1.1,"High risk",Table1[[#This Row],[Total usage(Min)]]&lt;= AVERAGE(U:U)*0.9,"Low risk",TRUE,"Medium risk"),"N/A")</f>
        <v>Medium risk</v>
      </c>
      <c r="Z187" t="str" cm="1">
        <f t="array" ref="Z187">IFERROR(_xlfn.IFS(Table1[[#This Row],[Total charges]]&gt;=AVERAGE(V:V)*1.1,"High risk",Table1[[#This Row],[Total charges]]&lt;=AVERAGE(V:V)*0.9,"Low risk",TRUE,"Medium risk"),"N/A")</f>
        <v>Medium risk</v>
      </c>
      <c r="AA1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7" t="str" cm="1">
        <f t="array" ref="AC187">_xlfn.IFS(
AND(Table1[[#This Row],[Customer service risk level]]="High risk", Table1[[#This Row],[Intl usage behaviour]]="Unplanned Usage"),"High Risk",
OR(Table1[[#This Row],[Customer service risk level]]="Medium risk", Table1[[#This Row],[Charges risk level]]="High risk "),"Medium Risk",
TRUE,"Low Risk"
)</f>
        <v>Low Risk</v>
      </c>
    </row>
    <row r="188" spans="1:29" x14ac:dyDescent="0.25">
      <c r="A188" t="s">
        <v>43</v>
      </c>
      <c r="B188">
        <v>167</v>
      </c>
      <c r="C188">
        <v>415</v>
      </c>
      <c r="D188" t="s">
        <v>27</v>
      </c>
      <c r="E188" t="s">
        <v>21</v>
      </c>
      <c r="F188">
        <v>0</v>
      </c>
      <c r="G188">
        <v>244.8</v>
      </c>
      <c r="H188">
        <v>91</v>
      </c>
      <c r="I188">
        <v>41.62</v>
      </c>
      <c r="J188">
        <v>60.8</v>
      </c>
      <c r="K188">
        <v>105</v>
      </c>
      <c r="L188">
        <v>5.17</v>
      </c>
      <c r="M188">
        <v>176.7</v>
      </c>
      <c r="N188">
        <v>110</v>
      </c>
      <c r="O188">
        <v>7.95</v>
      </c>
      <c r="P188">
        <v>10.7</v>
      </c>
      <c r="Q188">
        <v>3</v>
      </c>
      <c r="R188">
        <v>2.89</v>
      </c>
      <c r="S188">
        <v>2</v>
      </c>
      <c r="T188" t="b">
        <v>0</v>
      </c>
      <c r="U188">
        <f>IFERROR(SUM(Table1[[#This Row],[Total day minutes]],Table1[[#This Row],[Total eve minutes]],Table1[[#This Row],[Total night minutes]],Table1[[#This Row],[Total intl minutes]]),0)</f>
        <v>493</v>
      </c>
      <c r="V188">
        <f>SUM(Table1[[#This Row],[Total intl charge]],Table1[[#This Row],[Total night charge]],Table1[[#This Row],[Total eve charge]],Table1[[#This Row],[Total day charge]])</f>
        <v>57.629999999999995</v>
      </c>
      <c r="W188">
        <f>SUM(Table1[[#This Row],[Total intl calls]],Table1[[#This Row],[Total night calls]],Table1[[#This Row],[Total eve calls]],Table1[[#This Row],[Total day calls]])</f>
        <v>309</v>
      </c>
      <c r="X188" t="str" cm="1">
        <f t="array" ref="X188">_xlfn.IFS(Table1[[#This Row],[Customer service calls]]&gt;=4,"High risk",Table1[[#This Row],[Customer service calls]]&gt;=2,"Medium risk",TRUE,"Low risk")</f>
        <v>Medium risk</v>
      </c>
      <c r="Y188" t="str" cm="1">
        <f t="array" ref="Y188">IFERROR(_xlfn.IFS(Table1[[#This Row],[Total usage(Min)]]&gt;=AVERAGE(U:U)*1.1,"High risk",Table1[[#This Row],[Total usage(Min)]]&lt;= AVERAGE(U:U)*0.9,"Low risk",TRUE,"Medium risk"),"N/A")</f>
        <v>Low risk</v>
      </c>
      <c r="Z188" t="str" cm="1">
        <f t="array" ref="Z188">IFERROR(_xlfn.IFS(Table1[[#This Row],[Total charges]]&gt;=AVERAGE(V:V)*1.1,"High risk",Table1[[#This Row],[Total charges]]&lt;=AVERAGE(V:V)*0.9,"Low risk",TRUE,"Medium risk"),"N/A")</f>
        <v>Medium risk</v>
      </c>
      <c r="AA1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18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88" t="str" cm="1">
        <f t="array" ref="AC188">_xlfn.IFS(
AND(Table1[[#This Row],[Customer service risk level]]="High risk", Table1[[#This Row],[Intl usage behaviour]]="Unplanned Usage"),"High Risk",
OR(Table1[[#This Row],[Customer service risk level]]="Medium risk", Table1[[#This Row],[Charges risk level]]="High risk "),"Medium Risk",
TRUE,"Low Risk"
)</f>
        <v>Medium Risk</v>
      </c>
    </row>
    <row r="189" spans="1:29" x14ac:dyDescent="0.25">
      <c r="A189" t="s">
        <v>30</v>
      </c>
      <c r="B189">
        <v>89</v>
      </c>
      <c r="C189">
        <v>415</v>
      </c>
      <c r="D189" t="s">
        <v>21</v>
      </c>
      <c r="E189" t="s">
        <v>27</v>
      </c>
      <c r="F189">
        <v>32</v>
      </c>
      <c r="G189">
        <v>209.9</v>
      </c>
      <c r="H189">
        <v>113</v>
      </c>
      <c r="I189">
        <v>35.68</v>
      </c>
      <c r="J189">
        <v>249.8</v>
      </c>
      <c r="K189">
        <v>104</v>
      </c>
      <c r="L189">
        <v>21.23</v>
      </c>
      <c r="M189">
        <v>224.2</v>
      </c>
      <c r="N189">
        <v>92</v>
      </c>
      <c r="O189">
        <v>10.09</v>
      </c>
      <c r="P189">
        <v>8.6999999999999993</v>
      </c>
      <c r="Q189">
        <v>7</v>
      </c>
      <c r="R189">
        <v>2.35</v>
      </c>
      <c r="S189">
        <v>1</v>
      </c>
      <c r="T189" t="b">
        <v>0</v>
      </c>
      <c r="U189">
        <f>IFERROR(SUM(Table1[[#This Row],[Total day minutes]],Table1[[#This Row],[Total eve minutes]],Table1[[#This Row],[Total night minutes]],Table1[[#This Row],[Total intl minutes]]),0)</f>
        <v>692.60000000000014</v>
      </c>
      <c r="V189">
        <f>SUM(Table1[[#This Row],[Total intl charge]],Table1[[#This Row],[Total night charge]],Table1[[#This Row],[Total eve charge]],Table1[[#This Row],[Total day charge]])</f>
        <v>69.349999999999994</v>
      </c>
      <c r="W189">
        <f>SUM(Table1[[#This Row],[Total intl calls]],Table1[[#This Row],[Total night calls]],Table1[[#This Row],[Total eve calls]],Table1[[#This Row],[Total day calls]])</f>
        <v>316</v>
      </c>
      <c r="X189" t="str" cm="1">
        <f t="array" ref="X189">_xlfn.IFS(Table1[[#This Row],[Customer service calls]]&gt;=4,"High risk",Table1[[#This Row],[Customer service calls]]&gt;=2,"Medium risk",TRUE,"Low risk")</f>
        <v>Low risk</v>
      </c>
      <c r="Y189" t="str" cm="1">
        <f t="array" ref="Y189">IFERROR(_xlfn.IFS(Table1[[#This Row],[Total usage(Min)]]&gt;=AVERAGE(U:U)*1.1,"High risk",Table1[[#This Row],[Total usage(Min)]]&lt;= AVERAGE(U:U)*0.9,"Low risk",TRUE,"Medium risk"),"N/A")</f>
        <v>High risk</v>
      </c>
      <c r="Z189" t="str" cm="1">
        <f t="array" ref="Z189">IFERROR(_xlfn.IFS(Table1[[#This Row],[Total charges]]&gt;=AVERAGE(V:V)*1.1,"High risk",Table1[[#This Row],[Total charges]]&lt;=AVERAGE(V:V)*0.9,"Low risk",TRUE,"Medium risk"),"N/A")</f>
        <v>High risk</v>
      </c>
      <c r="AA1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8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89" t="str" cm="1">
        <f t="array" ref="AC189">_xlfn.IFS(
AND(Table1[[#This Row],[Customer service risk level]]="High risk", Table1[[#This Row],[Intl usage behaviour]]="Unplanned Usage"),"High Risk",
OR(Table1[[#This Row],[Customer service risk level]]="Medium risk", Table1[[#This Row],[Charges risk level]]="High risk "),"Medium Risk",
TRUE,"Low Risk"
)</f>
        <v>Low Risk</v>
      </c>
    </row>
    <row r="190" spans="1:29" x14ac:dyDescent="0.25">
      <c r="A190" t="s">
        <v>33</v>
      </c>
      <c r="B190">
        <v>73</v>
      </c>
      <c r="C190">
        <v>408</v>
      </c>
      <c r="D190" t="s">
        <v>21</v>
      </c>
      <c r="E190" t="s">
        <v>21</v>
      </c>
      <c r="F190">
        <v>0</v>
      </c>
      <c r="G190">
        <v>213</v>
      </c>
      <c r="H190">
        <v>95</v>
      </c>
      <c r="I190">
        <v>36.21</v>
      </c>
      <c r="J190">
        <v>188.8</v>
      </c>
      <c r="K190">
        <v>104</v>
      </c>
      <c r="L190">
        <v>16.05</v>
      </c>
      <c r="M190">
        <v>136.19999999999999</v>
      </c>
      <c r="N190">
        <v>89</v>
      </c>
      <c r="O190">
        <v>6.13</v>
      </c>
      <c r="P190">
        <v>13.5</v>
      </c>
      <c r="Q190">
        <v>3</v>
      </c>
      <c r="R190">
        <v>3.65</v>
      </c>
      <c r="S190">
        <v>0</v>
      </c>
      <c r="T190" t="b">
        <v>0</v>
      </c>
      <c r="U190">
        <f>IFERROR(SUM(Table1[[#This Row],[Total day minutes]],Table1[[#This Row],[Total eve minutes]],Table1[[#This Row],[Total night minutes]],Table1[[#This Row],[Total intl minutes]]),0)</f>
        <v>551.5</v>
      </c>
      <c r="V190">
        <f>SUM(Table1[[#This Row],[Total intl charge]],Table1[[#This Row],[Total night charge]],Table1[[#This Row],[Total eve charge]],Table1[[#This Row],[Total day charge]])</f>
        <v>62.04</v>
      </c>
      <c r="W190">
        <f>SUM(Table1[[#This Row],[Total intl calls]],Table1[[#This Row],[Total night calls]],Table1[[#This Row],[Total eve calls]],Table1[[#This Row],[Total day calls]])</f>
        <v>291</v>
      </c>
      <c r="X190" t="str" cm="1">
        <f t="array" ref="X190">_xlfn.IFS(Table1[[#This Row],[Customer service calls]]&gt;=4,"High risk",Table1[[#This Row],[Customer service calls]]&gt;=2,"Medium risk",TRUE,"Low risk")</f>
        <v>Low risk</v>
      </c>
      <c r="Y190" t="str" cm="1">
        <f t="array" ref="Y190">IFERROR(_xlfn.IFS(Table1[[#This Row],[Total usage(Min)]]&gt;=AVERAGE(U:U)*1.1,"High risk",Table1[[#This Row],[Total usage(Min)]]&lt;= AVERAGE(U:U)*0.9,"Low risk",TRUE,"Medium risk"),"N/A")</f>
        <v>Medium risk</v>
      </c>
      <c r="Z190" t="str" cm="1">
        <f t="array" ref="Z190">IFERROR(_xlfn.IFS(Table1[[#This Row],[Total charges]]&gt;=AVERAGE(V:V)*1.1,"High risk",Table1[[#This Row],[Total charges]]&lt;=AVERAGE(V:V)*0.9,"Low risk",TRUE,"Medium risk"),"N/A")</f>
        <v>Medium risk</v>
      </c>
      <c r="AA1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0" t="str" cm="1">
        <f t="array" ref="AC190">_xlfn.IFS(
AND(Table1[[#This Row],[Customer service risk level]]="High risk", Table1[[#This Row],[Intl usage behaviour]]="Unplanned Usage"),"High Risk",
OR(Table1[[#This Row],[Customer service risk level]]="Medium risk", Table1[[#This Row],[Charges risk level]]="High risk "),"Medium Risk",
TRUE,"Low Risk"
)</f>
        <v>Low Risk</v>
      </c>
    </row>
    <row r="191" spans="1:29" x14ac:dyDescent="0.25">
      <c r="A191" t="s">
        <v>49</v>
      </c>
      <c r="B191">
        <v>1</v>
      </c>
      <c r="C191">
        <v>415</v>
      </c>
      <c r="D191" t="s">
        <v>21</v>
      </c>
      <c r="E191" t="s">
        <v>21</v>
      </c>
      <c r="F191">
        <v>0</v>
      </c>
      <c r="G191">
        <v>144.80000000000001</v>
      </c>
      <c r="H191">
        <v>107</v>
      </c>
      <c r="I191">
        <v>24.62</v>
      </c>
      <c r="J191">
        <v>112.5</v>
      </c>
      <c r="K191">
        <v>66</v>
      </c>
      <c r="L191">
        <v>9.56</v>
      </c>
      <c r="M191">
        <v>218.7</v>
      </c>
      <c r="N191">
        <v>79</v>
      </c>
      <c r="O191">
        <v>9.84</v>
      </c>
      <c r="P191">
        <v>13.8</v>
      </c>
      <c r="Q191">
        <v>3</v>
      </c>
      <c r="R191">
        <v>3.73</v>
      </c>
      <c r="S191">
        <v>1</v>
      </c>
      <c r="T191" t="b">
        <v>0</v>
      </c>
      <c r="U191">
        <f>IFERROR(SUM(Table1[[#This Row],[Total day minutes]],Table1[[#This Row],[Total eve minutes]],Table1[[#This Row],[Total night minutes]],Table1[[#This Row],[Total intl minutes]]),0)</f>
        <v>489.8</v>
      </c>
      <c r="V191">
        <f>SUM(Table1[[#This Row],[Total intl charge]],Table1[[#This Row],[Total night charge]],Table1[[#This Row],[Total eve charge]],Table1[[#This Row],[Total day charge]])</f>
        <v>47.75</v>
      </c>
      <c r="W191">
        <f>SUM(Table1[[#This Row],[Total intl calls]],Table1[[#This Row],[Total night calls]],Table1[[#This Row],[Total eve calls]],Table1[[#This Row],[Total day calls]])</f>
        <v>255</v>
      </c>
      <c r="X191" t="str" cm="1">
        <f t="array" ref="X191">_xlfn.IFS(Table1[[#This Row],[Customer service calls]]&gt;=4,"High risk",Table1[[#This Row],[Customer service calls]]&gt;=2,"Medium risk",TRUE,"Low risk")</f>
        <v>Low risk</v>
      </c>
      <c r="Y191" t="str" cm="1">
        <f t="array" ref="Y191">IFERROR(_xlfn.IFS(Table1[[#This Row],[Total usage(Min)]]&gt;=AVERAGE(U:U)*1.1,"High risk",Table1[[#This Row],[Total usage(Min)]]&lt;= AVERAGE(U:U)*0.9,"Low risk",TRUE,"Medium risk"),"N/A")</f>
        <v>Low risk</v>
      </c>
      <c r="Z191" t="str" cm="1">
        <f t="array" ref="Z191">IFERROR(_xlfn.IFS(Table1[[#This Row],[Total charges]]&gt;=AVERAGE(V:V)*1.1,"High risk",Table1[[#This Row],[Total charges]]&lt;=AVERAGE(V:V)*0.9,"Low risk",TRUE,"Medium risk"),"N/A")</f>
        <v>Low risk</v>
      </c>
      <c r="AA1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1" t="str" cm="1">
        <f t="array" ref="AC191">_xlfn.IFS(
AND(Table1[[#This Row],[Customer service risk level]]="High risk", Table1[[#This Row],[Intl usage behaviour]]="Unplanned Usage"),"High Risk",
OR(Table1[[#This Row],[Customer service risk level]]="Medium risk", Table1[[#This Row],[Charges risk level]]="High risk "),"Medium Risk",
TRUE,"Low Risk"
)</f>
        <v>Low Risk</v>
      </c>
    </row>
    <row r="192" spans="1:29" x14ac:dyDescent="0.25">
      <c r="A192" t="s">
        <v>36</v>
      </c>
      <c r="B192">
        <v>60</v>
      </c>
      <c r="C192">
        <v>408</v>
      </c>
      <c r="D192" t="s">
        <v>21</v>
      </c>
      <c r="E192" t="s">
        <v>21</v>
      </c>
      <c r="F192">
        <v>0</v>
      </c>
      <c r="G192">
        <v>135.4</v>
      </c>
      <c r="H192">
        <v>134</v>
      </c>
      <c r="I192">
        <v>23.02</v>
      </c>
      <c r="J192">
        <v>205.9</v>
      </c>
      <c r="K192">
        <v>85</v>
      </c>
      <c r="L192">
        <v>17.5</v>
      </c>
      <c r="M192">
        <v>204</v>
      </c>
      <c r="N192">
        <v>103</v>
      </c>
      <c r="O192">
        <v>9.18</v>
      </c>
      <c r="P192">
        <v>7.9</v>
      </c>
      <c r="Q192">
        <v>4</v>
      </c>
      <c r="R192">
        <v>2.13</v>
      </c>
      <c r="S192">
        <v>1</v>
      </c>
      <c r="T192" t="b">
        <v>0</v>
      </c>
      <c r="U192">
        <f>IFERROR(SUM(Table1[[#This Row],[Total day minutes]],Table1[[#This Row],[Total eve minutes]],Table1[[#This Row],[Total night minutes]],Table1[[#This Row],[Total intl minutes]]),0)</f>
        <v>553.19999999999993</v>
      </c>
      <c r="V192">
        <f>SUM(Table1[[#This Row],[Total intl charge]],Table1[[#This Row],[Total night charge]],Table1[[#This Row],[Total eve charge]],Table1[[#This Row],[Total day charge]])</f>
        <v>51.83</v>
      </c>
      <c r="W192">
        <f>SUM(Table1[[#This Row],[Total intl calls]],Table1[[#This Row],[Total night calls]],Table1[[#This Row],[Total eve calls]],Table1[[#This Row],[Total day calls]])</f>
        <v>326</v>
      </c>
      <c r="X192" t="str" cm="1">
        <f t="array" ref="X192">_xlfn.IFS(Table1[[#This Row],[Customer service calls]]&gt;=4,"High risk",Table1[[#This Row],[Customer service calls]]&gt;=2,"Medium risk",TRUE,"Low risk")</f>
        <v>Low risk</v>
      </c>
      <c r="Y192" t="str" cm="1">
        <f t="array" ref="Y192">IFERROR(_xlfn.IFS(Table1[[#This Row],[Total usage(Min)]]&gt;=AVERAGE(U:U)*1.1,"High risk",Table1[[#This Row],[Total usage(Min)]]&lt;= AVERAGE(U:U)*0.9,"Low risk",TRUE,"Medium risk"),"N/A")</f>
        <v>Medium risk</v>
      </c>
      <c r="Z192" t="str" cm="1">
        <f t="array" ref="Z192">IFERROR(_xlfn.IFS(Table1[[#This Row],[Total charges]]&gt;=AVERAGE(V:V)*1.1,"High risk",Table1[[#This Row],[Total charges]]&lt;=AVERAGE(V:V)*0.9,"Low risk",TRUE,"Medium risk"),"N/A")</f>
        <v>Low risk</v>
      </c>
      <c r="AA1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2" t="str" cm="1">
        <f t="array" ref="AC192">_xlfn.IFS(
AND(Table1[[#This Row],[Customer service risk level]]="High risk", Table1[[#This Row],[Intl usage behaviour]]="Unplanned Usage"),"High Risk",
OR(Table1[[#This Row],[Customer service risk level]]="Medium risk", Table1[[#This Row],[Charges risk level]]="High risk "),"Medium Risk",
TRUE,"Low Risk"
)</f>
        <v>Low Risk</v>
      </c>
    </row>
    <row r="193" spans="1:29" x14ac:dyDescent="0.25">
      <c r="A193" t="s">
        <v>66</v>
      </c>
      <c r="B193">
        <v>77</v>
      </c>
      <c r="C193">
        <v>510</v>
      </c>
      <c r="D193" t="s">
        <v>21</v>
      </c>
      <c r="E193" t="s">
        <v>21</v>
      </c>
      <c r="F193">
        <v>0</v>
      </c>
      <c r="G193">
        <v>67.7</v>
      </c>
      <c r="H193">
        <v>68</v>
      </c>
      <c r="I193">
        <v>11.51</v>
      </c>
      <c r="J193">
        <v>195.7</v>
      </c>
      <c r="K193">
        <v>86</v>
      </c>
      <c r="L193">
        <v>16.63</v>
      </c>
      <c r="M193">
        <v>236.5</v>
      </c>
      <c r="N193">
        <v>137</v>
      </c>
      <c r="O193">
        <v>10.64</v>
      </c>
      <c r="P193">
        <v>12</v>
      </c>
      <c r="Q193">
        <v>2</v>
      </c>
      <c r="R193">
        <v>3.24</v>
      </c>
      <c r="S193">
        <v>1</v>
      </c>
      <c r="T193" t="b">
        <v>0</v>
      </c>
      <c r="U193">
        <f>IFERROR(SUM(Table1[[#This Row],[Total day minutes]],Table1[[#This Row],[Total eve minutes]],Table1[[#This Row],[Total night minutes]],Table1[[#This Row],[Total intl minutes]]),0)</f>
        <v>511.9</v>
      </c>
      <c r="V193">
        <f>SUM(Table1[[#This Row],[Total intl charge]],Table1[[#This Row],[Total night charge]],Table1[[#This Row],[Total eve charge]],Table1[[#This Row],[Total day charge]])</f>
        <v>42.019999999999996</v>
      </c>
      <c r="W193">
        <f>SUM(Table1[[#This Row],[Total intl calls]],Table1[[#This Row],[Total night calls]],Table1[[#This Row],[Total eve calls]],Table1[[#This Row],[Total day calls]])</f>
        <v>293</v>
      </c>
      <c r="X193" t="str" cm="1">
        <f t="array" ref="X193">_xlfn.IFS(Table1[[#This Row],[Customer service calls]]&gt;=4,"High risk",Table1[[#This Row],[Customer service calls]]&gt;=2,"Medium risk",TRUE,"Low risk")</f>
        <v>Low risk</v>
      </c>
      <c r="Y193" t="str" cm="1">
        <f t="array" ref="Y193">IFERROR(_xlfn.IFS(Table1[[#This Row],[Total usage(Min)]]&gt;=AVERAGE(U:U)*1.1,"High risk",Table1[[#This Row],[Total usage(Min)]]&lt;= AVERAGE(U:U)*0.9,"Low risk",TRUE,"Medium risk"),"N/A")</f>
        <v>Low risk</v>
      </c>
      <c r="Z193" t="str" cm="1">
        <f t="array" ref="Z193">IFERROR(_xlfn.IFS(Table1[[#This Row],[Total charges]]&gt;=AVERAGE(V:V)*1.1,"High risk",Table1[[#This Row],[Total charges]]&lt;=AVERAGE(V:V)*0.9,"Low risk",TRUE,"Medium risk"),"N/A")</f>
        <v>Low risk</v>
      </c>
      <c r="AA1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3" t="str" cm="1">
        <f t="array" ref="AC193">_xlfn.IFS(
AND(Table1[[#This Row],[Customer service risk level]]="High risk", Table1[[#This Row],[Intl usage behaviour]]="Unplanned Usage"),"High Risk",
OR(Table1[[#This Row],[Customer service risk level]]="Medium risk", Table1[[#This Row],[Charges risk level]]="High risk "),"Medium Risk",
TRUE,"Low Risk"
)</f>
        <v>Low Risk</v>
      </c>
    </row>
    <row r="194" spans="1:29" x14ac:dyDescent="0.25">
      <c r="A194" t="s">
        <v>61</v>
      </c>
      <c r="B194">
        <v>76</v>
      </c>
      <c r="C194">
        <v>415</v>
      </c>
      <c r="D194" t="s">
        <v>21</v>
      </c>
      <c r="E194" t="s">
        <v>21</v>
      </c>
      <c r="F194">
        <v>0</v>
      </c>
      <c r="G194">
        <v>224.4</v>
      </c>
      <c r="H194">
        <v>121</v>
      </c>
      <c r="I194">
        <v>38.15</v>
      </c>
      <c r="J194">
        <v>147.9</v>
      </c>
      <c r="K194">
        <v>97</v>
      </c>
      <c r="L194">
        <v>12.57</v>
      </c>
      <c r="M194">
        <v>183.8</v>
      </c>
      <c r="N194">
        <v>74</v>
      </c>
      <c r="O194">
        <v>8.27</v>
      </c>
      <c r="P194">
        <v>6.7</v>
      </c>
      <c r="Q194">
        <v>2</v>
      </c>
      <c r="R194">
        <v>1.81</v>
      </c>
      <c r="S194">
        <v>2</v>
      </c>
      <c r="T194" t="b">
        <v>0</v>
      </c>
      <c r="U194">
        <f>IFERROR(SUM(Table1[[#This Row],[Total day minutes]],Table1[[#This Row],[Total eve minutes]],Table1[[#This Row],[Total night minutes]],Table1[[#This Row],[Total intl minutes]]),0)</f>
        <v>562.80000000000007</v>
      </c>
      <c r="V194">
        <f>SUM(Table1[[#This Row],[Total intl charge]],Table1[[#This Row],[Total night charge]],Table1[[#This Row],[Total eve charge]],Table1[[#This Row],[Total day charge]])</f>
        <v>60.8</v>
      </c>
      <c r="W194">
        <f>SUM(Table1[[#This Row],[Total intl calls]],Table1[[#This Row],[Total night calls]],Table1[[#This Row],[Total eve calls]],Table1[[#This Row],[Total day calls]])</f>
        <v>294</v>
      </c>
      <c r="X194" t="str" cm="1">
        <f t="array" ref="X194">_xlfn.IFS(Table1[[#This Row],[Customer service calls]]&gt;=4,"High risk",Table1[[#This Row],[Customer service calls]]&gt;=2,"Medium risk",TRUE,"Low risk")</f>
        <v>Medium risk</v>
      </c>
      <c r="Y194" t="str" cm="1">
        <f t="array" ref="Y194">IFERROR(_xlfn.IFS(Table1[[#This Row],[Total usage(Min)]]&gt;=AVERAGE(U:U)*1.1,"High risk",Table1[[#This Row],[Total usage(Min)]]&lt;= AVERAGE(U:U)*0.9,"Low risk",TRUE,"Medium risk"),"N/A")</f>
        <v>Medium risk</v>
      </c>
      <c r="Z194" t="str" cm="1">
        <f t="array" ref="Z194">IFERROR(_xlfn.IFS(Table1[[#This Row],[Total charges]]&gt;=AVERAGE(V:V)*1.1,"High risk",Table1[[#This Row],[Total charges]]&lt;=AVERAGE(V:V)*0.9,"Low risk",TRUE,"Medium risk"),"N/A")</f>
        <v>Medium risk</v>
      </c>
      <c r="AA1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4" t="str" cm="1">
        <f t="array" ref="AC194">_xlfn.IFS(
AND(Table1[[#This Row],[Customer service risk level]]="High risk", Table1[[#This Row],[Intl usage behaviour]]="Unplanned Usage"),"High Risk",
OR(Table1[[#This Row],[Customer service risk level]]="Medium risk", Table1[[#This Row],[Charges risk level]]="High risk "),"Medium Risk",
TRUE,"Low Risk"
)</f>
        <v>Medium Risk</v>
      </c>
    </row>
    <row r="195" spans="1:29" x14ac:dyDescent="0.25">
      <c r="A195" t="s">
        <v>71</v>
      </c>
      <c r="B195">
        <v>63</v>
      </c>
      <c r="C195">
        <v>510</v>
      </c>
      <c r="D195" t="s">
        <v>21</v>
      </c>
      <c r="E195" t="s">
        <v>21</v>
      </c>
      <c r="F195">
        <v>0</v>
      </c>
      <c r="G195">
        <v>153.5</v>
      </c>
      <c r="H195">
        <v>81</v>
      </c>
      <c r="I195">
        <v>26.1</v>
      </c>
      <c r="J195">
        <v>287.3</v>
      </c>
      <c r="K195">
        <v>115</v>
      </c>
      <c r="L195">
        <v>24.42</v>
      </c>
      <c r="M195">
        <v>230.2</v>
      </c>
      <c r="N195">
        <v>85</v>
      </c>
      <c r="O195">
        <v>10.36</v>
      </c>
      <c r="P195">
        <v>6.5</v>
      </c>
      <c r="Q195">
        <v>5</v>
      </c>
      <c r="R195">
        <v>1.76</v>
      </c>
      <c r="S195">
        <v>2</v>
      </c>
      <c r="T195" t="b">
        <v>0</v>
      </c>
      <c r="U195">
        <f>IFERROR(SUM(Table1[[#This Row],[Total day minutes]],Table1[[#This Row],[Total eve minutes]],Table1[[#This Row],[Total night minutes]],Table1[[#This Row],[Total intl minutes]]),0)</f>
        <v>677.5</v>
      </c>
      <c r="V195">
        <f>SUM(Table1[[#This Row],[Total intl charge]],Table1[[#This Row],[Total night charge]],Table1[[#This Row],[Total eve charge]],Table1[[#This Row],[Total day charge]])</f>
        <v>62.64</v>
      </c>
      <c r="W195">
        <f>SUM(Table1[[#This Row],[Total intl calls]],Table1[[#This Row],[Total night calls]],Table1[[#This Row],[Total eve calls]],Table1[[#This Row],[Total day calls]])</f>
        <v>286</v>
      </c>
      <c r="X195" t="str" cm="1">
        <f t="array" ref="X195">_xlfn.IFS(Table1[[#This Row],[Customer service calls]]&gt;=4,"High risk",Table1[[#This Row],[Customer service calls]]&gt;=2,"Medium risk",TRUE,"Low risk")</f>
        <v>Medium risk</v>
      </c>
      <c r="Y195" t="str" cm="1">
        <f t="array" ref="Y195">IFERROR(_xlfn.IFS(Table1[[#This Row],[Total usage(Min)]]&gt;=AVERAGE(U:U)*1.1,"High risk",Table1[[#This Row],[Total usage(Min)]]&lt;= AVERAGE(U:U)*0.9,"Low risk",TRUE,"Medium risk"),"N/A")</f>
        <v>High risk</v>
      </c>
      <c r="Z195" t="str" cm="1">
        <f t="array" ref="Z195">IFERROR(_xlfn.IFS(Table1[[#This Row],[Total charges]]&gt;=AVERAGE(V:V)*1.1,"High risk",Table1[[#This Row],[Total charges]]&lt;=AVERAGE(V:V)*0.9,"Low risk",TRUE,"Medium risk"),"N/A")</f>
        <v>Medium risk</v>
      </c>
      <c r="AA1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5" t="str" cm="1">
        <f t="array" ref="AC195">_xlfn.IFS(
AND(Table1[[#This Row],[Customer service risk level]]="High risk", Table1[[#This Row],[Intl usage behaviour]]="Unplanned Usage"),"High Risk",
OR(Table1[[#This Row],[Customer service risk level]]="Medium risk", Table1[[#This Row],[Charges risk level]]="High risk "),"Medium Risk",
TRUE,"Low Risk"
)</f>
        <v>Medium Risk</v>
      </c>
    </row>
    <row r="196" spans="1:29" x14ac:dyDescent="0.25">
      <c r="A196" t="s">
        <v>32</v>
      </c>
      <c r="B196">
        <v>150</v>
      </c>
      <c r="C196">
        <v>415</v>
      </c>
      <c r="D196" t="s">
        <v>21</v>
      </c>
      <c r="E196" t="s">
        <v>27</v>
      </c>
      <c r="F196">
        <v>28</v>
      </c>
      <c r="G196">
        <v>174.4</v>
      </c>
      <c r="H196">
        <v>75</v>
      </c>
      <c r="I196">
        <v>29.65</v>
      </c>
      <c r="J196">
        <v>169.9</v>
      </c>
      <c r="K196">
        <v>80</v>
      </c>
      <c r="L196">
        <v>14.44</v>
      </c>
      <c r="M196">
        <v>201.6</v>
      </c>
      <c r="N196">
        <v>130</v>
      </c>
      <c r="O196">
        <v>9.07</v>
      </c>
      <c r="P196">
        <v>11</v>
      </c>
      <c r="Q196">
        <v>4</v>
      </c>
      <c r="R196">
        <v>2.97</v>
      </c>
      <c r="S196">
        <v>1</v>
      </c>
      <c r="T196" t="b">
        <v>0</v>
      </c>
      <c r="U196">
        <f>IFERROR(SUM(Table1[[#This Row],[Total day minutes]],Table1[[#This Row],[Total eve minutes]],Table1[[#This Row],[Total night minutes]],Table1[[#This Row],[Total intl minutes]]),0)</f>
        <v>556.9</v>
      </c>
      <c r="V196">
        <f>SUM(Table1[[#This Row],[Total intl charge]],Table1[[#This Row],[Total night charge]],Table1[[#This Row],[Total eve charge]],Table1[[#This Row],[Total day charge]])</f>
        <v>56.129999999999995</v>
      </c>
      <c r="W196">
        <f>SUM(Table1[[#This Row],[Total intl calls]],Table1[[#This Row],[Total night calls]],Table1[[#This Row],[Total eve calls]],Table1[[#This Row],[Total day calls]])</f>
        <v>289</v>
      </c>
      <c r="X196" t="str" cm="1">
        <f t="array" ref="X196">_xlfn.IFS(Table1[[#This Row],[Customer service calls]]&gt;=4,"High risk",Table1[[#This Row],[Customer service calls]]&gt;=2,"Medium risk",TRUE,"Low risk")</f>
        <v>Low risk</v>
      </c>
      <c r="Y196" t="str" cm="1">
        <f t="array" ref="Y196">IFERROR(_xlfn.IFS(Table1[[#This Row],[Total usage(Min)]]&gt;=AVERAGE(U:U)*1.1,"High risk",Table1[[#This Row],[Total usage(Min)]]&lt;= AVERAGE(U:U)*0.9,"Low risk",TRUE,"Medium risk"),"N/A")</f>
        <v>Medium risk</v>
      </c>
      <c r="Z196" t="str" cm="1">
        <f t="array" ref="Z196">IFERROR(_xlfn.IFS(Table1[[#This Row],[Total charges]]&gt;=AVERAGE(V:V)*1.1,"High risk",Table1[[#This Row],[Total charges]]&lt;=AVERAGE(V:V)*0.9,"Low risk",TRUE,"Medium risk"),"N/A")</f>
        <v>Medium risk</v>
      </c>
      <c r="AA1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96" t="str" cm="1">
        <f t="array" ref="AC196">_xlfn.IFS(
AND(Table1[[#This Row],[Customer service risk level]]="High risk", Table1[[#This Row],[Intl usage behaviour]]="Unplanned Usage"),"High Risk",
OR(Table1[[#This Row],[Customer service risk level]]="Medium risk", Table1[[#This Row],[Charges risk level]]="High risk "),"Medium Risk",
TRUE,"Low Risk"
)</f>
        <v>Low Risk</v>
      </c>
    </row>
    <row r="197" spans="1:29" x14ac:dyDescent="0.25">
      <c r="A197" t="s">
        <v>33</v>
      </c>
      <c r="B197">
        <v>101</v>
      </c>
      <c r="C197">
        <v>415</v>
      </c>
      <c r="D197" t="s">
        <v>21</v>
      </c>
      <c r="E197" t="s">
        <v>21</v>
      </c>
      <c r="F197">
        <v>0</v>
      </c>
      <c r="G197">
        <v>153.80000000000001</v>
      </c>
      <c r="H197">
        <v>89</v>
      </c>
      <c r="I197">
        <v>26.15</v>
      </c>
      <c r="J197">
        <v>234</v>
      </c>
      <c r="K197">
        <v>89</v>
      </c>
      <c r="L197">
        <v>19.89</v>
      </c>
      <c r="M197">
        <v>196.3</v>
      </c>
      <c r="N197">
        <v>77</v>
      </c>
      <c r="O197">
        <v>8.83</v>
      </c>
      <c r="P197">
        <v>11.6</v>
      </c>
      <c r="Q197">
        <v>2</v>
      </c>
      <c r="R197">
        <v>3.13</v>
      </c>
      <c r="S197">
        <v>4</v>
      </c>
      <c r="T197" t="b">
        <v>0</v>
      </c>
      <c r="U197">
        <f>IFERROR(SUM(Table1[[#This Row],[Total day minutes]],Table1[[#This Row],[Total eve minutes]],Table1[[#This Row],[Total night minutes]],Table1[[#This Row],[Total intl minutes]]),0)</f>
        <v>595.70000000000005</v>
      </c>
      <c r="V197">
        <f>SUM(Table1[[#This Row],[Total intl charge]],Table1[[#This Row],[Total night charge]],Table1[[#This Row],[Total eve charge]],Table1[[#This Row],[Total day charge]])</f>
        <v>58</v>
      </c>
      <c r="W197">
        <f>SUM(Table1[[#This Row],[Total intl calls]],Table1[[#This Row],[Total night calls]],Table1[[#This Row],[Total eve calls]],Table1[[#This Row],[Total day calls]])</f>
        <v>257</v>
      </c>
      <c r="X197" t="str" cm="1">
        <f t="array" ref="X197">_xlfn.IFS(Table1[[#This Row],[Customer service calls]]&gt;=4,"High risk",Table1[[#This Row],[Customer service calls]]&gt;=2,"Medium risk",TRUE,"Low risk")</f>
        <v>High risk</v>
      </c>
      <c r="Y197" t="str" cm="1">
        <f t="array" ref="Y197">IFERROR(_xlfn.IFS(Table1[[#This Row],[Total usage(Min)]]&gt;=AVERAGE(U:U)*1.1,"High risk",Table1[[#This Row],[Total usage(Min)]]&lt;= AVERAGE(U:U)*0.9,"Low risk",TRUE,"Medium risk"),"N/A")</f>
        <v>Medium risk</v>
      </c>
      <c r="Z197" t="str" cm="1">
        <f t="array" ref="Z197">IFERROR(_xlfn.IFS(Table1[[#This Row],[Total charges]]&gt;=AVERAGE(V:V)*1.1,"High risk",Table1[[#This Row],[Total charges]]&lt;=AVERAGE(V:V)*0.9,"Low risk",TRUE,"Medium risk"),"N/A")</f>
        <v>Medium risk</v>
      </c>
      <c r="AA1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7" t="str" cm="1">
        <f t="array" ref="AC197">_xlfn.IFS(
AND(Table1[[#This Row],[Customer service risk level]]="High risk", Table1[[#This Row],[Intl usage behaviour]]="Unplanned Usage"),"High Risk",
OR(Table1[[#This Row],[Customer service risk level]]="Medium risk", Table1[[#This Row],[Charges risk level]]="High risk "),"Medium Risk",
TRUE,"Low Risk"
)</f>
        <v>High Risk</v>
      </c>
    </row>
    <row r="198" spans="1:29" x14ac:dyDescent="0.25">
      <c r="A198" t="s">
        <v>26</v>
      </c>
      <c r="B198">
        <v>132</v>
      </c>
      <c r="C198">
        <v>415</v>
      </c>
      <c r="D198" t="s">
        <v>21</v>
      </c>
      <c r="E198" t="s">
        <v>27</v>
      </c>
      <c r="F198">
        <v>39</v>
      </c>
      <c r="G198">
        <v>175.7</v>
      </c>
      <c r="H198">
        <v>93</v>
      </c>
      <c r="I198">
        <v>29.87</v>
      </c>
      <c r="J198">
        <v>187.2</v>
      </c>
      <c r="K198">
        <v>94</v>
      </c>
      <c r="L198">
        <v>15.91</v>
      </c>
      <c r="M198">
        <v>225.5</v>
      </c>
      <c r="N198">
        <v>118</v>
      </c>
      <c r="O198">
        <v>10.15</v>
      </c>
      <c r="P198">
        <v>8.6</v>
      </c>
      <c r="Q198">
        <v>3</v>
      </c>
      <c r="R198">
        <v>2.3199999999999998</v>
      </c>
      <c r="S198">
        <v>2</v>
      </c>
      <c r="T198" t="b">
        <v>0</v>
      </c>
      <c r="U198">
        <f>IFERROR(SUM(Table1[[#This Row],[Total day minutes]],Table1[[#This Row],[Total eve minutes]],Table1[[#This Row],[Total night minutes]],Table1[[#This Row],[Total intl minutes]]),0)</f>
        <v>597</v>
      </c>
      <c r="V198">
        <f>SUM(Table1[[#This Row],[Total intl charge]],Table1[[#This Row],[Total night charge]],Table1[[#This Row],[Total eve charge]],Table1[[#This Row],[Total day charge]])</f>
        <v>58.25</v>
      </c>
      <c r="W198">
        <f>SUM(Table1[[#This Row],[Total intl calls]],Table1[[#This Row],[Total night calls]],Table1[[#This Row],[Total eve calls]],Table1[[#This Row],[Total day calls]])</f>
        <v>308</v>
      </c>
      <c r="X198" t="str" cm="1">
        <f t="array" ref="X198">_xlfn.IFS(Table1[[#This Row],[Customer service calls]]&gt;=4,"High risk",Table1[[#This Row],[Customer service calls]]&gt;=2,"Medium risk",TRUE,"Low risk")</f>
        <v>Medium risk</v>
      </c>
      <c r="Y198" t="str" cm="1">
        <f t="array" ref="Y198">IFERROR(_xlfn.IFS(Table1[[#This Row],[Total usage(Min)]]&gt;=AVERAGE(U:U)*1.1,"High risk",Table1[[#This Row],[Total usage(Min)]]&lt;= AVERAGE(U:U)*0.9,"Low risk",TRUE,"Medium risk"),"N/A")</f>
        <v>Medium risk</v>
      </c>
      <c r="Z198" t="str" cm="1">
        <f t="array" ref="Z198">IFERROR(_xlfn.IFS(Table1[[#This Row],[Total charges]]&gt;=AVERAGE(V:V)*1.1,"High risk",Table1[[#This Row],[Total charges]]&lt;=AVERAGE(V:V)*0.9,"Low risk",TRUE,"Medium risk"),"N/A")</f>
        <v>Medium risk</v>
      </c>
      <c r="AA1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198" t="str" cm="1">
        <f t="array" ref="AC198">_xlfn.IFS(
AND(Table1[[#This Row],[Customer service risk level]]="High risk", Table1[[#This Row],[Intl usage behaviour]]="Unplanned Usage"),"High Risk",
OR(Table1[[#This Row],[Customer service risk level]]="Medium risk", Table1[[#This Row],[Charges risk level]]="High risk "),"Medium Risk",
TRUE,"Low Risk"
)</f>
        <v>Medium Risk</v>
      </c>
    </row>
    <row r="199" spans="1:29" x14ac:dyDescent="0.25">
      <c r="A199" t="s">
        <v>39</v>
      </c>
      <c r="B199">
        <v>158</v>
      </c>
      <c r="C199">
        <v>510</v>
      </c>
      <c r="D199" t="s">
        <v>21</v>
      </c>
      <c r="E199" t="s">
        <v>21</v>
      </c>
      <c r="F199">
        <v>0</v>
      </c>
      <c r="G199">
        <v>155.9</v>
      </c>
      <c r="H199">
        <v>123</v>
      </c>
      <c r="I199">
        <v>26.5</v>
      </c>
      <c r="J199">
        <v>224.2</v>
      </c>
      <c r="K199">
        <v>112</v>
      </c>
      <c r="L199">
        <v>19.059999999999999</v>
      </c>
      <c r="M199">
        <v>221</v>
      </c>
      <c r="N199">
        <v>116</v>
      </c>
      <c r="O199">
        <v>9.9499999999999993</v>
      </c>
      <c r="P199">
        <v>8.6</v>
      </c>
      <c r="Q199">
        <v>8</v>
      </c>
      <c r="R199">
        <v>2.3199999999999998</v>
      </c>
      <c r="S199">
        <v>2</v>
      </c>
      <c r="T199" t="b">
        <v>0</v>
      </c>
      <c r="U199">
        <f>IFERROR(SUM(Table1[[#This Row],[Total day minutes]],Table1[[#This Row],[Total eve minutes]],Table1[[#This Row],[Total night minutes]],Table1[[#This Row],[Total intl minutes]]),0)</f>
        <v>609.70000000000005</v>
      </c>
      <c r="V199">
        <f>SUM(Table1[[#This Row],[Total intl charge]],Table1[[#This Row],[Total night charge]],Table1[[#This Row],[Total eve charge]],Table1[[#This Row],[Total day charge]])</f>
        <v>57.83</v>
      </c>
      <c r="W199">
        <f>SUM(Table1[[#This Row],[Total intl calls]],Table1[[#This Row],[Total night calls]],Table1[[#This Row],[Total eve calls]],Table1[[#This Row],[Total day calls]])</f>
        <v>359</v>
      </c>
      <c r="X199" t="str" cm="1">
        <f t="array" ref="X199">_xlfn.IFS(Table1[[#This Row],[Customer service calls]]&gt;=4,"High risk",Table1[[#This Row],[Customer service calls]]&gt;=2,"Medium risk",TRUE,"Low risk")</f>
        <v>Medium risk</v>
      </c>
      <c r="Y199" t="str" cm="1">
        <f t="array" ref="Y199">IFERROR(_xlfn.IFS(Table1[[#This Row],[Total usage(Min)]]&gt;=AVERAGE(U:U)*1.1,"High risk",Table1[[#This Row],[Total usage(Min)]]&lt;= AVERAGE(U:U)*0.9,"Low risk",TRUE,"Medium risk"),"N/A")</f>
        <v>Medium risk</v>
      </c>
      <c r="Z199" t="str" cm="1">
        <f t="array" ref="Z199">IFERROR(_xlfn.IFS(Table1[[#This Row],[Total charges]]&gt;=AVERAGE(V:V)*1.1,"High risk",Table1[[#This Row],[Total charges]]&lt;=AVERAGE(V:V)*0.9,"Low risk",TRUE,"Medium risk"),"N/A")</f>
        <v>Medium risk</v>
      </c>
      <c r="AA1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19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199" t="str" cm="1">
        <f t="array" ref="AC199">_xlfn.IFS(
AND(Table1[[#This Row],[Customer service risk level]]="High risk", Table1[[#This Row],[Intl usage behaviour]]="Unplanned Usage"),"High Risk",
OR(Table1[[#This Row],[Customer service risk level]]="Medium risk", Table1[[#This Row],[Charges risk level]]="High risk "),"Medium Risk",
TRUE,"Low Risk"
)</f>
        <v>Medium Risk</v>
      </c>
    </row>
    <row r="200" spans="1:29" x14ac:dyDescent="0.25">
      <c r="A200" t="s">
        <v>49</v>
      </c>
      <c r="B200">
        <v>114</v>
      </c>
      <c r="C200">
        <v>415</v>
      </c>
      <c r="D200" t="s">
        <v>21</v>
      </c>
      <c r="E200" t="s">
        <v>27</v>
      </c>
      <c r="F200">
        <v>34</v>
      </c>
      <c r="G200">
        <v>154.4</v>
      </c>
      <c r="H200">
        <v>109</v>
      </c>
      <c r="I200">
        <v>26.25</v>
      </c>
      <c r="J200">
        <v>221.4</v>
      </c>
      <c r="K200">
        <v>142</v>
      </c>
      <c r="L200">
        <v>18.82</v>
      </c>
      <c r="M200">
        <v>208.5</v>
      </c>
      <c r="N200">
        <v>103</v>
      </c>
      <c r="O200">
        <v>9.3800000000000008</v>
      </c>
      <c r="P200">
        <v>10.3</v>
      </c>
      <c r="Q200">
        <v>5</v>
      </c>
      <c r="R200">
        <v>2.78</v>
      </c>
      <c r="S200">
        <v>0</v>
      </c>
      <c r="T200" t="b">
        <v>0</v>
      </c>
      <c r="U200">
        <f>IFERROR(SUM(Table1[[#This Row],[Total day minutes]],Table1[[#This Row],[Total eve minutes]],Table1[[#This Row],[Total night minutes]],Table1[[#This Row],[Total intl minutes]]),0)</f>
        <v>594.59999999999991</v>
      </c>
      <c r="V200">
        <f>SUM(Table1[[#This Row],[Total intl charge]],Table1[[#This Row],[Total night charge]],Table1[[#This Row],[Total eve charge]],Table1[[#This Row],[Total day charge]])</f>
        <v>57.230000000000004</v>
      </c>
      <c r="W200">
        <f>SUM(Table1[[#This Row],[Total intl calls]],Table1[[#This Row],[Total night calls]],Table1[[#This Row],[Total eve calls]],Table1[[#This Row],[Total day calls]])</f>
        <v>359</v>
      </c>
      <c r="X200" t="str" cm="1">
        <f t="array" ref="X200">_xlfn.IFS(Table1[[#This Row],[Customer service calls]]&gt;=4,"High risk",Table1[[#This Row],[Customer service calls]]&gt;=2,"Medium risk",TRUE,"Low risk")</f>
        <v>Low risk</v>
      </c>
      <c r="Y200" t="str" cm="1">
        <f t="array" ref="Y200">IFERROR(_xlfn.IFS(Table1[[#This Row],[Total usage(Min)]]&gt;=AVERAGE(U:U)*1.1,"High risk",Table1[[#This Row],[Total usage(Min)]]&lt;= AVERAGE(U:U)*0.9,"Low risk",TRUE,"Medium risk"),"N/A")</f>
        <v>Medium risk</v>
      </c>
      <c r="Z200" t="str" cm="1">
        <f t="array" ref="Z200">IFERROR(_xlfn.IFS(Table1[[#This Row],[Total charges]]&gt;=AVERAGE(V:V)*1.1,"High risk",Table1[[#This Row],[Total charges]]&lt;=AVERAGE(V:V)*0.9,"Low risk",TRUE,"Medium risk"),"N/A")</f>
        <v>Medium risk</v>
      </c>
      <c r="AA2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00" t="str" cm="1">
        <f t="array" ref="AC200">_xlfn.IFS(
AND(Table1[[#This Row],[Customer service risk level]]="High risk", Table1[[#This Row],[Intl usage behaviour]]="Unplanned Usage"),"High Risk",
OR(Table1[[#This Row],[Customer service risk level]]="Medium risk", Table1[[#This Row],[Charges risk level]]="High risk "),"Medium Risk",
TRUE,"Low Risk"
)</f>
        <v>Low Risk</v>
      </c>
    </row>
    <row r="201" spans="1:29" x14ac:dyDescent="0.25">
      <c r="A201" t="s">
        <v>69</v>
      </c>
      <c r="B201">
        <v>77</v>
      </c>
      <c r="C201">
        <v>415</v>
      </c>
      <c r="D201" t="s">
        <v>21</v>
      </c>
      <c r="E201" t="s">
        <v>27</v>
      </c>
      <c r="F201">
        <v>23</v>
      </c>
      <c r="G201">
        <v>209.7</v>
      </c>
      <c r="H201">
        <v>73</v>
      </c>
      <c r="I201">
        <v>35.65</v>
      </c>
      <c r="J201">
        <v>183.6</v>
      </c>
      <c r="K201">
        <v>63</v>
      </c>
      <c r="L201">
        <v>15.61</v>
      </c>
      <c r="M201">
        <v>205.5</v>
      </c>
      <c r="N201">
        <v>111</v>
      </c>
      <c r="O201">
        <v>9.25</v>
      </c>
      <c r="P201">
        <v>7.1</v>
      </c>
      <c r="Q201">
        <v>3</v>
      </c>
      <c r="R201">
        <v>1.92</v>
      </c>
      <c r="S201">
        <v>2</v>
      </c>
      <c r="T201" t="b">
        <v>0</v>
      </c>
      <c r="U201">
        <f>IFERROR(SUM(Table1[[#This Row],[Total day minutes]],Table1[[#This Row],[Total eve minutes]],Table1[[#This Row],[Total night minutes]],Table1[[#This Row],[Total intl minutes]]),0)</f>
        <v>605.9</v>
      </c>
      <c r="V201">
        <f>SUM(Table1[[#This Row],[Total intl charge]],Table1[[#This Row],[Total night charge]],Table1[[#This Row],[Total eve charge]],Table1[[#This Row],[Total day charge]])</f>
        <v>62.43</v>
      </c>
      <c r="W201">
        <f>SUM(Table1[[#This Row],[Total intl calls]],Table1[[#This Row],[Total night calls]],Table1[[#This Row],[Total eve calls]],Table1[[#This Row],[Total day calls]])</f>
        <v>250</v>
      </c>
      <c r="X201" t="str" cm="1">
        <f t="array" ref="X201">_xlfn.IFS(Table1[[#This Row],[Customer service calls]]&gt;=4,"High risk",Table1[[#This Row],[Customer service calls]]&gt;=2,"Medium risk",TRUE,"Low risk")</f>
        <v>Medium risk</v>
      </c>
      <c r="Y201" t="str" cm="1">
        <f t="array" ref="Y201">IFERROR(_xlfn.IFS(Table1[[#This Row],[Total usage(Min)]]&gt;=AVERAGE(U:U)*1.1,"High risk",Table1[[#This Row],[Total usage(Min)]]&lt;= AVERAGE(U:U)*0.9,"Low risk",TRUE,"Medium risk"),"N/A")</f>
        <v>Medium risk</v>
      </c>
      <c r="Z201" t="str" cm="1">
        <f t="array" ref="Z201">IFERROR(_xlfn.IFS(Table1[[#This Row],[Total charges]]&gt;=AVERAGE(V:V)*1.1,"High risk",Table1[[#This Row],[Total charges]]&lt;=AVERAGE(V:V)*0.9,"Low risk",TRUE,"Medium risk"),"N/A")</f>
        <v>Medium risk</v>
      </c>
      <c r="AA2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01" t="str" cm="1">
        <f t="array" ref="AC201">_xlfn.IFS(
AND(Table1[[#This Row],[Customer service risk level]]="High risk", Table1[[#This Row],[Intl usage behaviour]]="Unplanned Usage"),"High Risk",
OR(Table1[[#This Row],[Customer service risk level]]="Medium risk", Table1[[#This Row],[Charges risk level]]="High risk "),"Medium Risk",
TRUE,"Low Risk"
)</f>
        <v>Medium Risk</v>
      </c>
    </row>
    <row r="202" spans="1:29" x14ac:dyDescent="0.25">
      <c r="A202" t="s">
        <v>64</v>
      </c>
      <c r="B202">
        <v>107</v>
      </c>
      <c r="C202">
        <v>415</v>
      </c>
      <c r="D202" t="s">
        <v>21</v>
      </c>
      <c r="E202" t="s">
        <v>21</v>
      </c>
      <c r="F202">
        <v>0</v>
      </c>
      <c r="G202">
        <v>212.1</v>
      </c>
      <c r="H202">
        <v>95</v>
      </c>
      <c r="I202">
        <v>36.06</v>
      </c>
      <c r="J202">
        <v>150.1</v>
      </c>
      <c r="K202">
        <v>88</v>
      </c>
      <c r="L202">
        <v>12.76</v>
      </c>
      <c r="M202">
        <v>219.8</v>
      </c>
      <c r="N202">
        <v>111</v>
      </c>
      <c r="O202">
        <v>9.89</v>
      </c>
      <c r="P202">
        <v>7.7</v>
      </c>
      <c r="Q202">
        <v>2</v>
      </c>
      <c r="R202">
        <v>2.08</v>
      </c>
      <c r="S202">
        <v>3</v>
      </c>
      <c r="T202" t="b">
        <v>0</v>
      </c>
      <c r="U202">
        <f>IFERROR(SUM(Table1[[#This Row],[Total day minutes]],Table1[[#This Row],[Total eve minutes]],Table1[[#This Row],[Total night minutes]],Table1[[#This Row],[Total intl minutes]]),0)</f>
        <v>589.70000000000005</v>
      </c>
      <c r="V202">
        <f>SUM(Table1[[#This Row],[Total intl charge]],Table1[[#This Row],[Total night charge]],Table1[[#This Row],[Total eve charge]],Table1[[#This Row],[Total day charge]])</f>
        <v>60.790000000000006</v>
      </c>
      <c r="W202">
        <f>SUM(Table1[[#This Row],[Total intl calls]],Table1[[#This Row],[Total night calls]],Table1[[#This Row],[Total eve calls]],Table1[[#This Row],[Total day calls]])</f>
        <v>296</v>
      </c>
      <c r="X202" t="str" cm="1">
        <f t="array" ref="X202">_xlfn.IFS(Table1[[#This Row],[Customer service calls]]&gt;=4,"High risk",Table1[[#This Row],[Customer service calls]]&gt;=2,"Medium risk",TRUE,"Low risk")</f>
        <v>Medium risk</v>
      </c>
      <c r="Y202" t="str" cm="1">
        <f t="array" ref="Y202">IFERROR(_xlfn.IFS(Table1[[#This Row],[Total usage(Min)]]&gt;=AVERAGE(U:U)*1.1,"High risk",Table1[[#This Row],[Total usage(Min)]]&lt;= AVERAGE(U:U)*0.9,"Low risk",TRUE,"Medium risk"),"N/A")</f>
        <v>Medium risk</v>
      </c>
      <c r="Z202" t="str" cm="1">
        <f t="array" ref="Z202">IFERROR(_xlfn.IFS(Table1[[#This Row],[Total charges]]&gt;=AVERAGE(V:V)*1.1,"High risk",Table1[[#This Row],[Total charges]]&lt;=AVERAGE(V:V)*0.9,"Low risk",TRUE,"Medium risk"),"N/A")</f>
        <v>Medium risk</v>
      </c>
      <c r="AA2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2" t="str" cm="1">
        <f t="array" ref="AC202">_xlfn.IFS(
AND(Table1[[#This Row],[Customer service risk level]]="High risk", Table1[[#This Row],[Intl usage behaviour]]="Unplanned Usage"),"High Risk",
OR(Table1[[#This Row],[Customer service risk level]]="Medium risk", Table1[[#This Row],[Charges risk level]]="High risk "),"Medium Risk",
TRUE,"Low Risk"
)</f>
        <v>Medium Risk</v>
      </c>
    </row>
    <row r="203" spans="1:29" x14ac:dyDescent="0.25">
      <c r="A203" t="s">
        <v>64</v>
      </c>
      <c r="B203">
        <v>48</v>
      </c>
      <c r="C203">
        <v>510</v>
      </c>
      <c r="D203" t="s">
        <v>21</v>
      </c>
      <c r="E203" t="s">
        <v>27</v>
      </c>
      <c r="F203">
        <v>22</v>
      </c>
      <c r="G203">
        <v>152</v>
      </c>
      <c r="H203">
        <v>63</v>
      </c>
      <c r="I203">
        <v>25.84</v>
      </c>
      <c r="J203">
        <v>258.8</v>
      </c>
      <c r="K203">
        <v>131</v>
      </c>
      <c r="L203">
        <v>22</v>
      </c>
      <c r="M203">
        <v>263.2</v>
      </c>
      <c r="N203">
        <v>109</v>
      </c>
      <c r="O203">
        <v>11.84</v>
      </c>
      <c r="P203">
        <v>15.7</v>
      </c>
      <c r="Q203">
        <v>5</v>
      </c>
      <c r="R203">
        <v>4.24</v>
      </c>
      <c r="S203">
        <v>2</v>
      </c>
      <c r="T203" t="b">
        <v>1</v>
      </c>
      <c r="U203">
        <f>IFERROR(SUM(Table1[[#This Row],[Total day minutes]],Table1[[#This Row],[Total eve minutes]],Table1[[#This Row],[Total night minutes]],Table1[[#This Row],[Total intl minutes]]),0)</f>
        <v>689.7</v>
      </c>
      <c r="V203">
        <f>SUM(Table1[[#This Row],[Total intl charge]],Table1[[#This Row],[Total night charge]],Table1[[#This Row],[Total eve charge]],Table1[[#This Row],[Total day charge]])</f>
        <v>63.92</v>
      </c>
      <c r="W203">
        <f>SUM(Table1[[#This Row],[Total intl calls]],Table1[[#This Row],[Total night calls]],Table1[[#This Row],[Total eve calls]],Table1[[#This Row],[Total day calls]])</f>
        <v>308</v>
      </c>
      <c r="X203" t="str" cm="1">
        <f t="array" ref="X203">_xlfn.IFS(Table1[[#This Row],[Customer service calls]]&gt;=4,"High risk",Table1[[#This Row],[Customer service calls]]&gt;=2,"Medium risk",TRUE,"Low risk")</f>
        <v>Medium risk</v>
      </c>
      <c r="Y203" t="str" cm="1">
        <f t="array" ref="Y203">IFERROR(_xlfn.IFS(Table1[[#This Row],[Total usage(Min)]]&gt;=AVERAGE(U:U)*1.1,"High risk",Table1[[#This Row],[Total usage(Min)]]&lt;= AVERAGE(U:U)*0.9,"Low risk",TRUE,"Medium risk"),"N/A")</f>
        <v>High risk</v>
      </c>
      <c r="Z203" t="str" cm="1">
        <f t="array" ref="Z203">IFERROR(_xlfn.IFS(Table1[[#This Row],[Total charges]]&gt;=AVERAGE(V:V)*1.1,"High risk",Table1[[#This Row],[Total charges]]&lt;=AVERAGE(V:V)*0.9,"Low risk",TRUE,"Medium risk"),"N/A")</f>
        <v>Medium risk</v>
      </c>
      <c r="AA2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03" t="str" cm="1">
        <f t="array" ref="AC203">_xlfn.IFS(
AND(Table1[[#This Row],[Customer service risk level]]="High risk", Table1[[#This Row],[Intl usage behaviour]]="Unplanned Usage"),"High Risk",
OR(Table1[[#This Row],[Customer service risk level]]="Medium risk", Table1[[#This Row],[Charges risk level]]="High risk "),"Medium Risk",
TRUE,"Low Risk"
)</f>
        <v>Medium Risk</v>
      </c>
    </row>
    <row r="204" spans="1:29" x14ac:dyDescent="0.25">
      <c r="A204" t="s">
        <v>70</v>
      </c>
      <c r="B204">
        <v>59</v>
      </c>
      <c r="C204">
        <v>415</v>
      </c>
      <c r="D204" t="s">
        <v>21</v>
      </c>
      <c r="E204" t="s">
        <v>21</v>
      </c>
      <c r="F204">
        <v>0</v>
      </c>
      <c r="G204">
        <v>160.9</v>
      </c>
      <c r="H204">
        <v>95</v>
      </c>
      <c r="I204">
        <v>27.35</v>
      </c>
      <c r="J204">
        <v>251.2</v>
      </c>
      <c r="K204">
        <v>65</v>
      </c>
      <c r="L204">
        <v>21.35</v>
      </c>
      <c r="M204">
        <v>273.39999999999998</v>
      </c>
      <c r="N204">
        <v>97</v>
      </c>
      <c r="O204">
        <v>12.3</v>
      </c>
      <c r="P204">
        <v>5</v>
      </c>
      <c r="Q204">
        <v>5</v>
      </c>
      <c r="R204">
        <v>1.35</v>
      </c>
      <c r="S204">
        <v>3</v>
      </c>
      <c r="T204" t="b">
        <v>0</v>
      </c>
      <c r="U204">
        <f>IFERROR(SUM(Table1[[#This Row],[Total day minutes]],Table1[[#This Row],[Total eve minutes]],Table1[[#This Row],[Total night minutes]],Table1[[#This Row],[Total intl minutes]]),0)</f>
        <v>690.5</v>
      </c>
      <c r="V204">
        <f>SUM(Table1[[#This Row],[Total intl charge]],Table1[[#This Row],[Total night charge]],Table1[[#This Row],[Total eve charge]],Table1[[#This Row],[Total day charge]])</f>
        <v>62.35</v>
      </c>
      <c r="W204">
        <f>SUM(Table1[[#This Row],[Total intl calls]],Table1[[#This Row],[Total night calls]],Table1[[#This Row],[Total eve calls]],Table1[[#This Row],[Total day calls]])</f>
        <v>262</v>
      </c>
      <c r="X204" t="str" cm="1">
        <f t="array" ref="X204">_xlfn.IFS(Table1[[#This Row],[Customer service calls]]&gt;=4,"High risk",Table1[[#This Row],[Customer service calls]]&gt;=2,"Medium risk",TRUE,"Low risk")</f>
        <v>Medium risk</v>
      </c>
      <c r="Y204" t="str" cm="1">
        <f t="array" ref="Y204">IFERROR(_xlfn.IFS(Table1[[#This Row],[Total usage(Min)]]&gt;=AVERAGE(U:U)*1.1,"High risk",Table1[[#This Row],[Total usage(Min)]]&lt;= AVERAGE(U:U)*0.9,"Low risk",TRUE,"Medium risk"),"N/A")</f>
        <v>High risk</v>
      </c>
      <c r="Z204" t="str" cm="1">
        <f t="array" ref="Z204">IFERROR(_xlfn.IFS(Table1[[#This Row],[Total charges]]&gt;=AVERAGE(V:V)*1.1,"High risk",Table1[[#This Row],[Total charges]]&lt;=AVERAGE(V:V)*0.9,"Low risk",TRUE,"Medium risk"),"N/A")</f>
        <v>Medium risk</v>
      </c>
      <c r="AA2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4" t="str" cm="1">
        <f t="array" ref="AC204">_xlfn.IFS(
AND(Table1[[#This Row],[Customer service risk level]]="High risk", Table1[[#This Row],[Intl usage behaviour]]="Unplanned Usage"),"High Risk",
OR(Table1[[#This Row],[Customer service risk level]]="Medium risk", Table1[[#This Row],[Charges risk level]]="High risk "),"Medium Risk",
TRUE,"Low Risk"
)</f>
        <v>Medium Risk</v>
      </c>
    </row>
    <row r="205" spans="1:29" x14ac:dyDescent="0.25">
      <c r="A205" t="s">
        <v>58</v>
      </c>
      <c r="B205">
        <v>129</v>
      </c>
      <c r="C205">
        <v>510</v>
      </c>
      <c r="D205" t="s">
        <v>21</v>
      </c>
      <c r="E205" t="s">
        <v>21</v>
      </c>
      <c r="F205">
        <v>0</v>
      </c>
      <c r="G205">
        <v>334.3</v>
      </c>
      <c r="H205">
        <v>118</v>
      </c>
      <c r="I205">
        <v>56.83</v>
      </c>
      <c r="J205">
        <v>192.1</v>
      </c>
      <c r="K205">
        <v>104</v>
      </c>
      <c r="L205">
        <v>16.329999999999998</v>
      </c>
      <c r="M205">
        <v>191</v>
      </c>
      <c r="N205">
        <v>83</v>
      </c>
      <c r="O205">
        <v>8.59</v>
      </c>
      <c r="P205">
        <v>10.4</v>
      </c>
      <c r="Q205">
        <v>6</v>
      </c>
      <c r="R205">
        <v>2.81</v>
      </c>
      <c r="S205">
        <v>0</v>
      </c>
      <c r="T205" t="b">
        <v>1</v>
      </c>
      <c r="U205">
        <f>IFERROR(SUM(Table1[[#This Row],[Total day minutes]],Table1[[#This Row],[Total eve minutes]],Table1[[#This Row],[Total night minutes]],Table1[[#This Row],[Total intl minutes]]),0)</f>
        <v>727.8</v>
      </c>
      <c r="V205">
        <f>SUM(Table1[[#This Row],[Total intl charge]],Table1[[#This Row],[Total night charge]],Table1[[#This Row],[Total eve charge]],Table1[[#This Row],[Total day charge]])</f>
        <v>84.56</v>
      </c>
      <c r="W205">
        <f>SUM(Table1[[#This Row],[Total intl calls]],Table1[[#This Row],[Total night calls]],Table1[[#This Row],[Total eve calls]],Table1[[#This Row],[Total day calls]])</f>
        <v>311</v>
      </c>
      <c r="X205" t="str" cm="1">
        <f t="array" ref="X205">_xlfn.IFS(Table1[[#This Row],[Customer service calls]]&gt;=4,"High risk",Table1[[#This Row],[Customer service calls]]&gt;=2,"Medium risk",TRUE,"Low risk")</f>
        <v>Low risk</v>
      </c>
      <c r="Y205" t="str" cm="1">
        <f t="array" ref="Y205">IFERROR(_xlfn.IFS(Table1[[#This Row],[Total usage(Min)]]&gt;=AVERAGE(U:U)*1.1,"High risk",Table1[[#This Row],[Total usage(Min)]]&lt;= AVERAGE(U:U)*0.9,"Low risk",TRUE,"Medium risk"),"N/A")</f>
        <v>High risk</v>
      </c>
      <c r="Z205" t="str" cm="1">
        <f t="array" ref="Z205">IFERROR(_xlfn.IFS(Table1[[#This Row],[Total charges]]&gt;=AVERAGE(V:V)*1.1,"High risk",Table1[[#This Row],[Total charges]]&lt;=AVERAGE(V:V)*0.9,"Low risk",TRUE,"Medium risk"),"N/A")</f>
        <v>High risk</v>
      </c>
      <c r="AA2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5" t="str" cm="1">
        <f t="array" ref="AC205">_xlfn.IFS(
AND(Table1[[#This Row],[Customer service risk level]]="High risk", Table1[[#This Row],[Intl usage behaviour]]="Unplanned Usage"),"High Risk",
OR(Table1[[#This Row],[Customer service risk level]]="Medium risk", Table1[[#This Row],[Charges risk level]]="High risk "),"Medium Risk",
TRUE,"Low Risk"
)</f>
        <v>Low Risk</v>
      </c>
    </row>
    <row r="206" spans="1:29" x14ac:dyDescent="0.25">
      <c r="A206" t="s">
        <v>48</v>
      </c>
      <c r="B206">
        <v>50</v>
      </c>
      <c r="C206">
        <v>510</v>
      </c>
      <c r="D206" t="s">
        <v>21</v>
      </c>
      <c r="E206" t="s">
        <v>21</v>
      </c>
      <c r="F206">
        <v>0</v>
      </c>
      <c r="G206">
        <v>188.9</v>
      </c>
      <c r="H206">
        <v>94</v>
      </c>
      <c r="I206">
        <v>32.11</v>
      </c>
      <c r="J206">
        <v>203.9</v>
      </c>
      <c r="K206">
        <v>104</v>
      </c>
      <c r="L206">
        <v>17.329999999999998</v>
      </c>
      <c r="M206">
        <v>151.80000000000001</v>
      </c>
      <c r="N206">
        <v>124</v>
      </c>
      <c r="O206">
        <v>6.83</v>
      </c>
      <c r="P206">
        <v>11.6</v>
      </c>
      <c r="Q206">
        <v>8</v>
      </c>
      <c r="R206">
        <v>3.13</v>
      </c>
      <c r="S206">
        <v>3</v>
      </c>
      <c r="T206" t="b">
        <v>0</v>
      </c>
      <c r="U206">
        <f>IFERROR(SUM(Table1[[#This Row],[Total day minutes]],Table1[[#This Row],[Total eve minutes]],Table1[[#This Row],[Total night minutes]],Table1[[#This Row],[Total intl minutes]]),0)</f>
        <v>556.20000000000005</v>
      </c>
      <c r="V206">
        <f>SUM(Table1[[#This Row],[Total intl charge]],Table1[[#This Row],[Total night charge]],Table1[[#This Row],[Total eve charge]],Table1[[#This Row],[Total day charge]])</f>
        <v>59.4</v>
      </c>
      <c r="W206">
        <f>SUM(Table1[[#This Row],[Total intl calls]],Table1[[#This Row],[Total night calls]],Table1[[#This Row],[Total eve calls]],Table1[[#This Row],[Total day calls]])</f>
        <v>330</v>
      </c>
      <c r="X206" t="str" cm="1">
        <f t="array" ref="X206">_xlfn.IFS(Table1[[#This Row],[Customer service calls]]&gt;=4,"High risk",Table1[[#This Row],[Customer service calls]]&gt;=2,"Medium risk",TRUE,"Low risk")</f>
        <v>Medium risk</v>
      </c>
      <c r="Y206" t="str" cm="1">
        <f t="array" ref="Y206">IFERROR(_xlfn.IFS(Table1[[#This Row],[Total usage(Min)]]&gt;=AVERAGE(U:U)*1.1,"High risk",Table1[[#This Row],[Total usage(Min)]]&lt;= AVERAGE(U:U)*0.9,"Low risk",TRUE,"Medium risk"),"N/A")</f>
        <v>Medium risk</v>
      </c>
      <c r="Z206" t="str" cm="1">
        <f t="array" ref="Z206">IFERROR(_xlfn.IFS(Table1[[#This Row],[Total charges]]&gt;=AVERAGE(V:V)*1.1,"High risk",Table1[[#This Row],[Total charges]]&lt;=AVERAGE(V:V)*0.9,"Low risk",TRUE,"Medium risk"),"N/A")</f>
        <v>Medium risk</v>
      </c>
      <c r="AA2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6" t="str" cm="1">
        <f t="array" ref="AC206">_xlfn.IFS(
AND(Table1[[#This Row],[Customer service risk level]]="High risk", Table1[[#This Row],[Intl usage behaviour]]="Unplanned Usage"),"High Risk",
OR(Table1[[#This Row],[Customer service risk level]]="Medium risk", Table1[[#This Row],[Charges risk level]]="High risk "),"Medium Risk",
TRUE,"Low Risk"
)</f>
        <v>Medium Risk</v>
      </c>
    </row>
    <row r="207" spans="1:29" x14ac:dyDescent="0.25">
      <c r="A207" t="s">
        <v>28</v>
      </c>
      <c r="B207">
        <v>50</v>
      </c>
      <c r="C207">
        <v>415</v>
      </c>
      <c r="D207" t="s">
        <v>21</v>
      </c>
      <c r="E207" t="s">
        <v>27</v>
      </c>
      <c r="F207">
        <v>35</v>
      </c>
      <c r="G207">
        <v>192.6</v>
      </c>
      <c r="H207">
        <v>97</v>
      </c>
      <c r="I207">
        <v>32.74</v>
      </c>
      <c r="J207">
        <v>135.19999999999999</v>
      </c>
      <c r="K207">
        <v>101</v>
      </c>
      <c r="L207">
        <v>11.49</v>
      </c>
      <c r="M207">
        <v>216.2</v>
      </c>
      <c r="N207">
        <v>101</v>
      </c>
      <c r="O207">
        <v>9.73</v>
      </c>
      <c r="P207">
        <v>7.9</v>
      </c>
      <c r="Q207">
        <v>2</v>
      </c>
      <c r="R207">
        <v>2.13</v>
      </c>
      <c r="S207">
        <v>2</v>
      </c>
      <c r="T207" t="b">
        <v>0</v>
      </c>
      <c r="U207">
        <f>IFERROR(SUM(Table1[[#This Row],[Total day minutes]],Table1[[#This Row],[Total eve minutes]],Table1[[#This Row],[Total night minutes]],Table1[[#This Row],[Total intl minutes]]),0)</f>
        <v>551.9</v>
      </c>
      <c r="V207">
        <f>SUM(Table1[[#This Row],[Total intl charge]],Table1[[#This Row],[Total night charge]],Table1[[#This Row],[Total eve charge]],Table1[[#This Row],[Total day charge]])</f>
        <v>56.09</v>
      </c>
      <c r="W207">
        <f>SUM(Table1[[#This Row],[Total intl calls]],Table1[[#This Row],[Total night calls]],Table1[[#This Row],[Total eve calls]],Table1[[#This Row],[Total day calls]])</f>
        <v>301</v>
      </c>
      <c r="X207" t="str" cm="1">
        <f t="array" ref="X207">_xlfn.IFS(Table1[[#This Row],[Customer service calls]]&gt;=4,"High risk",Table1[[#This Row],[Customer service calls]]&gt;=2,"Medium risk",TRUE,"Low risk")</f>
        <v>Medium risk</v>
      </c>
      <c r="Y207" t="str" cm="1">
        <f t="array" ref="Y207">IFERROR(_xlfn.IFS(Table1[[#This Row],[Total usage(Min)]]&gt;=AVERAGE(U:U)*1.1,"High risk",Table1[[#This Row],[Total usage(Min)]]&lt;= AVERAGE(U:U)*0.9,"Low risk",TRUE,"Medium risk"),"N/A")</f>
        <v>Medium risk</v>
      </c>
      <c r="Z207" t="str" cm="1">
        <f t="array" ref="Z207">IFERROR(_xlfn.IFS(Table1[[#This Row],[Total charges]]&gt;=AVERAGE(V:V)*1.1,"High risk",Table1[[#This Row],[Total charges]]&lt;=AVERAGE(V:V)*0.9,"Low risk",TRUE,"Medium risk"),"N/A")</f>
        <v>Medium risk</v>
      </c>
      <c r="AA2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07" t="str" cm="1">
        <f t="array" ref="AC207">_xlfn.IFS(
AND(Table1[[#This Row],[Customer service risk level]]="High risk", Table1[[#This Row],[Intl usage behaviour]]="Unplanned Usage"),"High Risk",
OR(Table1[[#This Row],[Customer service risk level]]="Medium risk", Table1[[#This Row],[Charges risk level]]="High risk "),"Medium Risk",
TRUE,"Low Risk"
)</f>
        <v>Medium Risk</v>
      </c>
    </row>
    <row r="208" spans="1:29" x14ac:dyDescent="0.25">
      <c r="A208" t="s">
        <v>49</v>
      </c>
      <c r="B208">
        <v>116</v>
      </c>
      <c r="C208">
        <v>415</v>
      </c>
      <c r="D208" t="s">
        <v>21</v>
      </c>
      <c r="E208" t="s">
        <v>21</v>
      </c>
      <c r="F208">
        <v>0</v>
      </c>
      <c r="G208">
        <v>217.3</v>
      </c>
      <c r="H208">
        <v>91</v>
      </c>
      <c r="I208">
        <v>36.94</v>
      </c>
      <c r="J208">
        <v>216.1</v>
      </c>
      <c r="K208">
        <v>95</v>
      </c>
      <c r="L208">
        <v>18.37</v>
      </c>
      <c r="M208">
        <v>148.1</v>
      </c>
      <c r="N208">
        <v>76</v>
      </c>
      <c r="O208">
        <v>6.66</v>
      </c>
      <c r="P208">
        <v>11.3</v>
      </c>
      <c r="Q208">
        <v>3</v>
      </c>
      <c r="R208">
        <v>3.05</v>
      </c>
      <c r="S208">
        <v>2</v>
      </c>
      <c r="T208" t="b">
        <v>0</v>
      </c>
      <c r="U208">
        <f>IFERROR(SUM(Table1[[#This Row],[Total day minutes]],Table1[[#This Row],[Total eve minutes]],Table1[[#This Row],[Total night minutes]],Table1[[#This Row],[Total intl minutes]]),0)</f>
        <v>592.79999999999995</v>
      </c>
      <c r="V208">
        <f>SUM(Table1[[#This Row],[Total intl charge]],Table1[[#This Row],[Total night charge]],Table1[[#This Row],[Total eve charge]],Table1[[#This Row],[Total day charge]])</f>
        <v>65.02</v>
      </c>
      <c r="W208">
        <f>SUM(Table1[[#This Row],[Total intl calls]],Table1[[#This Row],[Total night calls]],Table1[[#This Row],[Total eve calls]],Table1[[#This Row],[Total day calls]])</f>
        <v>265</v>
      </c>
      <c r="X208" t="str" cm="1">
        <f t="array" ref="X208">_xlfn.IFS(Table1[[#This Row],[Customer service calls]]&gt;=4,"High risk",Table1[[#This Row],[Customer service calls]]&gt;=2,"Medium risk",TRUE,"Low risk")</f>
        <v>Medium risk</v>
      </c>
      <c r="Y208" t="str" cm="1">
        <f t="array" ref="Y208">IFERROR(_xlfn.IFS(Table1[[#This Row],[Total usage(Min)]]&gt;=AVERAGE(U:U)*1.1,"High risk",Table1[[#This Row],[Total usage(Min)]]&lt;= AVERAGE(U:U)*0.9,"Low risk",TRUE,"Medium risk"),"N/A")</f>
        <v>Medium risk</v>
      </c>
      <c r="Z208" t="str" cm="1">
        <f t="array" ref="Z208">IFERROR(_xlfn.IFS(Table1[[#This Row],[Total charges]]&gt;=AVERAGE(V:V)*1.1,"High risk",Table1[[#This Row],[Total charges]]&lt;=AVERAGE(V:V)*0.9,"Low risk",TRUE,"Medium risk"),"N/A")</f>
        <v>Medium risk</v>
      </c>
      <c r="AA2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08" t="str" cm="1">
        <f t="array" ref="AC208">_xlfn.IFS(
AND(Table1[[#This Row],[Customer service risk level]]="High risk", Table1[[#This Row],[Intl usage behaviour]]="Unplanned Usage"),"High Risk",
OR(Table1[[#This Row],[Customer service risk level]]="Medium risk", Table1[[#This Row],[Charges risk level]]="High risk "),"Medium Risk",
TRUE,"Low Risk"
)</f>
        <v>Medium Risk</v>
      </c>
    </row>
    <row r="209" spans="1:29" x14ac:dyDescent="0.25">
      <c r="A209" t="s">
        <v>55</v>
      </c>
      <c r="B209">
        <v>52</v>
      </c>
      <c r="C209">
        <v>510</v>
      </c>
      <c r="D209" t="s">
        <v>21</v>
      </c>
      <c r="E209" t="s">
        <v>27</v>
      </c>
      <c r="F209">
        <v>38</v>
      </c>
      <c r="G209">
        <v>169.3</v>
      </c>
      <c r="H209">
        <v>88</v>
      </c>
      <c r="I209">
        <v>28.78</v>
      </c>
      <c r="J209">
        <v>225.9</v>
      </c>
      <c r="K209">
        <v>97</v>
      </c>
      <c r="L209">
        <v>19.2</v>
      </c>
      <c r="M209">
        <v>172</v>
      </c>
      <c r="N209">
        <v>86</v>
      </c>
      <c r="O209">
        <v>7.74</v>
      </c>
      <c r="P209">
        <v>8.1999999999999993</v>
      </c>
      <c r="Q209">
        <v>3</v>
      </c>
      <c r="R209">
        <v>2.21</v>
      </c>
      <c r="S209">
        <v>0</v>
      </c>
      <c r="T209" t="b">
        <v>0</v>
      </c>
      <c r="U209">
        <f>IFERROR(SUM(Table1[[#This Row],[Total day minutes]],Table1[[#This Row],[Total eve minutes]],Table1[[#This Row],[Total night minutes]],Table1[[#This Row],[Total intl minutes]]),0)</f>
        <v>575.40000000000009</v>
      </c>
      <c r="V209">
        <f>SUM(Table1[[#This Row],[Total intl charge]],Table1[[#This Row],[Total night charge]],Table1[[#This Row],[Total eve charge]],Table1[[#This Row],[Total day charge]])</f>
        <v>57.93</v>
      </c>
      <c r="W209">
        <f>SUM(Table1[[#This Row],[Total intl calls]],Table1[[#This Row],[Total night calls]],Table1[[#This Row],[Total eve calls]],Table1[[#This Row],[Total day calls]])</f>
        <v>274</v>
      </c>
      <c r="X209" t="str" cm="1">
        <f t="array" ref="X209">_xlfn.IFS(Table1[[#This Row],[Customer service calls]]&gt;=4,"High risk",Table1[[#This Row],[Customer service calls]]&gt;=2,"Medium risk",TRUE,"Low risk")</f>
        <v>Low risk</v>
      </c>
      <c r="Y209" t="str" cm="1">
        <f t="array" ref="Y209">IFERROR(_xlfn.IFS(Table1[[#This Row],[Total usage(Min)]]&gt;=AVERAGE(U:U)*1.1,"High risk",Table1[[#This Row],[Total usage(Min)]]&lt;= AVERAGE(U:U)*0.9,"Low risk",TRUE,"Medium risk"),"N/A")</f>
        <v>Medium risk</v>
      </c>
      <c r="Z209" t="str" cm="1">
        <f t="array" ref="Z209">IFERROR(_xlfn.IFS(Table1[[#This Row],[Total charges]]&gt;=AVERAGE(V:V)*1.1,"High risk",Table1[[#This Row],[Total charges]]&lt;=AVERAGE(V:V)*0.9,"Low risk",TRUE,"Medium risk"),"N/A")</f>
        <v>Medium risk</v>
      </c>
      <c r="AA2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0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09" t="str" cm="1">
        <f t="array" ref="AC209">_xlfn.IFS(
AND(Table1[[#This Row],[Customer service risk level]]="High risk", Table1[[#This Row],[Intl usage behaviour]]="Unplanned Usage"),"High Risk",
OR(Table1[[#This Row],[Customer service risk level]]="Medium risk", Table1[[#This Row],[Charges risk level]]="High risk "),"Medium Risk",
TRUE,"Low Risk"
)</f>
        <v>Low Risk</v>
      </c>
    </row>
    <row r="210" spans="1:29" x14ac:dyDescent="0.25">
      <c r="A210" t="s">
        <v>68</v>
      </c>
      <c r="B210">
        <v>12</v>
      </c>
      <c r="C210">
        <v>510</v>
      </c>
      <c r="D210" t="s">
        <v>27</v>
      </c>
      <c r="E210" t="s">
        <v>21</v>
      </c>
      <c r="F210">
        <v>0</v>
      </c>
      <c r="G210">
        <v>216.7</v>
      </c>
      <c r="H210">
        <v>117</v>
      </c>
      <c r="I210">
        <v>36.840000000000003</v>
      </c>
      <c r="J210">
        <v>116.5</v>
      </c>
      <c r="K210">
        <v>126</v>
      </c>
      <c r="L210">
        <v>9.9</v>
      </c>
      <c r="M210">
        <v>220</v>
      </c>
      <c r="N210">
        <v>110</v>
      </c>
      <c r="O210">
        <v>9.9</v>
      </c>
      <c r="P210">
        <v>9.8000000000000007</v>
      </c>
      <c r="Q210">
        <v>4</v>
      </c>
      <c r="R210">
        <v>2.65</v>
      </c>
      <c r="S210">
        <v>2</v>
      </c>
      <c r="T210" t="b">
        <v>0</v>
      </c>
      <c r="U210">
        <f>IFERROR(SUM(Table1[[#This Row],[Total day minutes]],Table1[[#This Row],[Total eve minutes]],Table1[[#This Row],[Total night minutes]],Table1[[#This Row],[Total intl minutes]]),0)</f>
        <v>563</v>
      </c>
      <c r="V210">
        <f>SUM(Table1[[#This Row],[Total intl charge]],Table1[[#This Row],[Total night charge]],Table1[[#This Row],[Total eve charge]],Table1[[#This Row],[Total day charge]])</f>
        <v>59.290000000000006</v>
      </c>
      <c r="W210">
        <f>SUM(Table1[[#This Row],[Total intl calls]],Table1[[#This Row],[Total night calls]],Table1[[#This Row],[Total eve calls]],Table1[[#This Row],[Total day calls]])</f>
        <v>357</v>
      </c>
      <c r="X210" t="str" cm="1">
        <f t="array" ref="X210">_xlfn.IFS(Table1[[#This Row],[Customer service calls]]&gt;=4,"High risk",Table1[[#This Row],[Customer service calls]]&gt;=2,"Medium risk",TRUE,"Low risk")</f>
        <v>Medium risk</v>
      </c>
      <c r="Y210" t="str" cm="1">
        <f t="array" ref="Y210">IFERROR(_xlfn.IFS(Table1[[#This Row],[Total usage(Min)]]&gt;=AVERAGE(U:U)*1.1,"High risk",Table1[[#This Row],[Total usage(Min)]]&lt;= AVERAGE(U:U)*0.9,"Low risk",TRUE,"Medium risk"),"N/A")</f>
        <v>Medium risk</v>
      </c>
      <c r="Z210" t="str" cm="1">
        <f t="array" ref="Z210">IFERROR(_xlfn.IFS(Table1[[#This Row],[Total charges]]&gt;=AVERAGE(V:V)*1.1,"High risk",Table1[[#This Row],[Total charges]]&lt;=AVERAGE(V:V)*0.9,"Low risk",TRUE,"Medium risk"),"N/A")</f>
        <v>Medium risk</v>
      </c>
      <c r="AA2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1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0" t="str" cm="1">
        <f t="array" ref="AC210">_xlfn.IFS(
AND(Table1[[#This Row],[Customer service risk level]]="High risk", Table1[[#This Row],[Intl usage behaviour]]="Unplanned Usage"),"High Risk",
OR(Table1[[#This Row],[Customer service risk level]]="Medium risk", Table1[[#This Row],[Charges risk level]]="High risk "),"Medium Risk",
TRUE,"Low Risk"
)</f>
        <v>Medium Risk</v>
      </c>
    </row>
    <row r="211" spans="1:29" x14ac:dyDescent="0.25">
      <c r="A211" t="s">
        <v>68</v>
      </c>
      <c r="B211">
        <v>105</v>
      </c>
      <c r="C211">
        <v>510</v>
      </c>
      <c r="D211" t="s">
        <v>21</v>
      </c>
      <c r="E211" t="s">
        <v>21</v>
      </c>
      <c r="F211">
        <v>0</v>
      </c>
      <c r="G211">
        <v>246.4</v>
      </c>
      <c r="H211">
        <v>83</v>
      </c>
      <c r="I211">
        <v>41.89</v>
      </c>
      <c r="J211">
        <v>256.2</v>
      </c>
      <c r="K211">
        <v>101</v>
      </c>
      <c r="L211">
        <v>21.78</v>
      </c>
      <c r="M211">
        <v>169</v>
      </c>
      <c r="N211">
        <v>151</v>
      </c>
      <c r="O211">
        <v>7.61</v>
      </c>
      <c r="P211">
        <v>3.8</v>
      </c>
      <c r="Q211">
        <v>4</v>
      </c>
      <c r="R211">
        <v>1.03</v>
      </c>
      <c r="S211">
        <v>0</v>
      </c>
      <c r="T211" t="b">
        <v>0</v>
      </c>
      <c r="U211">
        <f>IFERROR(SUM(Table1[[#This Row],[Total day minutes]],Table1[[#This Row],[Total eve minutes]],Table1[[#This Row],[Total night minutes]],Table1[[#This Row],[Total intl minutes]]),0)</f>
        <v>675.4</v>
      </c>
      <c r="V211">
        <f>SUM(Table1[[#This Row],[Total intl charge]],Table1[[#This Row],[Total night charge]],Table1[[#This Row],[Total eve charge]],Table1[[#This Row],[Total day charge]])</f>
        <v>72.31</v>
      </c>
      <c r="W211">
        <f>SUM(Table1[[#This Row],[Total intl calls]],Table1[[#This Row],[Total night calls]],Table1[[#This Row],[Total eve calls]],Table1[[#This Row],[Total day calls]])</f>
        <v>339</v>
      </c>
      <c r="X211" t="str" cm="1">
        <f t="array" ref="X211">_xlfn.IFS(Table1[[#This Row],[Customer service calls]]&gt;=4,"High risk",Table1[[#This Row],[Customer service calls]]&gt;=2,"Medium risk",TRUE,"Low risk")</f>
        <v>Low risk</v>
      </c>
      <c r="Y211" t="str" cm="1">
        <f t="array" ref="Y211">IFERROR(_xlfn.IFS(Table1[[#This Row],[Total usage(Min)]]&gt;=AVERAGE(U:U)*1.1,"High risk",Table1[[#This Row],[Total usage(Min)]]&lt;= AVERAGE(U:U)*0.9,"Low risk",TRUE,"Medium risk"),"N/A")</f>
        <v>High risk</v>
      </c>
      <c r="Z211" t="str" cm="1">
        <f t="array" ref="Z211">IFERROR(_xlfn.IFS(Table1[[#This Row],[Total charges]]&gt;=AVERAGE(V:V)*1.1,"High risk",Table1[[#This Row],[Total charges]]&lt;=AVERAGE(V:V)*0.9,"Low risk",TRUE,"Medium risk"),"N/A")</f>
        <v>High risk</v>
      </c>
      <c r="AA2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1" t="str" cm="1">
        <f t="array" ref="AC211">_xlfn.IFS(
AND(Table1[[#This Row],[Customer service risk level]]="High risk", Table1[[#This Row],[Intl usage behaviour]]="Unplanned Usage"),"High Risk",
OR(Table1[[#This Row],[Customer service risk level]]="Medium risk", Table1[[#This Row],[Charges risk level]]="High risk "),"Medium Risk",
TRUE,"Low Risk"
)</f>
        <v>Low Risk</v>
      </c>
    </row>
    <row r="212" spans="1:29" x14ac:dyDescent="0.25">
      <c r="A212" t="s">
        <v>23</v>
      </c>
      <c r="B212">
        <v>104</v>
      </c>
      <c r="C212">
        <v>415</v>
      </c>
      <c r="D212" t="s">
        <v>21</v>
      </c>
      <c r="E212" t="s">
        <v>21</v>
      </c>
      <c r="F212">
        <v>0</v>
      </c>
      <c r="G212">
        <v>156.19999999999999</v>
      </c>
      <c r="H212">
        <v>93</v>
      </c>
      <c r="I212">
        <v>26.55</v>
      </c>
      <c r="J212">
        <v>193</v>
      </c>
      <c r="K212">
        <v>54</v>
      </c>
      <c r="L212">
        <v>16.41</v>
      </c>
      <c r="M212">
        <v>222.7</v>
      </c>
      <c r="N212">
        <v>94</v>
      </c>
      <c r="O212">
        <v>10.02</v>
      </c>
      <c r="P212">
        <v>13.1</v>
      </c>
      <c r="Q212">
        <v>5</v>
      </c>
      <c r="R212">
        <v>3.54</v>
      </c>
      <c r="S212">
        <v>1</v>
      </c>
      <c r="T212" t="b">
        <v>0</v>
      </c>
      <c r="U212">
        <f>IFERROR(SUM(Table1[[#This Row],[Total day minutes]],Table1[[#This Row],[Total eve minutes]],Table1[[#This Row],[Total night minutes]],Table1[[#This Row],[Total intl minutes]]),0)</f>
        <v>585</v>
      </c>
      <c r="V212">
        <f>SUM(Table1[[#This Row],[Total intl charge]],Table1[[#This Row],[Total night charge]],Table1[[#This Row],[Total eve charge]],Table1[[#This Row],[Total day charge]])</f>
        <v>56.519999999999996</v>
      </c>
      <c r="W212">
        <f>SUM(Table1[[#This Row],[Total intl calls]],Table1[[#This Row],[Total night calls]],Table1[[#This Row],[Total eve calls]],Table1[[#This Row],[Total day calls]])</f>
        <v>246</v>
      </c>
      <c r="X212" t="str" cm="1">
        <f t="array" ref="X212">_xlfn.IFS(Table1[[#This Row],[Customer service calls]]&gt;=4,"High risk",Table1[[#This Row],[Customer service calls]]&gt;=2,"Medium risk",TRUE,"Low risk")</f>
        <v>Low risk</v>
      </c>
      <c r="Y212" t="str" cm="1">
        <f t="array" ref="Y212">IFERROR(_xlfn.IFS(Table1[[#This Row],[Total usage(Min)]]&gt;=AVERAGE(U:U)*1.1,"High risk",Table1[[#This Row],[Total usage(Min)]]&lt;= AVERAGE(U:U)*0.9,"Low risk",TRUE,"Medium risk"),"N/A")</f>
        <v>Medium risk</v>
      </c>
      <c r="Z212" t="str" cm="1">
        <f t="array" ref="Z212">IFERROR(_xlfn.IFS(Table1[[#This Row],[Total charges]]&gt;=AVERAGE(V:V)*1.1,"High risk",Table1[[#This Row],[Total charges]]&lt;=AVERAGE(V:V)*0.9,"Low risk",TRUE,"Medium risk"),"N/A")</f>
        <v>Medium risk</v>
      </c>
      <c r="AA2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2" t="str" cm="1">
        <f t="array" ref="AC212">_xlfn.IFS(
AND(Table1[[#This Row],[Customer service risk level]]="High risk", Table1[[#This Row],[Intl usage behaviour]]="Unplanned Usage"),"High Risk",
OR(Table1[[#This Row],[Customer service risk level]]="Medium risk", Table1[[#This Row],[Charges risk level]]="High risk "),"Medium Risk",
TRUE,"Low Risk"
)</f>
        <v>Low Risk</v>
      </c>
    </row>
    <row r="213" spans="1:29" x14ac:dyDescent="0.25">
      <c r="A213" t="s">
        <v>66</v>
      </c>
      <c r="B213">
        <v>13</v>
      </c>
      <c r="C213">
        <v>415</v>
      </c>
      <c r="D213" t="s">
        <v>21</v>
      </c>
      <c r="E213" t="s">
        <v>21</v>
      </c>
      <c r="F213">
        <v>0</v>
      </c>
      <c r="G213">
        <v>146.4</v>
      </c>
      <c r="H213">
        <v>74</v>
      </c>
      <c r="I213">
        <v>24.89</v>
      </c>
      <c r="J213">
        <v>148.5</v>
      </c>
      <c r="K213">
        <v>92</v>
      </c>
      <c r="L213">
        <v>12.62</v>
      </c>
      <c r="M213">
        <v>216.7</v>
      </c>
      <c r="N213">
        <v>96</v>
      </c>
      <c r="O213">
        <v>9.75</v>
      </c>
      <c r="P213">
        <v>11.3</v>
      </c>
      <c r="Q213">
        <v>3</v>
      </c>
      <c r="R213">
        <v>3.05</v>
      </c>
      <c r="S213">
        <v>1</v>
      </c>
      <c r="T213" t="b">
        <v>0</v>
      </c>
      <c r="U213">
        <f>IFERROR(SUM(Table1[[#This Row],[Total day minutes]],Table1[[#This Row],[Total eve minutes]],Table1[[#This Row],[Total night minutes]],Table1[[#This Row],[Total intl minutes]]),0)</f>
        <v>522.9</v>
      </c>
      <c r="V213">
        <f>SUM(Table1[[#This Row],[Total intl charge]],Table1[[#This Row],[Total night charge]],Table1[[#This Row],[Total eve charge]],Table1[[#This Row],[Total day charge]])</f>
        <v>50.31</v>
      </c>
      <c r="W213">
        <f>SUM(Table1[[#This Row],[Total intl calls]],Table1[[#This Row],[Total night calls]],Table1[[#This Row],[Total eve calls]],Table1[[#This Row],[Total day calls]])</f>
        <v>265</v>
      </c>
      <c r="X213" t="str" cm="1">
        <f t="array" ref="X213">_xlfn.IFS(Table1[[#This Row],[Customer service calls]]&gt;=4,"High risk",Table1[[#This Row],[Customer service calls]]&gt;=2,"Medium risk",TRUE,"Low risk")</f>
        <v>Low risk</v>
      </c>
      <c r="Y213" t="str" cm="1">
        <f t="array" ref="Y213">IFERROR(_xlfn.IFS(Table1[[#This Row],[Total usage(Min)]]&gt;=AVERAGE(U:U)*1.1,"High risk",Table1[[#This Row],[Total usage(Min)]]&lt;= AVERAGE(U:U)*0.9,"Low risk",TRUE,"Medium risk"),"N/A")</f>
        <v>Low risk</v>
      </c>
      <c r="Z213" t="str" cm="1">
        <f t="array" ref="Z213">IFERROR(_xlfn.IFS(Table1[[#This Row],[Total charges]]&gt;=AVERAGE(V:V)*1.1,"High risk",Table1[[#This Row],[Total charges]]&lt;=AVERAGE(V:V)*0.9,"Low risk",TRUE,"Medium risk"),"N/A")</f>
        <v>Low risk</v>
      </c>
      <c r="AA2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3" t="str" cm="1">
        <f t="array" ref="AC213">_xlfn.IFS(
AND(Table1[[#This Row],[Customer service risk level]]="High risk", Table1[[#This Row],[Intl usage behaviour]]="Unplanned Usage"),"High Risk",
OR(Table1[[#This Row],[Customer service risk level]]="Medium risk", Table1[[#This Row],[Charges risk level]]="High risk "),"Medium Risk",
TRUE,"Low Risk"
)</f>
        <v>Low Risk</v>
      </c>
    </row>
    <row r="214" spans="1:29" x14ac:dyDescent="0.25">
      <c r="A214" t="s">
        <v>66</v>
      </c>
      <c r="B214">
        <v>67</v>
      </c>
      <c r="C214">
        <v>408</v>
      </c>
      <c r="D214" t="s">
        <v>21</v>
      </c>
      <c r="E214" t="s">
        <v>21</v>
      </c>
      <c r="F214">
        <v>0</v>
      </c>
      <c r="G214">
        <v>167.8</v>
      </c>
      <c r="H214">
        <v>91</v>
      </c>
      <c r="I214">
        <v>28.53</v>
      </c>
      <c r="J214">
        <v>167.7</v>
      </c>
      <c r="K214">
        <v>69</v>
      </c>
      <c r="L214">
        <v>14.25</v>
      </c>
      <c r="M214">
        <v>110.3</v>
      </c>
      <c r="N214">
        <v>71</v>
      </c>
      <c r="O214">
        <v>4.96</v>
      </c>
      <c r="P214">
        <v>8.4</v>
      </c>
      <c r="Q214">
        <v>12</v>
      </c>
      <c r="R214">
        <v>2.27</v>
      </c>
      <c r="S214">
        <v>1</v>
      </c>
      <c r="T214" t="b">
        <v>0</v>
      </c>
      <c r="U214">
        <f>IFERROR(SUM(Table1[[#This Row],[Total day minutes]],Table1[[#This Row],[Total eve minutes]],Table1[[#This Row],[Total night minutes]],Table1[[#This Row],[Total intl minutes]]),0)</f>
        <v>454.2</v>
      </c>
      <c r="V214">
        <f>SUM(Table1[[#This Row],[Total intl charge]],Table1[[#This Row],[Total night charge]],Table1[[#This Row],[Total eve charge]],Table1[[#This Row],[Total day charge]])</f>
        <v>50.010000000000005</v>
      </c>
      <c r="W214">
        <f>SUM(Table1[[#This Row],[Total intl calls]],Table1[[#This Row],[Total night calls]],Table1[[#This Row],[Total eve calls]],Table1[[#This Row],[Total day calls]])</f>
        <v>243</v>
      </c>
      <c r="X214" t="str" cm="1">
        <f t="array" ref="X214">_xlfn.IFS(Table1[[#This Row],[Customer service calls]]&gt;=4,"High risk",Table1[[#This Row],[Customer service calls]]&gt;=2,"Medium risk",TRUE,"Low risk")</f>
        <v>Low risk</v>
      </c>
      <c r="Y214" t="str" cm="1">
        <f t="array" ref="Y214">IFERROR(_xlfn.IFS(Table1[[#This Row],[Total usage(Min)]]&gt;=AVERAGE(U:U)*1.1,"High risk",Table1[[#This Row],[Total usage(Min)]]&lt;= AVERAGE(U:U)*0.9,"Low risk",TRUE,"Medium risk"),"N/A")</f>
        <v>Low risk</v>
      </c>
      <c r="Z214" t="str" cm="1">
        <f t="array" ref="Z214">IFERROR(_xlfn.IFS(Table1[[#This Row],[Total charges]]&gt;=AVERAGE(V:V)*1.1,"High risk",Table1[[#This Row],[Total charges]]&lt;=AVERAGE(V:V)*0.9,"Low risk",TRUE,"Medium risk"),"N/A")</f>
        <v>Low risk</v>
      </c>
      <c r="AA2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4" t="str" cm="1">
        <f t="array" ref="AC214">_xlfn.IFS(
AND(Table1[[#This Row],[Customer service risk level]]="High risk", Table1[[#This Row],[Intl usage behaviour]]="Unplanned Usage"),"High Risk",
OR(Table1[[#This Row],[Customer service risk level]]="Medium risk", Table1[[#This Row],[Charges risk level]]="High risk "),"Medium Risk",
TRUE,"Low Risk"
)</f>
        <v>Low Risk</v>
      </c>
    </row>
    <row r="215" spans="1:29" x14ac:dyDescent="0.25">
      <c r="A215" t="s">
        <v>61</v>
      </c>
      <c r="B215">
        <v>148</v>
      </c>
      <c r="C215">
        <v>415</v>
      </c>
      <c r="D215" t="s">
        <v>21</v>
      </c>
      <c r="E215" t="s">
        <v>27</v>
      </c>
      <c r="F215">
        <v>11</v>
      </c>
      <c r="G215">
        <v>252.9</v>
      </c>
      <c r="H215">
        <v>129</v>
      </c>
      <c r="I215">
        <v>42.99</v>
      </c>
      <c r="J215">
        <v>284.3</v>
      </c>
      <c r="K215">
        <v>88</v>
      </c>
      <c r="L215">
        <v>24.17</v>
      </c>
      <c r="M215">
        <v>262.8</v>
      </c>
      <c r="N215">
        <v>99</v>
      </c>
      <c r="O215">
        <v>11.83</v>
      </c>
      <c r="P215">
        <v>12.3</v>
      </c>
      <c r="Q215">
        <v>1</v>
      </c>
      <c r="R215">
        <v>3.32</v>
      </c>
      <c r="S215">
        <v>1</v>
      </c>
      <c r="T215" t="b">
        <v>0</v>
      </c>
      <c r="U215">
        <f>IFERROR(SUM(Table1[[#This Row],[Total day minutes]],Table1[[#This Row],[Total eve minutes]],Table1[[#This Row],[Total night minutes]],Table1[[#This Row],[Total intl minutes]]),0)</f>
        <v>812.3</v>
      </c>
      <c r="V215">
        <f>SUM(Table1[[#This Row],[Total intl charge]],Table1[[#This Row],[Total night charge]],Table1[[#This Row],[Total eve charge]],Table1[[#This Row],[Total day charge]])</f>
        <v>82.31</v>
      </c>
      <c r="W215">
        <f>SUM(Table1[[#This Row],[Total intl calls]],Table1[[#This Row],[Total night calls]],Table1[[#This Row],[Total eve calls]],Table1[[#This Row],[Total day calls]])</f>
        <v>317</v>
      </c>
      <c r="X215" t="str" cm="1">
        <f t="array" ref="X215">_xlfn.IFS(Table1[[#This Row],[Customer service calls]]&gt;=4,"High risk",Table1[[#This Row],[Customer service calls]]&gt;=2,"Medium risk",TRUE,"Low risk")</f>
        <v>Low risk</v>
      </c>
      <c r="Y215" t="str" cm="1">
        <f t="array" ref="Y215">IFERROR(_xlfn.IFS(Table1[[#This Row],[Total usage(Min)]]&gt;=AVERAGE(U:U)*1.1,"High risk",Table1[[#This Row],[Total usage(Min)]]&lt;= AVERAGE(U:U)*0.9,"Low risk",TRUE,"Medium risk"),"N/A")</f>
        <v>High risk</v>
      </c>
      <c r="Z215" t="str" cm="1">
        <f t="array" ref="Z215">IFERROR(_xlfn.IFS(Table1[[#This Row],[Total charges]]&gt;=AVERAGE(V:V)*1.1,"High risk",Table1[[#This Row],[Total charges]]&lt;=AVERAGE(V:V)*0.9,"Low risk",TRUE,"Medium risk"),"N/A")</f>
        <v>High risk</v>
      </c>
      <c r="AA2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15" t="str" cm="1">
        <f t="array" ref="AC215">_xlfn.IFS(
AND(Table1[[#This Row],[Customer service risk level]]="High risk", Table1[[#This Row],[Intl usage behaviour]]="Unplanned Usage"),"High Risk",
OR(Table1[[#This Row],[Customer service risk level]]="Medium risk", Table1[[#This Row],[Charges risk level]]="High risk "),"Medium Risk",
TRUE,"Low Risk"
)</f>
        <v>Low Risk</v>
      </c>
    </row>
    <row r="216" spans="1:29" x14ac:dyDescent="0.25">
      <c r="A216" t="s">
        <v>32</v>
      </c>
      <c r="B216">
        <v>116</v>
      </c>
      <c r="C216">
        <v>510</v>
      </c>
      <c r="D216" t="s">
        <v>21</v>
      </c>
      <c r="E216" t="s">
        <v>21</v>
      </c>
      <c r="F216">
        <v>0</v>
      </c>
      <c r="G216">
        <v>201.8</v>
      </c>
      <c r="H216">
        <v>82</v>
      </c>
      <c r="I216">
        <v>34.31</v>
      </c>
      <c r="J216">
        <v>231.5</v>
      </c>
      <c r="K216">
        <v>95</v>
      </c>
      <c r="L216">
        <v>19.68</v>
      </c>
      <c r="M216">
        <v>226.1</v>
      </c>
      <c r="N216">
        <v>130</v>
      </c>
      <c r="O216">
        <v>10.17</v>
      </c>
      <c r="P216">
        <v>16.5</v>
      </c>
      <c r="Q216">
        <v>5</v>
      </c>
      <c r="R216">
        <v>4.46</v>
      </c>
      <c r="S216">
        <v>0</v>
      </c>
      <c r="T216" t="b">
        <v>0</v>
      </c>
      <c r="U216">
        <f>IFERROR(SUM(Table1[[#This Row],[Total day minutes]],Table1[[#This Row],[Total eve minutes]],Table1[[#This Row],[Total night minutes]],Table1[[#This Row],[Total intl minutes]]),0)</f>
        <v>675.9</v>
      </c>
      <c r="V216">
        <f>SUM(Table1[[#This Row],[Total intl charge]],Table1[[#This Row],[Total night charge]],Table1[[#This Row],[Total eve charge]],Table1[[#This Row],[Total day charge]])</f>
        <v>68.62</v>
      </c>
      <c r="W216">
        <f>SUM(Table1[[#This Row],[Total intl calls]],Table1[[#This Row],[Total night calls]],Table1[[#This Row],[Total eve calls]],Table1[[#This Row],[Total day calls]])</f>
        <v>312</v>
      </c>
      <c r="X216" t="str" cm="1">
        <f t="array" ref="X216">_xlfn.IFS(Table1[[#This Row],[Customer service calls]]&gt;=4,"High risk",Table1[[#This Row],[Customer service calls]]&gt;=2,"Medium risk",TRUE,"Low risk")</f>
        <v>Low risk</v>
      </c>
      <c r="Y216" t="str" cm="1">
        <f t="array" ref="Y216">IFERROR(_xlfn.IFS(Table1[[#This Row],[Total usage(Min)]]&gt;=AVERAGE(U:U)*1.1,"High risk",Table1[[#This Row],[Total usage(Min)]]&lt;= AVERAGE(U:U)*0.9,"Low risk",TRUE,"Medium risk"),"N/A")</f>
        <v>High risk</v>
      </c>
      <c r="Z216" t="str" cm="1">
        <f t="array" ref="Z216">IFERROR(_xlfn.IFS(Table1[[#This Row],[Total charges]]&gt;=AVERAGE(V:V)*1.1,"High risk",Table1[[#This Row],[Total charges]]&lt;=AVERAGE(V:V)*0.9,"Low risk",TRUE,"Medium risk"),"N/A")</f>
        <v>High risk</v>
      </c>
      <c r="AA2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6" t="str" cm="1">
        <f t="array" ref="AC216">_xlfn.IFS(
AND(Table1[[#This Row],[Customer service risk level]]="High risk", Table1[[#This Row],[Intl usage behaviour]]="Unplanned Usage"),"High Risk",
OR(Table1[[#This Row],[Customer service risk level]]="Medium risk", Table1[[#This Row],[Charges risk level]]="High risk "),"Medium Risk",
TRUE,"Low Risk"
)</f>
        <v>Low Risk</v>
      </c>
    </row>
    <row r="217" spans="1:29" x14ac:dyDescent="0.25">
      <c r="A217" t="s">
        <v>58</v>
      </c>
      <c r="B217">
        <v>131</v>
      </c>
      <c r="C217">
        <v>408</v>
      </c>
      <c r="D217" t="s">
        <v>21</v>
      </c>
      <c r="E217" t="s">
        <v>21</v>
      </c>
      <c r="F217">
        <v>0</v>
      </c>
      <c r="G217">
        <v>94.4</v>
      </c>
      <c r="H217">
        <v>80</v>
      </c>
      <c r="I217">
        <v>16.05</v>
      </c>
      <c r="J217">
        <v>215.1</v>
      </c>
      <c r="K217">
        <v>101</v>
      </c>
      <c r="L217">
        <v>18.28</v>
      </c>
      <c r="M217">
        <v>179.7</v>
      </c>
      <c r="N217">
        <v>108</v>
      </c>
      <c r="O217">
        <v>8.09</v>
      </c>
      <c r="P217">
        <v>13.1</v>
      </c>
      <c r="Q217">
        <v>9</v>
      </c>
      <c r="R217">
        <v>3.54</v>
      </c>
      <c r="S217">
        <v>2</v>
      </c>
      <c r="T217" t="b">
        <v>0</v>
      </c>
      <c r="U217">
        <f>IFERROR(SUM(Table1[[#This Row],[Total day minutes]],Table1[[#This Row],[Total eve minutes]],Table1[[#This Row],[Total night minutes]],Table1[[#This Row],[Total intl minutes]]),0)</f>
        <v>502.3</v>
      </c>
      <c r="V217">
        <f>SUM(Table1[[#This Row],[Total intl charge]],Table1[[#This Row],[Total night charge]],Table1[[#This Row],[Total eve charge]],Table1[[#This Row],[Total day charge]])</f>
        <v>45.96</v>
      </c>
      <c r="W217">
        <f>SUM(Table1[[#This Row],[Total intl calls]],Table1[[#This Row],[Total night calls]],Table1[[#This Row],[Total eve calls]],Table1[[#This Row],[Total day calls]])</f>
        <v>298</v>
      </c>
      <c r="X217" t="str" cm="1">
        <f t="array" ref="X217">_xlfn.IFS(Table1[[#This Row],[Customer service calls]]&gt;=4,"High risk",Table1[[#This Row],[Customer service calls]]&gt;=2,"Medium risk",TRUE,"Low risk")</f>
        <v>Medium risk</v>
      </c>
      <c r="Y217" t="str" cm="1">
        <f t="array" ref="Y217">IFERROR(_xlfn.IFS(Table1[[#This Row],[Total usage(Min)]]&gt;=AVERAGE(U:U)*1.1,"High risk",Table1[[#This Row],[Total usage(Min)]]&lt;= AVERAGE(U:U)*0.9,"Low risk",TRUE,"Medium risk"),"N/A")</f>
        <v>Low risk</v>
      </c>
      <c r="Z217" t="str" cm="1">
        <f t="array" ref="Z217">IFERROR(_xlfn.IFS(Table1[[#This Row],[Total charges]]&gt;=AVERAGE(V:V)*1.1,"High risk",Table1[[#This Row],[Total charges]]&lt;=AVERAGE(V:V)*0.9,"Low risk",TRUE,"Medium risk"),"N/A")</f>
        <v>Low risk</v>
      </c>
      <c r="AA2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7" t="str" cm="1">
        <f t="array" ref="AC217">_xlfn.IFS(
AND(Table1[[#This Row],[Customer service risk level]]="High risk", Table1[[#This Row],[Intl usage behaviour]]="Unplanned Usage"),"High Risk",
OR(Table1[[#This Row],[Customer service risk level]]="Medium risk", Table1[[#This Row],[Charges risk level]]="High risk "),"Medium Risk",
TRUE,"Low Risk"
)</f>
        <v>Medium Risk</v>
      </c>
    </row>
    <row r="218" spans="1:29" x14ac:dyDescent="0.25">
      <c r="A218" t="s">
        <v>33</v>
      </c>
      <c r="B218">
        <v>119</v>
      </c>
      <c r="C218">
        <v>510</v>
      </c>
      <c r="D218" t="s">
        <v>21</v>
      </c>
      <c r="E218" t="s">
        <v>21</v>
      </c>
      <c r="F218">
        <v>0</v>
      </c>
      <c r="G218">
        <v>190.4</v>
      </c>
      <c r="H218">
        <v>74</v>
      </c>
      <c r="I218">
        <v>32.369999999999997</v>
      </c>
      <c r="J218">
        <v>215.6</v>
      </c>
      <c r="K218">
        <v>113</v>
      </c>
      <c r="L218">
        <v>18.329999999999998</v>
      </c>
      <c r="M218">
        <v>161.19999999999999</v>
      </c>
      <c r="N218">
        <v>111</v>
      </c>
      <c r="O218">
        <v>7.25</v>
      </c>
      <c r="P218">
        <v>10</v>
      </c>
      <c r="Q218">
        <v>1</v>
      </c>
      <c r="R218">
        <v>2.7</v>
      </c>
      <c r="S218">
        <v>2</v>
      </c>
      <c r="T218" t="b">
        <v>0</v>
      </c>
      <c r="U218">
        <f>IFERROR(SUM(Table1[[#This Row],[Total day minutes]],Table1[[#This Row],[Total eve minutes]],Table1[[#This Row],[Total night minutes]],Table1[[#This Row],[Total intl minutes]]),0)</f>
        <v>577.20000000000005</v>
      </c>
      <c r="V218">
        <f>SUM(Table1[[#This Row],[Total intl charge]],Table1[[#This Row],[Total night charge]],Table1[[#This Row],[Total eve charge]],Table1[[#This Row],[Total day charge]])</f>
        <v>60.649999999999991</v>
      </c>
      <c r="W218">
        <f>SUM(Table1[[#This Row],[Total intl calls]],Table1[[#This Row],[Total night calls]],Table1[[#This Row],[Total eve calls]],Table1[[#This Row],[Total day calls]])</f>
        <v>299</v>
      </c>
      <c r="X218" t="str" cm="1">
        <f t="array" ref="X218">_xlfn.IFS(Table1[[#This Row],[Customer service calls]]&gt;=4,"High risk",Table1[[#This Row],[Customer service calls]]&gt;=2,"Medium risk",TRUE,"Low risk")</f>
        <v>Medium risk</v>
      </c>
      <c r="Y218" t="str" cm="1">
        <f t="array" ref="Y218">IFERROR(_xlfn.IFS(Table1[[#This Row],[Total usage(Min)]]&gt;=AVERAGE(U:U)*1.1,"High risk",Table1[[#This Row],[Total usage(Min)]]&lt;= AVERAGE(U:U)*0.9,"Low risk",TRUE,"Medium risk"),"N/A")</f>
        <v>Medium risk</v>
      </c>
      <c r="Z218" t="str" cm="1">
        <f t="array" ref="Z218">IFERROR(_xlfn.IFS(Table1[[#This Row],[Total charges]]&gt;=AVERAGE(V:V)*1.1,"High risk",Table1[[#This Row],[Total charges]]&lt;=AVERAGE(V:V)*0.9,"Low risk",TRUE,"Medium risk"),"N/A")</f>
        <v>Medium risk</v>
      </c>
      <c r="AA2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1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8" t="str" cm="1">
        <f t="array" ref="AC218">_xlfn.IFS(
AND(Table1[[#This Row],[Customer service risk level]]="High risk", Table1[[#This Row],[Intl usage behaviour]]="Unplanned Usage"),"High Risk",
OR(Table1[[#This Row],[Customer service risk level]]="Medium risk", Table1[[#This Row],[Charges risk level]]="High risk "),"Medium Risk",
TRUE,"Low Risk"
)</f>
        <v>Medium Risk</v>
      </c>
    </row>
    <row r="219" spans="1:29" x14ac:dyDescent="0.25">
      <c r="A219" t="s">
        <v>23</v>
      </c>
      <c r="B219">
        <v>94</v>
      </c>
      <c r="C219">
        <v>510</v>
      </c>
      <c r="D219" t="s">
        <v>27</v>
      </c>
      <c r="E219" t="s">
        <v>21</v>
      </c>
      <c r="F219">
        <v>0</v>
      </c>
      <c r="G219">
        <v>243.2</v>
      </c>
      <c r="H219">
        <v>109</v>
      </c>
      <c r="I219">
        <v>41.34</v>
      </c>
      <c r="J219">
        <v>147</v>
      </c>
      <c r="K219">
        <v>88</v>
      </c>
      <c r="L219">
        <v>12.5</v>
      </c>
      <c r="M219">
        <v>94.9</v>
      </c>
      <c r="N219">
        <v>99</v>
      </c>
      <c r="O219">
        <v>4.2699999999999996</v>
      </c>
      <c r="P219">
        <v>7.2</v>
      </c>
      <c r="Q219">
        <v>4</v>
      </c>
      <c r="R219">
        <v>1.94</v>
      </c>
      <c r="S219">
        <v>4</v>
      </c>
      <c r="T219" t="b">
        <v>0</v>
      </c>
      <c r="U219">
        <f>IFERROR(SUM(Table1[[#This Row],[Total day minutes]],Table1[[#This Row],[Total eve minutes]],Table1[[#This Row],[Total night minutes]],Table1[[#This Row],[Total intl minutes]]),0)</f>
        <v>492.3</v>
      </c>
      <c r="V219">
        <f>SUM(Table1[[#This Row],[Total intl charge]],Table1[[#This Row],[Total night charge]],Table1[[#This Row],[Total eve charge]],Table1[[#This Row],[Total day charge]])</f>
        <v>60.050000000000004</v>
      </c>
      <c r="W219">
        <f>SUM(Table1[[#This Row],[Total intl calls]],Table1[[#This Row],[Total night calls]],Table1[[#This Row],[Total eve calls]],Table1[[#This Row],[Total day calls]])</f>
        <v>300</v>
      </c>
      <c r="X219" t="str" cm="1">
        <f t="array" ref="X219">_xlfn.IFS(Table1[[#This Row],[Customer service calls]]&gt;=4,"High risk",Table1[[#This Row],[Customer service calls]]&gt;=2,"Medium risk",TRUE,"Low risk")</f>
        <v>High risk</v>
      </c>
      <c r="Y219" t="str" cm="1">
        <f t="array" ref="Y219">IFERROR(_xlfn.IFS(Table1[[#This Row],[Total usage(Min)]]&gt;=AVERAGE(U:U)*1.1,"High risk",Table1[[#This Row],[Total usage(Min)]]&lt;= AVERAGE(U:U)*0.9,"Low risk",TRUE,"Medium risk"),"N/A")</f>
        <v>Low risk</v>
      </c>
      <c r="Z219" t="str" cm="1">
        <f t="array" ref="Z219">IFERROR(_xlfn.IFS(Table1[[#This Row],[Total charges]]&gt;=AVERAGE(V:V)*1.1,"High risk",Table1[[#This Row],[Total charges]]&lt;=AVERAGE(V:V)*0.9,"Low risk",TRUE,"Medium risk"),"N/A")</f>
        <v>Medium risk</v>
      </c>
      <c r="AA2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19" t="str" cm="1">
        <f t="array" ref="AC219">_xlfn.IFS(
AND(Table1[[#This Row],[Customer service risk level]]="High risk", Table1[[#This Row],[Intl usage behaviour]]="Unplanned Usage"),"High Risk",
OR(Table1[[#This Row],[Customer service risk level]]="Medium risk", Table1[[#This Row],[Charges risk level]]="High risk "),"Medium Risk",
TRUE,"Low Risk"
)</f>
        <v>Low Risk</v>
      </c>
    </row>
    <row r="220" spans="1:29" x14ac:dyDescent="0.25">
      <c r="A220" t="s">
        <v>48</v>
      </c>
      <c r="B220">
        <v>217</v>
      </c>
      <c r="C220">
        <v>408</v>
      </c>
      <c r="D220" t="s">
        <v>21</v>
      </c>
      <c r="E220" t="s">
        <v>21</v>
      </c>
      <c r="F220">
        <v>0</v>
      </c>
      <c r="G220">
        <v>176.4</v>
      </c>
      <c r="H220">
        <v>115</v>
      </c>
      <c r="I220">
        <v>29.99</v>
      </c>
      <c r="J220">
        <v>158.80000000000001</v>
      </c>
      <c r="K220">
        <v>128</v>
      </c>
      <c r="L220">
        <v>13.5</v>
      </c>
      <c r="M220">
        <v>306.60000000000002</v>
      </c>
      <c r="N220">
        <v>107</v>
      </c>
      <c r="O220">
        <v>13.8</v>
      </c>
      <c r="P220">
        <v>9.3000000000000007</v>
      </c>
      <c r="Q220">
        <v>3</v>
      </c>
      <c r="R220">
        <v>2.5099999999999998</v>
      </c>
      <c r="S220">
        <v>4</v>
      </c>
      <c r="T220" t="b">
        <v>0</v>
      </c>
      <c r="U220">
        <f>IFERROR(SUM(Table1[[#This Row],[Total day minutes]],Table1[[#This Row],[Total eve minutes]],Table1[[#This Row],[Total night minutes]],Table1[[#This Row],[Total intl minutes]]),0)</f>
        <v>651.1</v>
      </c>
      <c r="V220">
        <f>SUM(Table1[[#This Row],[Total intl charge]],Table1[[#This Row],[Total night charge]],Table1[[#This Row],[Total eve charge]],Table1[[#This Row],[Total day charge]])</f>
        <v>59.8</v>
      </c>
      <c r="W220">
        <f>SUM(Table1[[#This Row],[Total intl calls]],Table1[[#This Row],[Total night calls]],Table1[[#This Row],[Total eve calls]],Table1[[#This Row],[Total day calls]])</f>
        <v>353</v>
      </c>
      <c r="X220" t="str" cm="1">
        <f t="array" ref="X220">_xlfn.IFS(Table1[[#This Row],[Customer service calls]]&gt;=4,"High risk",Table1[[#This Row],[Customer service calls]]&gt;=2,"Medium risk",TRUE,"Low risk")</f>
        <v>High risk</v>
      </c>
      <c r="Y220" t="str" cm="1">
        <f t="array" ref="Y220">IFERROR(_xlfn.IFS(Table1[[#This Row],[Total usage(Min)]]&gt;=AVERAGE(U:U)*1.1,"High risk",Table1[[#This Row],[Total usage(Min)]]&lt;= AVERAGE(U:U)*0.9,"Low risk",TRUE,"Medium risk"),"N/A")</f>
        <v>Medium risk</v>
      </c>
      <c r="Z220" t="str" cm="1">
        <f t="array" ref="Z220">IFERROR(_xlfn.IFS(Table1[[#This Row],[Total charges]]&gt;=AVERAGE(V:V)*1.1,"High risk",Table1[[#This Row],[Total charges]]&lt;=AVERAGE(V:V)*0.9,"Low risk",TRUE,"Medium risk"),"N/A")</f>
        <v>Medium risk</v>
      </c>
      <c r="AA2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0" t="str" cm="1">
        <f t="array" ref="AC220">_xlfn.IFS(
AND(Table1[[#This Row],[Customer service risk level]]="High risk", Table1[[#This Row],[Intl usage behaviour]]="Unplanned Usage"),"High Risk",
OR(Table1[[#This Row],[Customer service risk level]]="Medium risk", Table1[[#This Row],[Charges risk level]]="High risk "),"Medium Risk",
TRUE,"Low Risk"
)</f>
        <v>High Risk</v>
      </c>
    </row>
    <row r="221" spans="1:29" x14ac:dyDescent="0.25">
      <c r="A221" t="s">
        <v>47</v>
      </c>
      <c r="B221">
        <v>161</v>
      </c>
      <c r="C221">
        <v>415</v>
      </c>
      <c r="D221" t="s">
        <v>21</v>
      </c>
      <c r="E221" t="s">
        <v>21</v>
      </c>
      <c r="F221">
        <v>0</v>
      </c>
      <c r="G221">
        <v>178.1</v>
      </c>
      <c r="H221">
        <v>109</v>
      </c>
      <c r="I221">
        <v>30.28</v>
      </c>
      <c r="J221">
        <v>146.5</v>
      </c>
      <c r="K221">
        <v>86</v>
      </c>
      <c r="L221">
        <v>12.45</v>
      </c>
      <c r="M221">
        <v>137.6</v>
      </c>
      <c r="N221">
        <v>78</v>
      </c>
      <c r="O221">
        <v>6.19</v>
      </c>
      <c r="P221">
        <v>8.5</v>
      </c>
      <c r="Q221">
        <v>2</v>
      </c>
      <c r="R221">
        <v>2.2999999999999998</v>
      </c>
      <c r="S221">
        <v>1</v>
      </c>
      <c r="T221" t="b">
        <v>0</v>
      </c>
      <c r="U221">
        <f>IFERROR(SUM(Table1[[#This Row],[Total day minutes]],Table1[[#This Row],[Total eve minutes]],Table1[[#This Row],[Total night minutes]],Table1[[#This Row],[Total intl minutes]]),0)</f>
        <v>470.70000000000005</v>
      </c>
      <c r="V221">
        <f>SUM(Table1[[#This Row],[Total intl charge]],Table1[[#This Row],[Total night charge]],Table1[[#This Row],[Total eve charge]],Table1[[#This Row],[Total day charge]])</f>
        <v>51.22</v>
      </c>
      <c r="W221">
        <f>SUM(Table1[[#This Row],[Total intl calls]],Table1[[#This Row],[Total night calls]],Table1[[#This Row],[Total eve calls]],Table1[[#This Row],[Total day calls]])</f>
        <v>275</v>
      </c>
      <c r="X221" t="str" cm="1">
        <f t="array" ref="X221">_xlfn.IFS(Table1[[#This Row],[Customer service calls]]&gt;=4,"High risk",Table1[[#This Row],[Customer service calls]]&gt;=2,"Medium risk",TRUE,"Low risk")</f>
        <v>Low risk</v>
      </c>
      <c r="Y221" t="str" cm="1">
        <f t="array" ref="Y221">IFERROR(_xlfn.IFS(Table1[[#This Row],[Total usage(Min)]]&gt;=AVERAGE(U:U)*1.1,"High risk",Table1[[#This Row],[Total usage(Min)]]&lt;= AVERAGE(U:U)*0.9,"Low risk",TRUE,"Medium risk"),"N/A")</f>
        <v>Low risk</v>
      </c>
      <c r="Z221" t="str" cm="1">
        <f t="array" ref="Z221">IFERROR(_xlfn.IFS(Table1[[#This Row],[Total charges]]&gt;=AVERAGE(V:V)*1.1,"High risk",Table1[[#This Row],[Total charges]]&lt;=AVERAGE(V:V)*0.9,"Low risk",TRUE,"Medium risk"),"N/A")</f>
        <v>Low risk</v>
      </c>
      <c r="AA2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1" t="str" cm="1">
        <f t="array" ref="AC221">_xlfn.IFS(
AND(Table1[[#This Row],[Customer service risk level]]="High risk", Table1[[#This Row],[Intl usage behaviour]]="Unplanned Usage"),"High Risk",
OR(Table1[[#This Row],[Customer service risk level]]="Medium risk", Table1[[#This Row],[Charges risk level]]="High risk "),"Medium Risk",
TRUE,"Low Risk"
)</f>
        <v>Low Risk</v>
      </c>
    </row>
    <row r="222" spans="1:29" x14ac:dyDescent="0.25">
      <c r="A222" t="s">
        <v>52</v>
      </c>
      <c r="B222">
        <v>67</v>
      </c>
      <c r="C222">
        <v>408</v>
      </c>
      <c r="D222" t="s">
        <v>21</v>
      </c>
      <c r="E222" t="s">
        <v>21</v>
      </c>
      <c r="F222">
        <v>0</v>
      </c>
      <c r="G222">
        <v>201.4</v>
      </c>
      <c r="H222">
        <v>101</v>
      </c>
      <c r="I222">
        <v>34.24</v>
      </c>
      <c r="J222">
        <v>97.6</v>
      </c>
      <c r="K222">
        <v>122</v>
      </c>
      <c r="L222">
        <v>8.3000000000000007</v>
      </c>
      <c r="M222">
        <v>202.5</v>
      </c>
      <c r="N222">
        <v>119</v>
      </c>
      <c r="O222">
        <v>9.11</v>
      </c>
      <c r="P222">
        <v>7</v>
      </c>
      <c r="Q222">
        <v>3</v>
      </c>
      <c r="R222">
        <v>1.89</v>
      </c>
      <c r="S222">
        <v>0</v>
      </c>
      <c r="T222" t="b">
        <v>0</v>
      </c>
      <c r="U222">
        <f>IFERROR(SUM(Table1[[#This Row],[Total day minutes]],Table1[[#This Row],[Total eve minutes]],Table1[[#This Row],[Total night minutes]],Table1[[#This Row],[Total intl minutes]]),0)</f>
        <v>508.5</v>
      </c>
      <c r="V222">
        <f>SUM(Table1[[#This Row],[Total intl charge]],Table1[[#This Row],[Total night charge]],Table1[[#This Row],[Total eve charge]],Table1[[#This Row],[Total day charge]])</f>
        <v>53.540000000000006</v>
      </c>
      <c r="W222">
        <f>SUM(Table1[[#This Row],[Total intl calls]],Table1[[#This Row],[Total night calls]],Table1[[#This Row],[Total eve calls]],Table1[[#This Row],[Total day calls]])</f>
        <v>345</v>
      </c>
      <c r="X222" t="str" cm="1">
        <f t="array" ref="X222">_xlfn.IFS(Table1[[#This Row],[Customer service calls]]&gt;=4,"High risk",Table1[[#This Row],[Customer service calls]]&gt;=2,"Medium risk",TRUE,"Low risk")</f>
        <v>Low risk</v>
      </c>
      <c r="Y222" t="str" cm="1">
        <f t="array" ref="Y222">IFERROR(_xlfn.IFS(Table1[[#This Row],[Total usage(Min)]]&gt;=AVERAGE(U:U)*1.1,"High risk",Table1[[#This Row],[Total usage(Min)]]&lt;= AVERAGE(U:U)*0.9,"Low risk",TRUE,"Medium risk"),"N/A")</f>
        <v>Low risk</v>
      </c>
      <c r="Z222" t="str" cm="1">
        <f t="array" ref="Z222">IFERROR(_xlfn.IFS(Table1[[#This Row],[Total charges]]&gt;=AVERAGE(V:V)*1.1,"High risk",Table1[[#This Row],[Total charges]]&lt;=AVERAGE(V:V)*0.9,"Low risk",TRUE,"Medium risk"),"N/A")</f>
        <v>Low risk</v>
      </c>
      <c r="AA2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2" t="str" cm="1">
        <f t="array" ref="AC222">_xlfn.IFS(
AND(Table1[[#This Row],[Customer service risk level]]="High risk", Table1[[#This Row],[Intl usage behaviour]]="Unplanned Usage"),"High Risk",
OR(Table1[[#This Row],[Customer service risk level]]="Medium risk", Table1[[#This Row],[Charges risk level]]="High risk "),"Medium Risk",
TRUE,"Low Risk"
)</f>
        <v>Low Risk</v>
      </c>
    </row>
    <row r="223" spans="1:29" x14ac:dyDescent="0.25">
      <c r="A223" t="s">
        <v>68</v>
      </c>
      <c r="B223">
        <v>132</v>
      </c>
      <c r="C223">
        <v>415</v>
      </c>
      <c r="D223" t="s">
        <v>21</v>
      </c>
      <c r="E223" t="s">
        <v>27</v>
      </c>
      <c r="F223">
        <v>31</v>
      </c>
      <c r="G223">
        <v>174.5</v>
      </c>
      <c r="H223">
        <v>101</v>
      </c>
      <c r="I223">
        <v>29.67</v>
      </c>
      <c r="J223">
        <v>245.6</v>
      </c>
      <c r="K223">
        <v>105</v>
      </c>
      <c r="L223">
        <v>20.88</v>
      </c>
      <c r="M223">
        <v>172.8</v>
      </c>
      <c r="N223">
        <v>76</v>
      </c>
      <c r="O223">
        <v>7.78</v>
      </c>
      <c r="P223">
        <v>10.3</v>
      </c>
      <c r="Q223">
        <v>9</v>
      </c>
      <c r="R223">
        <v>2.78</v>
      </c>
      <c r="S223">
        <v>1</v>
      </c>
      <c r="T223" t="b">
        <v>0</v>
      </c>
      <c r="U223">
        <f>IFERROR(SUM(Table1[[#This Row],[Total day minutes]],Table1[[#This Row],[Total eve minutes]],Table1[[#This Row],[Total night minutes]],Table1[[#This Row],[Total intl minutes]]),0)</f>
        <v>603.20000000000005</v>
      </c>
      <c r="V223">
        <f>SUM(Table1[[#This Row],[Total intl charge]],Table1[[#This Row],[Total night charge]],Table1[[#This Row],[Total eve charge]],Table1[[#This Row],[Total day charge]])</f>
        <v>61.11</v>
      </c>
      <c r="W223">
        <f>SUM(Table1[[#This Row],[Total intl calls]],Table1[[#This Row],[Total night calls]],Table1[[#This Row],[Total eve calls]],Table1[[#This Row],[Total day calls]])</f>
        <v>291</v>
      </c>
      <c r="X223" t="str" cm="1">
        <f t="array" ref="X223">_xlfn.IFS(Table1[[#This Row],[Customer service calls]]&gt;=4,"High risk",Table1[[#This Row],[Customer service calls]]&gt;=2,"Medium risk",TRUE,"Low risk")</f>
        <v>Low risk</v>
      </c>
      <c r="Y223" t="str" cm="1">
        <f t="array" ref="Y223">IFERROR(_xlfn.IFS(Table1[[#This Row],[Total usage(Min)]]&gt;=AVERAGE(U:U)*1.1,"High risk",Table1[[#This Row],[Total usage(Min)]]&lt;= AVERAGE(U:U)*0.9,"Low risk",TRUE,"Medium risk"),"N/A")</f>
        <v>Medium risk</v>
      </c>
      <c r="Z223" t="str" cm="1">
        <f t="array" ref="Z223">IFERROR(_xlfn.IFS(Table1[[#This Row],[Total charges]]&gt;=AVERAGE(V:V)*1.1,"High risk",Table1[[#This Row],[Total charges]]&lt;=AVERAGE(V:V)*0.9,"Low risk",TRUE,"Medium risk"),"N/A")</f>
        <v>Medium risk</v>
      </c>
      <c r="AA2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23" t="str" cm="1">
        <f t="array" ref="AC223">_xlfn.IFS(
AND(Table1[[#This Row],[Customer service risk level]]="High risk", Table1[[#This Row],[Intl usage behaviour]]="Unplanned Usage"),"High Risk",
OR(Table1[[#This Row],[Customer service risk level]]="Medium risk", Table1[[#This Row],[Charges risk level]]="High risk "),"Medium Risk",
TRUE,"Low Risk"
)</f>
        <v>Low Risk</v>
      </c>
    </row>
    <row r="224" spans="1:29" x14ac:dyDescent="0.25">
      <c r="A224" t="s">
        <v>67</v>
      </c>
      <c r="B224">
        <v>134</v>
      </c>
      <c r="C224">
        <v>408</v>
      </c>
      <c r="D224" t="s">
        <v>21</v>
      </c>
      <c r="E224" t="s">
        <v>21</v>
      </c>
      <c r="F224">
        <v>0</v>
      </c>
      <c r="G224">
        <v>205.3</v>
      </c>
      <c r="H224">
        <v>122</v>
      </c>
      <c r="I224">
        <v>34.9</v>
      </c>
      <c r="J224">
        <v>240.5</v>
      </c>
      <c r="K224">
        <v>155</v>
      </c>
      <c r="L224">
        <v>20.440000000000001</v>
      </c>
      <c r="M224">
        <v>179.1</v>
      </c>
      <c r="N224">
        <v>107</v>
      </c>
      <c r="O224">
        <v>8.06</v>
      </c>
      <c r="P224">
        <v>5</v>
      </c>
      <c r="Q224">
        <v>9</v>
      </c>
      <c r="R224">
        <v>1.35</v>
      </c>
      <c r="S224">
        <v>1</v>
      </c>
      <c r="T224" t="b">
        <v>0</v>
      </c>
      <c r="U224">
        <f>IFERROR(SUM(Table1[[#This Row],[Total day minutes]],Table1[[#This Row],[Total eve minutes]],Table1[[#This Row],[Total night minutes]],Table1[[#This Row],[Total intl minutes]]),0)</f>
        <v>629.9</v>
      </c>
      <c r="V224">
        <f>SUM(Table1[[#This Row],[Total intl charge]],Table1[[#This Row],[Total night charge]],Table1[[#This Row],[Total eve charge]],Table1[[#This Row],[Total day charge]])</f>
        <v>64.75</v>
      </c>
      <c r="W224">
        <f>SUM(Table1[[#This Row],[Total intl calls]],Table1[[#This Row],[Total night calls]],Table1[[#This Row],[Total eve calls]],Table1[[#This Row],[Total day calls]])</f>
        <v>393</v>
      </c>
      <c r="X224" t="str" cm="1">
        <f t="array" ref="X224">_xlfn.IFS(Table1[[#This Row],[Customer service calls]]&gt;=4,"High risk",Table1[[#This Row],[Customer service calls]]&gt;=2,"Medium risk",TRUE,"Low risk")</f>
        <v>Low risk</v>
      </c>
      <c r="Y224" t="str" cm="1">
        <f t="array" ref="Y224">IFERROR(_xlfn.IFS(Table1[[#This Row],[Total usage(Min)]]&gt;=AVERAGE(U:U)*1.1,"High risk",Table1[[#This Row],[Total usage(Min)]]&lt;= AVERAGE(U:U)*0.9,"Low risk",TRUE,"Medium risk"),"N/A")</f>
        <v>Medium risk</v>
      </c>
      <c r="Z224" t="str" cm="1">
        <f t="array" ref="Z224">IFERROR(_xlfn.IFS(Table1[[#This Row],[Total charges]]&gt;=AVERAGE(V:V)*1.1,"High risk",Table1[[#This Row],[Total charges]]&lt;=AVERAGE(V:V)*0.9,"Low risk",TRUE,"Medium risk"),"N/A")</f>
        <v>Medium risk</v>
      </c>
      <c r="AA2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4" t="str" cm="1">
        <f t="array" ref="AC224">_xlfn.IFS(
AND(Table1[[#This Row],[Customer service risk level]]="High risk", Table1[[#This Row],[Intl usage behaviour]]="Unplanned Usage"),"High Risk",
OR(Table1[[#This Row],[Customer service risk level]]="Medium risk", Table1[[#This Row],[Charges risk level]]="High risk "),"Medium Risk",
TRUE,"Low Risk"
)</f>
        <v>Low Risk</v>
      </c>
    </row>
    <row r="225" spans="1:29" x14ac:dyDescent="0.25">
      <c r="A225" t="s">
        <v>23</v>
      </c>
      <c r="B225">
        <v>44</v>
      </c>
      <c r="C225">
        <v>510</v>
      </c>
      <c r="D225" t="s">
        <v>21</v>
      </c>
      <c r="E225" t="s">
        <v>21</v>
      </c>
      <c r="F225">
        <v>0</v>
      </c>
      <c r="G225">
        <v>143.19999999999999</v>
      </c>
      <c r="H225">
        <v>77</v>
      </c>
      <c r="I225">
        <v>24.34</v>
      </c>
      <c r="J225">
        <v>169.8</v>
      </c>
      <c r="K225">
        <v>114</v>
      </c>
      <c r="L225">
        <v>14.43</v>
      </c>
      <c r="M225">
        <v>215.8</v>
      </c>
      <c r="N225">
        <v>77</v>
      </c>
      <c r="O225">
        <v>9.7100000000000009</v>
      </c>
      <c r="P225">
        <v>7.6</v>
      </c>
      <c r="Q225">
        <v>4</v>
      </c>
      <c r="R225">
        <v>2.0499999999999998</v>
      </c>
      <c r="S225">
        <v>1</v>
      </c>
      <c r="T225" t="b">
        <v>0</v>
      </c>
      <c r="U225">
        <f>IFERROR(SUM(Table1[[#This Row],[Total day minutes]],Table1[[#This Row],[Total eve minutes]],Table1[[#This Row],[Total night minutes]],Table1[[#This Row],[Total intl minutes]]),0)</f>
        <v>536.4</v>
      </c>
      <c r="V225">
        <f>SUM(Table1[[#This Row],[Total intl charge]],Table1[[#This Row],[Total night charge]],Table1[[#This Row],[Total eve charge]],Table1[[#This Row],[Total day charge]])</f>
        <v>50.53</v>
      </c>
      <c r="W225">
        <f>SUM(Table1[[#This Row],[Total intl calls]],Table1[[#This Row],[Total night calls]],Table1[[#This Row],[Total eve calls]],Table1[[#This Row],[Total day calls]])</f>
        <v>272</v>
      </c>
      <c r="X225" t="str" cm="1">
        <f t="array" ref="X225">_xlfn.IFS(Table1[[#This Row],[Customer service calls]]&gt;=4,"High risk",Table1[[#This Row],[Customer service calls]]&gt;=2,"Medium risk",TRUE,"Low risk")</f>
        <v>Low risk</v>
      </c>
      <c r="Y225" t="str" cm="1">
        <f t="array" ref="Y225">IFERROR(_xlfn.IFS(Table1[[#This Row],[Total usage(Min)]]&gt;=AVERAGE(U:U)*1.1,"High risk",Table1[[#This Row],[Total usage(Min)]]&lt;= AVERAGE(U:U)*0.9,"Low risk",TRUE,"Medium risk"),"N/A")</f>
        <v>Medium risk</v>
      </c>
      <c r="Z225" t="str" cm="1">
        <f t="array" ref="Z225">IFERROR(_xlfn.IFS(Table1[[#This Row],[Total charges]]&gt;=AVERAGE(V:V)*1.1,"High risk",Table1[[#This Row],[Total charges]]&lt;=AVERAGE(V:V)*0.9,"Low risk",TRUE,"Medium risk"),"N/A")</f>
        <v>Low risk</v>
      </c>
      <c r="AA2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5" t="str" cm="1">
        <f t="array" ref="AC225">_xlfn.IFS(
AND(Table1[[#This Row],[Customer service risk level]]="High risk", Table1[[#This Row],[Intl usage behaviour]]="Unplanned Usage"),"High Risk",
OR(Table1[[#This Row],[Customer service risk level]]="Medium risk", Table1[[#This Row],[Charges risk level]]="High risk "),"Medium Risk",
TRUE,"Low Risk"
)</f>
        <v>Low Risk</v>
      </c>
    </row>
    <row r="226" spans="1:29" x14ac:dyDescent="0.25">
      <c r="A226" t="s">
        <v>50</v>
      </c>
      <c r="B226">
        <v>53</v>
      </c>
      <c r="C226">
        <v>415</v>
      </c>
      <c r="D226" t="s">
        <v>21</v>
      </c>
      <c r="E226" t="s">
        <v>27</v>
      </c>
      <c r="F226">
        <v>27</v>
      </c>
      <c r="G226">
        <v>25.9</v>
      </c>
      <c r="H226">
        <v>119</v>
      </c>
      <c r="I226">
        <v>4.4000000000000004</v>
      </c>
      <c r="J226">
        <v>206.5</v>
      </c>
      <c r="K226">
        <v>96</v>
      </c>
      <c r="L226">
        <v>17.55</v>
      </c>
      <c r="M226">
        <v>228.1</v>
      </c>
      <c r="N226">
        <v>64</v>
      </c>
      <c r="O226">
        <v>10.26</v>
      </c>
      <c r="P226">
        <v>6.5</v>
      </c>
      <c r="Q226">
        <v>7</v>
      </c>
      <c r="R226">
        <v>1.76</v>
      </c>
      <c r="S226">
        <v>1</v>
      </c>
      <c r="T226" t="b">
        <v>0</v>
      </c>
      <c r="U226">
        <f>IFERROR(SUM(Table1[[#This Row],[Total day minutes]],Table1[[#This Row],[Total eve minutes]],Table1[[#This Row],[Total night minutes]],Table1[[#This Row],[Total intl minutes]]),0)</f>
        <v>467</v>
      </c>
      <c r="V226">
        <f>SUM(Table1[[#This Row],[Total intl charge]],Table1[[#This Row],[Total night charge]],Table1[[#This Row],[Total eve charge]],Table1[[#This Row],[Total day charge]])</f>
        <v>33.97</v>
      </c>
      <c r="W226">
        <f>SUM(Table1[[#This Row],[Total intl calls]],Table1[[#This Row],[Total night calls]],Table1[[#This Row],[Total eve calls]],Table1[[#This Row],[Total day calls]])</f>
        <v>286</v>
      </c>
      <c r="X226" t="str" cm="1">
        <f t="array" ref="X226">_xlfn.IFS(Table1[[#This Row],[Customer service calls]]&gt;=4,"High risk",Table1[[#This Row],[Customer service calls]]&gt;=2,"Medium risk",TRUE,"Low risk")</f>
        <v>Low risk</v>
      </c>
      <c r="Y226" t="str" cm="1">
        <f t="array" ref="Y226">IFERROR(_xlfn.IFS(Table1[[#This Row],[Total usage(Min)]]&gt;=AVERAGE(U:U)*1.1,"High risk",Table1[[#This Row],[Total usage(Min)]]&lt;= AVERAGE(U:U)*0.9,"Low risk",TRUE,"Medium risk"),"N/A")</f>
        <v>Low risk</v>
      </c>
      <c r="Z226" t="str" cm="1">
        <f t="array" ref="Z226">IFERROR(_xlfn.IFS(Table1[[#This Row],[Total charges]]&gt;=AVERAGE(V:V)*1.1,"High risk",Table1[[#This Row],[Total charges]]&lt;=AVERAGE(V:V)*0.9,"Low risk",TRUE,"Medium risk"),"N/A")</f>
        <v>Low risk</v>
      </c>
      <c r="AA2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26" t="str" cm="1">
        <f t="array" ref="AC226">_xlfn.IFS(
AND(Table1[[#This Row],[Customer service risk level]]="High risk", Table1[[#This Row],[Intl usage behaviour]]="Unplanned Usage"),"High Risk",
OR(Table1[[#This Row],[Customer service risk level]]="Medium risk", Table1[[#This Row],[Charges risk level]]="High risk "),"Medium Risk",
TRUE,"Low Risk"
)</f>
        <v>Low Risk</v>
      </c>
    </row>
    <row r="227" spans="1:29" x14ac:dyDescent="0.25">
      <c r="A227" t="s">
        <v>23</v>
      </c>
      <c r="B227">
        <v>108</v>
      </c>
      <c r="C227">
        <v>415</v>
      </c>
      <c r="D227" t="s">
        <v>21</v>
      </c>
      <c r="E227" t="s">
        <v>21</v>
      </c>
      <c r="F227">
        <v>0</v>
      </c>
      <c r="G227">
        <v>154.19999999999999</v>
      </c>
      <c r="H227">
        <v>123</v>
      </c>
      <c r="I227">
        <v>26.21</v>
      </c>
      <c r="J227">
        <v>112.3</v>
      </c>
      <c r="K227">
        <v>86</v>
      </c>
      <c r="L227">
        <v>9.5500000000000007</v>
      </c>
      <c r="M227">
        <v>246.4</v>
      </c>
      <c r="N227">
        <v>75</v>
      </c>
      <c r="O227">
        <v>11.09</v>
      </c>
      <c r="P227">
        <v>15.4</v>
      </c>
      <c r="Q227">
        <v>4</v>
      </c>
      <c r="R227">
        <v>4.16</v>
      </c>
      <c r="S227">
        <v>4</v>
      </c>
      <c r="T227" t="b">
        <v>1</v>
      </c>
      <c r="U227">
        <f>IFERROR(SUM(Table1[[#This Row],[Total day minutes]],Table1[[#This Row],[Total eve minutes]],Table1[[#This Row],[Total night minutes]],Table1[[#This Row],[Total intl minutes]]),0)</f>
        <v>528.29999999999995</v>
      </c>
      <c r="V227">
        <f>SUM(Table1[[#This Row],[Total intl charge]],Table1[[#This Row],[Total night charge]],Table1[[#This Row],[Total eve charge]],Table1[[#This Row],[Total day charge]])</f>
        <v>51.010000000000005</v>
      </c>
      <c r="W227">
        <f>SUM(Table1[[#This Row],[Total intl calls]],Table1[[#This Row],[Total night calls]],Table1[[#This Row],[Total eve calls]],Table1[[#This Row],[Total day calls]])</f>
        <v>288</v>
      </c>
      <c r="X227" t="str" cm="1">
        <f t="array" ref="X227">_xlfn.IFS(Table1[[#This Row],[Customer service calls]]&gt;=4,"High risk",Table1[[#This Row],[Customer service calls]]&gt;=2,"Medium risk",TRUE,"Low risk")</f>
        <v>High risk</v>
      </c>
      <c r="Y227" t="str" cm="1">
        <f t="array" ref="Y227">IFERROR(_xlfn.IFS(Table1[[#This Row],[Total usage(Min)]]&gt;=AVERAGE(U:U)*1.1,"High risk",Table1[[#This Row],[Total usage(Min)]]&lt;= AVERAGE(U:U)*0.9,"Low risk",TRUE,"Medium risk"),"N/A")</f>
        <v>Low risk</v>
      </c>
      <c r="Z227" t="str" cm="1">
        <f t="array" ref="Z227">IFERROR(_xlfn.IFS(Table1[[#This Row],[Total charges]]&gt;=AVERAGE(V:V)*1.1,"High risk",Table1[[#This Row],[Total charges]]&lt;=AVERAGE(V:V)*0.9,"Low risk",TRUE,"Medium risk"),"N/A")</f>
        <v>Low risk</v>
      </c>
      <c r="AA2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7" t="str" cm="1">
        <f t="array" ref="AC227">_xlfn.IFS(
AND(Table1[[#This Row],[Customer service risk level]]="High risk", Table1[[#This Row],[Intl usage behaviour]]="Unplanned Usage"),"High Risk",
OR(Table1[[#This Row],[Customer service risk level]]="Medium risk", Table1[[#This Row],[Charges risk level]]="High risk "),"Medium Risk",
TRUE,"Low Risk"
)</f>
        <v>High Risk</v>
      </c>
    </row>
    <row r="228" spans="1:29" x14ac:dyDescent="0.25">
      <c r="A228" t="s">
        <v>62</v>
      </c>
      <c r="B228">
        <v>80</v>
      </c>
      <c r="C228">
        <v>408</v>
      </c>
      <c r="D228" t="s">
        <v>21</v>
      </c>
      <c r="E228" t="s">
        <v>21</v>
      </c>
      <c r="F228">
        <v>0</v>
      </c>
      <c r="G228">
        <v>322.3</v>
      </c>
      <c r="H228">
        <v>113</v>
      </c>
      <c r="I228">
        <v>54.79</v>
      </c>
      <c r="J228">
        <v>222</v>
      </c>
      <c r="K228">
        <v>95</v>
      </c>
      <c r="L228">
        <v>18.87</v>
      </c>
      <c r="M228">
        <v>162.80000000000001</v>
      </c>
      <c r="N228">
        <v>123</v>
      </c>
      <c r="O228">
        <v>7.33</v>
      </c>
      <c r="P228">
        <v>6.7</v>
      </c>
      <c r="Q228">
        <v>8</v>
      </c>
      <c r="R228">
        <v>1.81</v>
      </c>
      <c r="S228">
        <v>0</v>
      </c>
      <c r="T228" t="b">
        <v>1</v>
      </c>
      <c r="U228">
        <f>IFERROR(SUM(Table1[[#This Row],[Total day minutes]],Table1[[#This Row],[Total eve minutes]],Table1[[#This Row],[Total night minutes]],Table1[[#This Row],[Total intl minutes]]),0)</f>
        <v>713.8</v>
      </c>
      <c r="V228">
        <f>SUM(Table1[[#This Row],[Total intl charge]],Table1[[#This Row],[Total night charge]],Table1[[#This Row],[Total eve charge]],Table1[[#This Row],[Total day charge]])</f>
        <v>82.8</v>
      </c>
      <c r="W228">
        <f>SUM(Table1[[#This Row],[Total intl calls]],Table1[[#This Row],[Total night calls]],Table1[[#This Row],[Total eve calls]],Table1[[#This Row],[Total day calls]])</f>
        <v>339</v>
      </c>
      <c r="X228" t="str" cm="1">
        <f t="array" ref="X228">_xlfn.IFS(Table1[[#This Row],[Customer service calls]]&gt;=4,"High risk",Table1[[#This Row],[Customer service calls]]&gt;=2,"Medium risk",TRUE,"Low risk")</f>
        <v>Low risk</v>
      </c>
      <c r="Y228" t="str" cm="1">
        <f t="array" ref="Y228">IFERROR(_xlfn.IFS(Table1[[#This Row],[Total usage(Min)]]&gt;=AVERAGE(U:U)*1.1,"High risk",Table1[[#This Row],[Total usage(Min)]]&lt;= AVERAGE(U:U)*0.9,"Low risk",TRUE,"Medium risk"),"N/A")</f>
        <v>High risk</v>
      </c>
      <c r="Z228" t="str" cm="1">
        <f t="array" ref="Z228">IFERROR(_xlfn.IFS(Table1[[#This Row],[Total charges]]&gt;=AVERAGE(V:V)*1.1,"High risk",Table1[[#This Row],[Total charges]]&lt;=AVERAGE(V:V)*0.9,"Low risk",TRUE,"Medium risk"),"N/A")</f>
        <v>High risk</v>
      </c>
      <c r="AA2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8" t="str" cm="1">
        <f t="array" ref="AC228">_xlfn.IFS(
AND(Table1[[#This Row],[Customer service risk level]]="High risk", Table1[[#This Row],[Intl usage behaviour]]="Unplanned Usage"),"High Risk",
OR(Table1[[#This Row],[Customer service risk level]]="Medium risk", Table1[[#This Row],[Charges risk level]]="High risk "),"Medium Risk",
TRUE,"Low Risk"
)</f>
        <v>Low Risk</v>
      </c>
    </row>
    <row r="229" spans="1:29" x14ac:dyDescent="0.25">
      <c r="A229" t="s">
        <v>54</v>
      </c>
      <c r="B229">
        <v>88</v>
      </c>
      <c r="C229">
        <v>415</v>
      </c>
      <c r="D229" t="s">
        <v>21</v>
      </c>
      <c r="E229" t="s">
        <v>21</v>
      </c>
      <c r="F229">
        <v>0</v>
      </c>
      <c r="G229">
        <v>215.6</v>
      </c>
      <c r="H229">
        <v>115</v>
      </c>
      <c r="I229">
        <v>36.65</v>
      </c>
      <c r="J229">
        <v>216.2</v>
      </c>
      <c r="K229">
        <v>85</v>
      </c>
      <c r="L229">
        <v>18.38</v>
      </c>
      <c r="M229">
        <v>171.3</v>
      </c>
      <c r="N229">
        <v>65</v>
      </c>
      <c r="O229">
        <v>7.71</v>
      </c>
      <c r="P229">
        <v>11.8</v>
      </c>
      <c r="Q229">
        <v>1</v>
      </c>
      <c r="R229">
        <v>3.19</v>
      </c>
      <c r="S229">
        <v>3</v>
      </c>
      <c r="T229" t="b">
        <v>0</v>
      </c>
      <c r="U229">
        <f>IFERROR(SUM(Table1[[#This Row],[Total day minutes]],Table1[[#This Row],[Total eve minutes]],Table1[[#This Row],[Total night minutes]],Table1[[#This Row],[Total intl minutes]]),0)</f>
        <v>614.89999999999986</v>
      </c>
      <c r="V229">
        <f>SUM(Table1[[#This Row],[Total intl charge]],Table1[[#This Row],[Total night charge]],Table1[[#This Row],[Total eve charge]],Table1[[#This Row],[Total day charge]])</f>
        <v>65.930000000000007</v>
      </c>
      <c r="W229">
        <f>SUM(Table1[[#This Row],[Total intl calls]],Table1[[#This Row],[Total night calls]],Table1[[#This Row],[Total eve calls]],Table1[[#This Row],[Total day calls]])</f>
        <v>266</v>
      </c>
      <c r="X229" t="str" cm="1">
        <f t="array" ref="X229">_xlfn.IFS(Table1[[#This Row],[Customer service calls]]&gt;=4,"High risk",Table1[[#This Row],[Customer service calls]]&gt;=2,"Medium risk",TRUE,"Low risk")</f>
        <v>Medium risk</v>
      </c>
      <c r="Y229" t="str" cm="1">
        <f t="array" ref="Y229">IFERROR(_xlfn.IFS(Table1[[#This Row],[Total usage(Min)]]&gt;=AVERAGE(U:U)*1.1,"High risk",Table1[[#This Row],[Total usage(Min)]]&lt;= AVERAGE(U:U)*0.9,"Low risk",TRUE,"Medium risk"),"N/A")</f>
        <v>Medium risk</v>
      </c>
      <c r="Z229" t="str" cm="1">
        <f t="array" ref="Z229">IFERROR(_xlfn.IFS(Table1[[#This Row],[Total charges]]&gt;=AVERAGE(V:V)*1.1,"High risk",Table1[[#This Row],[Total charges]]&lt;=AVERAGE(V:V)*0.9,"Low risk",TRUE,"Medium risk"),"N/A")</f>
        <v>High risk</v>
      </c>
      <c r="AA2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29" t="str" cm="1">
        <f t="array" ref="AC229">_xlfn.IFS(
AND(Table1[[#This Row],[Customer service risk level]]="High risk", Table1[[#This Row],[Intl usage behaviour]]="Unplanned Usage"),"High Risk",
OR(Table1[[#This Row],[Customer service risk level]]="Medium risk", Table1[[#This Row],[Charges risk level]]="High risk "),"Medium Risk",
TRUE,"Low Risk"
)</f>
        <v>Medium Risk</v>
      </c>
    </row>
    <row r="230" spans="1:29" x14ac:dyDescent="0.25">
      <c r="A230" t="s">
        <v>59</v>
      </c>
      <c r="B230">
        <v>82</v>
      </c>
      <c r="C230">
        <v>510</v>
      </c>
      <c r="D230" t="s">
        <v>27</v>
      </c>
      <c r="E230" t="s">
        <v>21</v>
      </c>
      <c r="F230">
        <v>0</v>
      </c>
      <c r="G230">
        <v>208.8</v>
      </c>
      <c r="H230">
        <v>101</v>
      </c>
      <c r="I230">
        <v>35.5</v>
      </c>
      <c r="J230">
        <v>213.7</v>
      </c>
      <c r="K230">
        <v>87</v>
      </c>
      <c r="L230">
        <v>18.16</v>
      </c>
      <c r="M230">
        <v>175.1</v>
      </c>
      <c r="N230">
        <v>86</v>
      </c>
      <c r="O230">
        <v>7.88</v>
      </c>
      <c r="P230">
        <v>12.4</v>
      </c>
      <c r="Q230">
        <v>6</v>
      </c>
      <c r="R230">
        <v>3.35</v>
      </c>
      <c r="S230">
        <v>3</v>
      </c>
      <c r="T230" t="b">
        <v>0</v>
      </c>
      <c r="U230">
        <f>IFERROR(SUM(Table1[[#This Row],[Total day minutes]],Table1[[#This Row],[Total eve minutes]],Table1[[#This Row],[Total night minutes]],Table1[[#This Row],[Total intl minutes]]),0)</f>
        <v>610</v>
      </c>
      <c r="V230">
        <f>SUM(Table1[[#This Row],[Total intl charge]],Table1[[#This Row],[Total night charge]],Table1[[#This Row],[Total eve charge]],Table1[[#This Row],[Total day charge]])</f>
        <v>64.89</v>
      </c>
      <c r="W230">
        <f>SUM(Table1[[#This Row],[Total intl calls]],Table1[[#This Row],[Total night calls]],Table1[[#This Row],[Total eve calls]],Table1[[#This Row],[Total day calls]])</f>
        <v>280</v>
      </c>
      <c r="X230" t="str" cm="1">
        <f t="array" ref="X230">_xlfn.IFS(Table1[[#This Row],[Customer service calls]]&gt;=4,"High risk",Table1[[#This Row],[Customer service calls]]&gt;=2,"Medium risk",TRUE,"Low risk")</f>
        <v>Medium risk</v>
      </c>
      <c r="Y230" t="str" cm="1">
        <f t="array" ref="Y230">IFERROR(_xlfn.IFS(Table1[[#This Row],[Total usage(Min)]]&gt;=AVERAGE(U:U)*1.1,"High risk",Table1[[#This Row],[Total usage(Min)]]&lt;= AVERAGE(U:U)*0.9,"Low risk",TRUE,"Medium risk"),"N/A")</f>
        <v>Medium risk</v>
      </c>
      <c r="Z230" t="str" cm="1">
        <f t="array" ref="Z230">IFERROR(_xlfn.IFS(Table1[[#This Row],[Total charges]]&gt;=AVERAGE(V:V)*1.1,"High risk",Table1[[#This Row],[Total charges]]&lt;=AVERAGE(V:V)*0.9,"Low risk",TRUE,"Medium risk"),"N/A")</f>
        <v>Medium risk</v>
      </c>
      <c r="AA2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0" t="str" cm="1">
        <f t="array" ref="AC230">_xlfn.IFS(
AND(Table1[[#This Row],[Customer service risk level]]="High risk", Table1[[#This Row],[Intl usage behaviour]]="Unplanned Usage"),"High Risk",
OR(Table1[[#This Row],[Customer service risk level]]="Medium risk", Table1[[#This Row],[Charges risk level]]="High risk "),"Medium Risk",
TRUE,"Low Risk"
)</f>
        <v>Medium Risk</v>
      </c>
    </row>
    <row r="231" spans="1:29" x14ac:dyDescent="0.25">
      <c r="A231" t="s">
        <v>26</v>
      </c>
      <c r="B231">
        <v>115</v>
      </c>
      <c r="C231">
        <v>415</v>
      </c>
      <c r="D231" t="s">
        <v>21</v>
      </c>
      <c r="E231" t="s">
        <v>21</v>
      </c>
      <c r="F231">
        <v>0</v>
      </c>
      <c r="G231">
        <v>245.2</v>
      </c>
      <c r="H231">
        <v>105</v>
      </c>
      <c r="I231">
        <v>41.68</v>
      </c>
      <c r="J231">
        <v>159</v>
      </c>
      <c r="K231">
        <v>109</v>
      </c>
      <c r="L231">
        <v>13.52</v>
      </c>
      <c r="M231">
        <v>229.9</v>
      </c>
      <c r="N231">
        <v>74</v>
      </c>
      <c r="O231">
        <v>10.35</v>
      </c>
      <c r="P231">
        <v>7.2</v>
      </c>
      <c r="Q231">
        <v>8</v>
      </c>
      <c r="R231">
        <v>1.94</v>
      </c>
      <c r="S231">
        <v>0</v>
      </c>
      <c r="T231" t="b">
        <v>0</v>
      </c>
      <c r="U231">
        <f>IFERROR(SUM(Table1[[#This Row],[Total day minutes]],Table1[[#This Row],[Total eve minutes]],Table1[[#This Row],[Total night minutes]],Table1[[#This Row],[Total intl minutes]]),0)</f>
        <v>641.30000000000007</v>
      </c>
      <c r="V231">
        <f>SUM(Table1[[#This Row],[Total intl charge]],Table1[[#This Row],[Total night charge]],Table1[[#This Row],[Total eve charge]],Table1[[#This Row],[Total day charge]])</f>
        <v>67.489999999999995</v>
      </c>
      <c r="W231">
        <f>SUM(Table1[[#This Row],[Total intl calls]],Table1[[#This Row],[Total night calls]],Table1[[#This Row],[Total eve calls]],Table1[[#This Row],[Total day calls]])</f>
        <v>296</v>
      </c>
      <c r="X231" t="str" cm="1">
        <f t="array" ref="X231">_xlfn.IFS(Table1[[#This Row],[Customer service calls]]&gt;=4,"High risk",Table1[[#This Row],[Customer service calls]]&gt;=2,"Medium risk",TRUE,"Low risk")</f>
        <v>Low risk</v>
      </c>
      <c r="Y231" t="str" cm="1">
        <f t="array" ref="Y231">IFERROR(_xlfn.IFS(Table1[[#This Row],[Total usage(Min)]]&gt;=AVERAGE(U:U)*1.1,"High risk",Table1[[#This Row],[Total usage(Min)]]&lt;= AVERAGE(U:U)*0.9,"Low risk",TRUE,"Medium risk"),"N/A")</f>
        <v>Medium risk</v>
      </c>
      <c r="Z231" t="str" cm="1">
        <f t="array" ref="Z231">IFERROR(_xlfn.IFS(Table1[[#This Row],[Total charges]]&gt;=AVERAGE(V:V)*1.1,"High risk",Table1[[#This Row],[Total charges]]&lt;=AVERAGE(V:V)*0.9,"Low risk",TRUE,"Medium risk"),"N/A")</f>
        <v>High risk</v>
      </c>
      <c r="AA2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1" t="str" cm="1">
        <f t="array" ref="AC231">_xlfn.IFS(
AND(Table1[[#This Row],[Customer service risk level]]="High risk", Table1[[#This Row],[Intl usage behaviour]]="Unplanned Usage"),"High Risk",
OR(Table1[[#This Row],[Customer service risk level]]="Medium risk", Table1[[#This Row],[Charges risk level]]="High risk "),"Medium Risk",
TRUE,"Low Risk"
)</f>
        <v>Low Risk</v>
      </c>
    </row>
    <row r="232" spans="1:29" x14ac:dyDescent="0.25">
      <c r="A232" t="s">
        <v>57</v>
      </c>
      <c r="B232">
        <v>93</v>
      </c>
      <c r="C232">
        <v>415</v>
      </c>
      <c r="D232" t="s">
        <v>21</v>
      </c>
      <c r="E232" t="s">
        <v>21</v>
      </c>
      <c r="F232">
        <v>0</v>
      </c>
      <c r="G232">
        <v>98.4</v>
      </c>
      <c r="H232">
        <v>78</v>
      </c>
      <c r="I232">
        <v>16.73</v>
      </c>
      <c r="J232">
        <v>249.6</v>
      </c>
      <c r="K232">
        <v>129</v>
      </c>
      <c r="L232">
        <v>21.22</v>
      </c>
      <c r="M232">
        <v>248.2</v>
      </c>
      <c r="N232">
        <v>114</v>
      </c>
      <c r="O232">
        <v>11.17</v>
      </c>
      <c r="P232">
        <v>14.2</v>
      </c>
      <c r="Q232">
        <v>4</v>
      </c>
      <c r="R232">
        <v>3.83</v>
      </c>
      <c r="S232">
        <v>1</v>
      </c>
      <c r="T232" t="b">
        <v>0</v>
      </c>
      <c r="U232">
        <f>IFERROR(SUM(Table1[[#This Row],[Total day minutes]],Table1[[#This Row],[Total eve minutes]],Table1[[#This Row],[Total night minutes]],Table1[[#This Row],[Total intl minutes]]),0)</f>
        <v>610.40000000000009</v>
      </c>
      <c r="V232">
        <f>SUM(Table1[[#This Row],[Total intl charge]],Table1[[#This Row],[Total night charge]],Table1[[#This Row],[Total eve charge]],Table1[[#This Row],[Total day charge]])</f>
        <v>52.95</v>
      </c>
      <c r="W232">
        <f>SUM(Table1[[#This Row],[Total intl calls]],Table1[[#This Row],[Total night calls]],Table1[[#This Row],[Total eve calls]],Table1[[#This Row],[Total day calls]])</f>
        <v>325</v>
      </c>
      <c r="X232" t="str" cm="1">
        <f t="array" ref="X232">_xlfn.IFS(Table1[[#This Row],[Customer service calls]]&gt;=4,"High risk",Table1[[#This Row],[Customer service calls]]&gt;=2,"Medium risk",TRUE,"Low risk")</f>
        <v>Low risk</v>
      </c>
      <c r="Y232" t="str" cm="1">
        <f t="array" ref="Y232">IFERROR(_xlfn.IFS(Table1[[#This Row],[Total usage(Min)]]&gt;=AVERAGE(U:U)*1.1,"High risk",Table1[[#This Row],[Total usage(Min)]]&lt;= AVERAGE(U:U)*0.9,"Low risk",TRUE,"Medium risk"),"N/A")</f>
        <v>Medium risk</v>
      </c>
      <c r="Z232" t="str" cm="1">
        <f t="array" ref="Z232">IFERROR(_xlfn.IFS(Table1[[#This Row],[Total charges]]&gt;=AVERAGE(V:V)*1.1,"High risk",Table1[[#This Row],[Total charges]]&lt;=AVERAGE(V:V)*0.9,"Low risk",TRUE,"Medium risk"),"N/A")</f>
        <v>Low risk</v>
      </c>
      <c r="AA2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2" t="str" cm="1">
        <f t="array" ref="AC232">_xlfn.IFS(
AND(Table1[[#This Row],[Customer service risk level]]="High risk", Table1[[#This Row],[Intl usage behaviour]]="Unplanned Usage"),"High Risk",
OR(Table1[[#This Row],[Customer service risk level]]="Medium risk", Table1[[#This Row],[Charges risk level]]="High risk "),"Medium Risk",
TRUE,"Low Risk"
)</f>
        <v>Low Risk</v>
      </c>
    </row>
    <row r="233" spans="1:29" x14ac:dyDescent="0.25">
      <c r="A233" t="s">
        <v>44</v>
      </c>
      <c r="B233">
        <v>72</v>
      </c>
      <c r="C233">
        <v>415</v>
      </c>
      <c r="D233" t="s">
        <v>21</v>
      </c>
      <c r="E233" t="s">
        <v>21</v>
      </c>
      <c r="F233">
        <v>0</v>
      </c>
      <c r="G233">
        <v>217.8</v>
      </c>
      <c r="H233">
        <v>93</v>
      </c>
      <c r="I233">
        <v>37.03</v>
      </c>
      <c r="J233">
        <v>189.7</v>
      </c>
      <c r="K233">
        <v>113</v>
      </c>
      <c r="L233">
        <v>16.12</v>
      </c>
      <c r="M233">
        <v>182.6</v>
      </c>
      <c r="N233">
        <v>91</v>
      </c>
      <c r="O233">
        <v>8.2200000000000006</v>
      </c>
      <c r="P233">
        <v>10.4</v>
      </c>
      <c r="Q233">
        <v>5</v>
      </c>
      <c r="R233">
        <v>2.81</v>
      </c>
      <c r="S233">
        <v>4</v>
      </c>
      <c r="T233" t="b">
        <v>0</v>
      </c>
      <c r="U233">
        <f>IFERROR(SUM(Table1[[#This Row],[Total day minutes]],Table1[[#This Row],[Total eve minutes]],Table1[[#This Row],[Total night minutes]],Table1[[#This Row],[Total intl minutes]]),0)</f>
        <v>600.5</v>
      </c>
      <c r="V233">
        <f>SUM(Table1[[#This Row],[Total intl charge]],Table1[[#This Row],[Total night charge]],Table1[[#This Row],[Total eve charge]],Table1[[#This Row],[Total day charge]])</f>
        <v>64.180000000000007</v>
      </c>
      <c r="W233">
        <f>SUM(Table1[[#This Row],[Total intl calls]],Table1[[#This Row],[Total night calls]],Table1[[#This Row],[Total eve calls]],Table1[[#This Row],[Total day calls]])</f>
        <v>302</v>
      </c>
      <c r="X233" t="str" cm="1">
        <f t="array" ref="X233">_xlfn.IFS(Table1[[#This Row],[Customer service calls]]&gt;=4,"High risk",Table1[[#This Row],[Customer service calls]]&gt;=2,"Medium risk",TRUE,"Low risk")</f>
        <v>High risk</v>
      </c>
      <c r="Y233" t="str" cm="1">
        <f t="array" ref="Y233">IFERROR(_xlfn.IFS(Table1[[#This Row],[Total usage(Min)]]&gt;=AVERAGE(U:U)*1.1,"High risk",Table1[[#This Row],[Total usage(Min)]]&lt;= AVERAGE(U:U)*0.9,"Low risk",TRUE,"Medium risk"),"N/A")</f>
        <v>Medium risk</v>
      </c>
      <c r="Z233" t="str" cm="1">
        <f t="array" ref="Z233">IFERROR(_xlfn.IFS(Table1[[#This Row],[Total charges]]&gt;=AVERAGE(V:V)*1.1,"High risk",Table1[[#This Row],[Total charges]]&lt;=AVERAGE(V:V)*0.9,"Low risk",TRUE,"Medium risk"),"N/A")</f>
        <v>Medium risk</v>
      </c>
      <c r="AA2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3" t="str" cm="1">
        <f t="array" ref="AC233">_xlfn.IFS(
AND(Table1[[#This Row],[Customer service risk level]]="High risk", Table1[[#This Row],[Intl usage behaviour]]="Unplanned Usage"),"High Risk",
OR(Table1[[#This Row],[Customer service risk level]]="Medium risk", Table1[[#This Row],[Charges risk level]]="High risk "),"Medium Risk",
TRUE,"Low Risk"
)</f>
        <v>High Risk</v>
      </c>
    </row>
    <row r="234" spans="1:29" x14ac:dyDescent="0.25">
      <c r="A234" t="s">
        <v>58</v>
      </c>
      <c r="B234">
        <v>98</v>
      </c>
      <c r="C234">
        <v>415</v>
      </c>
      <c r="D234" t="s">
        <v>21</v>
      </c>
      <c r="E234" t="s">
        <v>27</v>
      </c>
      <c r="F234">
        <v>29</v>
      </c>
      <c r="G234">
        <v>179.9</v>
      </c>
      <c r="H234">
        <v>97</v>
      </c>
      <c r="I234">
        <v>30.58</v>
      </c>
      <c r="J234">
        <v>189.2</v>
      </c>
      <c r="K234">
        <v>89</v>
      </c>
      <c r="L234">
        <v>16.079999999999998</v>
      </c>
      <c r="M234">
        <v>164.3</v>
      </c>
      <c r="N234">
        <v>76</v>
      </c>
      <c r="O234">
        <v>7.39</v>
      </c>
      <c r="P234">
        <v>12.8</v>
      </c>
      <c r="Q234">
        <v>7</v>
      </c>
      <c r="R234">
        <v>3.46</v>
      </c>
      <c r="S234">
        <v>3</v>
      </c>
      <c r="T234" t="b">
        <v>0</v>
      </c>
      <c r="U234">
        <f>IFERROR(SUM(Table1[[#This Row],[Total day minutes]],Table1[[#This Row],[Total eve minutes]],Table1[[#This Row],[Total night minutes]],Table1[[#This Row],[Total intl minutes]]),0)</f>
        <v>546.20000000000005</v>
      </c>
      <c r="V234">
        <f>SUM(Table1[[#This Row],[Total intl charge]],Table1[[#This Row],[Total night charge]],Table1[[#This Row],[Total eve charge]],Table1[[#This Row],[Total day charge]])</f>
        <v>57.51</v>
      </c>
      <c r="W234">
        <f>SUM(Table1[[#This Row],[Total intl calls]],Table1[[#This Row],[Total night calls]],Table1[[#This Row],[Total eve calls]],Table1[[#This Row],[Total day calls]])</f>
        <v>269</v>
      </c>
      <c r="X234" t="str" cm="1">
        <f t="array" ref="X234">_xlfn.IFS(Table1[[#This Row],[Customer service calls]]&gt;=4,"High risk",Table1[[#This Row],[Customer service calls]]&gt;=2,"Medium risk",TRUE,"Low risk")</f>
        <v>Medium risk</v>
      </c>
      <c r="Y234" t="str" cm="1">
        <f t="array" ref="Y234">IFERROR(_xlfn.IFS(Table1[[#This Row],[Total usage(Min)]]&gt;=AVERAGE(U:U)*1.1,"High risk",Table1[[#This Row],[Total usage(Min)]]&lt;= AVERAGE(U:U)*0.9,"Low risk",TRUE,"Medium risk"),"N/A")</f>
        <v>Medium risk</v>
      </c>
      <c r="Z234" t="str" cm="1">
        <f t="array" ref="Z234">IFERROR(_xlfn.IFS(Table1[[#This Row],[Total charges]]&gt;=AVERAGE(V:V)*1.1,"High risk",Table1[[#This Row],[Total charges]]&lt;=AVERAGE(V:V)*0.9,"Low risk",TRUE,"Medium risk"),"N/A")</f>
        <v>Medium risk</v>
      </c>
      <c r="AA2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34" t="str" cm="1">
        <f t="array" ref="AC234">_xlfn.IFS(
AND(Table1[[#This Row],[Customer service risk level]]="High risk", Table1[[#This Row],[Intl usage behaviour]]="Unplanned Usage"),"High Risk",
OR(Table1[[#This Row],[Customer service risk level]]="Medium risk", Table1[[#This Row],[Charges risk level]]="High risk "),"Medium Risk",
TRUE,"Low Risk"
)</f>
        <v>Medium Risk</v>
      </c>
    </row>
    <row r="235" spans="1:29" x14ac:dyDescent="0.25">
      <c r="A235" t="s">
        <v>29</v>
      </c>
      <c r="B235">
        <v>118</v>
      </c>
      <c r="C235">
        <v>415</v>
      </c>
      <c r="D235" t="s">
        <v>21</v>
      </c>
      <c r="E235" t="s">
        <v>21</v>
      </c>
      <c r="F235">
        <v>0</v>
      </c>
      <c r="G235">
        <v>140.4</v>
      </c>
      <c r="H235">
        <v>112</v>
      </c>
      <c r="I235">
        <v>23.87</v>
      </c>
      <c r="J235">
        <v>187.1</v>
      </c>
      <c r="K235">
        <v>60</v>
      </c>
      <c r="L235">
        <v>15.9</v>
      </c>
      <c r="M235">
        <v>207.9</v>
      </c>
      <c r="N235">
        <v>155</v>
      </c>
      <c r="O235">
        <v>9.36</v>
      </c>
      <c r="P235">
        <v>7.9</v>
      </c>
      <c r="Q235">
        <v>1</v>
      </c>
      <c r="R235">
        <v>2.13</v>
      </c>
      <c r="S235">
        <v>0</v>
      </c>
      <c r="T235" t="b">
        <v>0</v>
      </c>
      <c r="U235">
        <f>IFERROR(SUM(Table1[[#This Row],[Total day minutes]],Table1[[#This Row],[Total eve minutes]],Table1[[#This Row],[Total night minutes]],Table1[[#This Row],[Total intl minutes]]),0)</f>
        <v>543.29999999999995</v>
      </c>
      <c r="V235">
        <f>SUM(Table1[[#This Row],[Total intl charge]],Table1[[#This Row],[Total night charge]],Table1[[#This Row],[Total eve charge]],Table1[[#This Row],[Total day charge]])</f>
        <v>51.260000000000005</v>
      </c>
      <c r="W235">
        <f>SUM(Table1[[#This Row],[Total intl calls]],Table1[[#This Row],[Total night calls]],Table1[[#This Row],[Total eve calls]],Table1[[#This Row],[Total day calls]])</f>
        <v>328</v>
      </c>
      <c r="X235" t="str" cm="1">
        <f t="array" ref="X235">_xlfn.IFS(Table1[[#This Row],[Customer service calls]]&gt;=4,"High risk",Table1[[#This Row],[Customer service calls]]&gt;=2,"Medium risk",TRUE,"Low risk")</f>
        <v>Low risk</v>
      </c>
      <c r="Y235" t="str" cm="1">
        <f t="array" ref="Y235">IFERROR(_xlfn.IFS(Table1[[#This Row],[Total usage(Min)]]&gt;=AVERAGE(U:U)*1.1,"High risk",Table1[[#This Row],[Total usage(Min)]]&lt;= AVERAGE(U:U)*0.9,"Low risk",TRUE,"Medium risk"),"N/A")</f>
        <v>Medium risk</v>
      </c>
      <c r="Z235" t="str" cm="1">
        <f t="array" ref="Z235">IFERROR(_xlfn.IFS(Table1[[#This Row],[Total charges]]&gt;=AVERAGE(V:V)*1.1,"High risk",Table1[[#This Row],[Total charges]]&lt;=AVERAGE(V:V)*0.9,"Low risk",TRUE,"Medium risk"),"N/A")</f>
        <v>Low risk</v>
      </c>
      <c r="AA2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5" t="str" cm="1">
        <f t="array" ref="AC235">_xlfn.IFS(
AND(Table1[[#This Row],[Customer service risk level]]="High risk", Table1[[#This Row],[Intl usage behaviour]]="Unplanned Usage"),"High Risk",
OR(Table1[[#This Row],[Customer service risk level]]="Medium risk", Table1[[#This Row],[Charges risk level]]="High risk "),"Medium Risk",
TRUE,"Low Risk"
)</f>
        <v>Low Risk</v>
      </c>
    </row>
    <row r="236" spans="1:29" x14ac:dyDescent="0.25">
      <c r="A236" t="s">
        <v>43</v>
      </c>
      <c r="B236">
        <v>55</v>
      </c>
      <c r="C236">
        <v>510</v>
      </c>
      <c r="D236" t="s">
        <v>21</v>
      </c>
      <c r="E236" t="s">
        <v>21</v>
      </c>
      <c r="F236">
        <v>0</v>
      </c>
      <c r="G236">
        <v>189</v>
      </c>
      <c r="H236">
        <v>100</v>
      </c>
      <c r="I236">
        <v>32.130000000000003</v>
      </c>
      <c r="J236">
        <v>118.5</v>
      </c>
      <c r="K236">
        <v>99</v>
      </c>
      <c r="L236">
        <v>10.07</v>
      </c>
      <c r="M236">
        <v>248.1</v>
      </c>
      <c r="N236">
        <v>87</v>
      </c>
      <c r="O236">
        <v>11.16</v>
      </c>
      <c r="P236">
        <v>17.100000000000001</v>
      </c>
      <c r="Q236">
        <v>6</v>
      </c>
      <c r="R236">
        <v>4.62</v>
      </c>
      <c r="S236">
        <v>0</v>
      </c>
      <c r="T236" t="b">
        <v>0</v>
      </c>
      <c r="U236">
        <f>IFERROR(SUM(Table1[[#This Row],[Total day minutes]],Table1[[#This Row],[Total eve minutes]],Table1[[#This Row],[Total night minutes]],Table1[[#This Row],[Total intl minutes]]),0)</f>
        <v>572.70000000000005</v>
      </c>
      <c r="V236">
        <f>SUM(Table1[[#This Row],[Total intl charge]],Table1[[#This Row],[Total night charge]],Table1[[#This Row],[Total eve charge]],Table1[[#This Row],[Total day charge]])</f>
        <v>57.980000000000004</v>
      </c>
      <c r="W236">
        <f>SUM(Table1[[#This Row],[Total intl calls]],Table1[[#This Row],[Total night calls]],Table1[[#This Row],[Total eve calls]],Table1[[#This Row],[Total day calls]])</f>
        <v>292</v>
      </c>
      <c r="X236" t="str" cm="1">
        <f t="array" ref="X236">_xlfn.IFS(Table1[[#This Row],[Customer service calls]]&gt;=4,"High risk",Table1[[#This Row],[Customer service calls]]&gt;=2,"Medium risk",TRUE,"Low risk")</f>
        <v>Low risk</v>
      </c>
      <c r="Y236" t="str" cm="1">
        <f t="array" ref="Y236">IFERROR(_xlfn.IFS(Table1[[#This Row],[Total usage(Min)]]&gt;=AVERAGE(U:U)*1.1,"High risk",Table1[[#This Row],[Total usage(Min)]]&lt;= AVERAGE(U:U)*0.9,"Low risk",TRUE,"Medium risk"),"N/A")</f>
        <v>Medium risk</v>
      </c>
      <c r="Z236" t="str" cm="1">
        <f t="array" ref="Z236">IFERROR(_xlfn.IFS(Table1[[#This Row],[Total charges]]&gt;=AVERAGE(V:V)*1.1,"High risk",Table1[[#This Row],[Total charges]]&lt;=AVERAGE(V:V)*0.9,"Low risk",TRUE,"Medium risk"),"N/A")</f>
        <v>Medium risk</v>
      </c>
      <c r="AA2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6" t="str" cm="1">
        <f t="array" ref="AC236">_xlfn.IFS(
AND(Table1[[#This Row],[Customer service risk level]]="High risk", Table1[[#This Row],[Intl usage behaviour]]="Unplanned Usage"),"High Risk",
OR(Table1[[#This Row],[Customer service risk level]]="Medium risk", Table1[[#This Row],[Charges risk level]]="High risk "),"Medium Risk",
TRUE,"Low Risk"
)</f>
        <v>Low Risk</v>
      </c>
    </row>
    <row r="237" spans="1:29" x14ac:dyDescent="0.25">
      <c r="A237" t="s">
        <v>63</v>
      </c>
      <c r="B237">
        <v>130</v>
      </c>
      <c r="C237">
        <v>415</v>
      </c>
      <c r="D237" t="s">
        <v>21</v>
      </c>
      <c r="E237" t="s">
        <v>21</v>
      </c>
      <c r="F237">
        <v>0</v>
      </c>
      <c r="G237">
        <v>155.9</v>
      </c>
      <c r="H237">
        <v>95</v>
      </c>
      <c r="I237">
        <v>26.5</v>
      </c>
      <c r="J237">
        <v>256.10000000000002</v>
      </c>
      <c r="K237">
        <v>97</v>
      </c>
      <c r="L237">
        <v>21.77</v>
      </c>
      <c r="M237">
        <v>262.89999999999998</v>
      </c>
      <c r="N237">
        <v>103</v>
      </c>
      <c r="O237">
        <v>11.83</v>
      </c>
      <c r="P237">
        <v>11.7</v>
      </c>
      <c r="Q237">
        <v>3</v>
      </c>
      <c r="R237">
        <v>3.16</v>
      </c>
      <c r="S237">
        <v>3</v>
      </c>
      <c r="T237" t="b">
        <v>0</v>
      </c>
      <c r="U237">
        <f>IFERROR(SUM(Table1[[#This Row],[Total day minutes]],Table1[[#This Row],[Total eve minutes]],Table1[[#This Row],[Total night minutes]],Table1[[#This Row],[Total intl minutes]]),0)</f>
        <v>686.6</v>
      </c>
      <c r="V237">
        <f>SUM(Table1[[#This Row],[Total intl charge]],Table1[[#This Row],[Total night charge]],Table1[[#This Row],[Total eve charge]],Table1[[#This Row],[Total day charge]])</f>
        <v>63.26</v>
      </c>
      <c r="W237">
        <f>SUM(Table1[[#This Row],[Total intl calls]],Table1[[#This Row],[Total night calls]],Table1[[#This Row],[Total eve calls]],Table1[[#This Row],[Total day calls]])</f>
        <v>298</v>
      </c>
      <c r="X237" t="str" cm="1">
        <f t="array" ref="X237">_xlfn.IFS(Table1[[#This Row],[Customer service calls]]&gt;=4,"High risk",Table1[[#This Row],[Customer service calls]]&gt;=2,"Medium risk",TRUE,"Low risk")</f>
        <v>Medium risk</v>
      </c>
      <c r="Y237" t="str" cm="1">
        <f t="array" ref="Y237">IFERROR(_xlfn.IFS(Table1[[#This Row],[Total usage(Min)]]&gt;=AVERAGE(U:U)*1.1,"High risk",Table1[[#This Row],[Total usage(Min)]]&lt;= AVERAGE(U:U)*0.9,"Low risk",TRUE,"Medium risk"),"N/A")</f>
        <v>High risk</v>
      </c>
      <c r="Z237" t="str" cm="1">
        <f t="array" ref="Z237">IFERROR(_xlfn.IFS(Table1[[#This Row],[Total charges]]&gt;=AVERAGE(V:V)*1.1,"High risk",Table1[[#This Row],[Total charges]]&lt;=AVERAGE(V:V)*0.9,"Low risk",TRUE,"Medium risk"),"N/A")</f>
        <v>Medium risk</v>
      </c>
      <c r="AA2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7" t="str" cm="1">
        <f t="array" ref="AC237">_xlfn.IFS(
AND(Table1[[#This Row],[Customer service risk level]]="High risk", Table1[[#This Row],[Intl usage behaviour]]="Unplanned Usage"),"High Risk",
OR(Table1[[#This Row],[Customer service risk level]]="Medium risk", Table1[[#This Row],[Charges risk level]]="High risk "),"Medium Risk",
TRUE,"Low Risk"
)</f>
        <v>Medium Risk</v>
      </c>
    </row>
    <row r="238" spans="1:29" x14ac:dyDescent="0.25">
      <c r="A238" t="s">
        <v>51</v>
      </c>
      <c r="B238">
        <v>136</v>
      </c>
      <c r="C238">
        <v>408</v>
      </c>
      <c r="D238" t="s">
        <v>27</v>
      </c>
      <c r="E238" t="s">
        <v>21</v>
      </c>
      <c r="F238">
        <v>0</v>
      </c>
      <c r="G238">
        <v>199.2</v>
      </c>
      <c r="H238">
        <v>122</v>
      </c>
      <c r="I238">
        <v>33.86</v>
      </c>
      <c r="J238">
        <v>214.7</v>
      </c>
      <c r="K238">
        <v>114</v>
      </c>
      <c r="L238">
        <v>18.25</v>
      </c>
      <c r="M238">
        <v>150.9</v>
      </c>
      <c r="N238">
        <v>105</v>
      </c>
      <c r="O238">
        <v>6.79</v>
      </c>
      <c r="P238">
        <v>11.8</v>
      </c>
      <c r="Q238">
        <v>7</v>
      </c>
      <c r="R238">
        <v>3.19</v>
      </c>
      <c r="S238">
        <v>1</v>
      </c>
      <c r="T238" t="b">
        <v>0</v>
      </c>
      <c r="U238">
        <f>IFERROR(SUM(Table1[[#This Row],[Total day minutes]],Table1[[#This Row],[Total eve minutes]],Table1[[#This Row],[Total night minutes]],Table1[[#This Row],[Total intl minutes]]),0)</f>
        <v>576.59999999999991</v>
      </c>
      <c r="V238">
        <f>SUM(Table1[[#This Row],[Total intl charge]],Table1[[#This Row],[Total night charge]],Table1[[#This Row],[Total eve charge]],Table1[[#This Row],[Total day charge]])</f>
        <v>62.09</v>
      </c>
      <c r="W238">
        <f>SUM(Table1[[#This Row],[Total intl calls]],Table1[[#This Row],[Total night calls]],Table1[[#This Row],[Total eve calls]],Table1[[#This Row],[Total day calls]])</f>
        <v>348</v>
      </c>
      <c r="X238" t="str" cm="1">
        <f t="array" ref="X238">_xlfn.IFS(Table1[[#This Row],[Customer service calls]]&gt;=4,"High risk",Table1[[#This Row],[Customer service calls]]&gt;=2,"Medium risk",TRUE,"Low risk")</f>
        <v>Low risk</v>
      </c>
      <c r="Y238" t="str" cm="1">
        <f t="array" ref="Y238">IFERROR(_xlfn.IFS(Table1[[#This Row],[Total usage(Min)]]&gt;=AVERAGE(U:U)*1.1,"High risk",Table1[[#This Row],[Total usage(Min)]]&lt;= AVERAGE(U:U)*0.9,"Low risk",TRUE,"Medium risk"),"N/A")</f>
        <v>Medium risk</v>
      </c>
      <c r="Z238" t="str" cm="1">
        <f t="array" ref="Z238">IFERROR(_xlfn.IFS(Table1[[#This Row],[Total charges]]&gt;=AVERAGE(V:V)*1.1,"High risk",Table1[[#This Row],[Total charges]]&lt;=AVERAGE(V:V)*0.9,"Low risk",TRUE,"Medium risk"),"N/A")</f>
        <v>Medium risk</v>
      </c>
      <c r="AA2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8" t="str" cm="1">
        <f t="array" ref="AC238">_xlfn.IFS(
AND(Table1[[#This Row],[Customer service risk level]]="High risk", Table1[[#This Row],[Intl usage behaviour]]="Unplanned Usage"),"High Risk",
OR(Table1[[#This Row],[Customer service risk level]]="Medium risk", Table1[[#This Row],[Charges risk level]]="High risk "),"Medium Risk",
TRUE,"Low Risk"
)</f>
        <v>Low Risk</v>
      </c>
    </row>
    <row r="239" spans="1:29" x14ac:dyDescent="0.25">
      <c r="A239" t="s">
        <v>36</v>
      </c>
      <c r="B239">
        <v>107</v>
      </c>
      <c r="C239">
        <v>415</v>
      </c>
      <c r="D239" t="s">
        <v>21</v>
      </c>
      <c r="E239" t="s">
        <v>21</v>
      </c>
      <c r="F239">
        <v>0</v>
      </c>
      <c r="G239">
        <v>157.1</v>
      </c>
      <c r="H239">
        <v>79</v>
      </c>
      <c r="I239">
        <v>26.71</v>
      </c>
      <c r="J239">
        <v>162.6</v>
      </c>
      <c r="K239">
        <v>124</v>
      </c>
      <c r="L239">
        <v>13.82</v>
      </c>
      <c r="M239">
        <v>150</v>
      </c>
      <c r="N239">
        <v>138</v>
      </c>
      <c r="O239">
        <v>6.75</v>
      </c>
      <c r="P239">
        <v>12.1</v>
      </c>
      <c r="Q239">
        <v>6</v>
      </c>
      <c r="R239">
        <v>3.27</v>
      </c>
      <c r="S239">
        <v>1</v>
      </c>
      <c r="T239" t="b">
        <v>0</v>
      </c>
      <c r="U239">
        <f>IFERROR(SUM(Table1[[#This Row],[Total day minutes]],Table1[[#This Row],[Total eve minutes]],Table1[[#This Row],[Total night minutes]],Table1[[#This Row],[Total intl minutes]]),0)</f>
        <v>481.8</v>
      </c>
      <c r="V239">
        <f>SUM(Table1[[#This Row],[Total intl charge]],Table1[[#This Row],[Total night charge]],Table1[[#This Row],[Total eve charge]],Table1[[#This Row],[Total day charge]])</f>
        <v>50.55</v>
      </c>
      <c r="W239">
        <f>SUM(Table1[[#This Row],[Total intl calls]],Table1[[#This Row],[Total night calls]],Table1[[#This Row],[Total eve calls]],Table1[[#This Row],[Total day calls]])</f>
        <v>347</v>
      </c>
      <c r="X239" t="str" cm="1">
        <f t="array" ref="X239">_xlfn.IFS(Table1[[#This Row],[Customer service calls]]&gt;=4,"High risk",Table1[[#This Row],[Customer service calls]]&gt;=2,"Medium risk",TRUE,"Low risk")</f>
        <v>Low risk</v>
      </c>
      <c r="Y239" t="str" cm="1">
        <f t="array" ref="Y239">IFERROR(_xlfn.IFS(Table1[[#This Row],[Total usage(Min)]]&gt;=AVERAGE(U:U)*1.1,"High risk",Table1[[#This Row],[Total usage(Min)]]&lt;= AVERAGE(U:U)*0.9,"Low risk",TRUE,"Medium risk"),"N/A")</f>
        <v>Low risk</v>
      </c>
      <c r="Z239" t="str" cm="1">
        <f t="array" ref="Z239">IFERROR(_xlfn.IFS(Table1[[#This Row],[Total charges]]&gt;=AVERAGE(V:V)*1.1,"High risk",Table1[[#This Row],[Total charges]]&lt;=AVERAGE(V:V)*0.9,"Low risk",TRUE,"Medium risk"),"N/A")</f>
        <v>Low risk</v>
      </c>
      <c r="AA2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39" t="str" cm="1">
        <f t="array" ref="AC239">_xlfn.IFS(
AND(Table1[[#This Row],[Customer service risk level]]="High risk", Table1[[#This Row],[Intl usage behaviour]]="Unplanned Usage"),"High Risk",
OR(Table1[[#This Row],[Customer service risk level]]="Medium risk", Table1[[#This Row],[Charges risk level]]="High risk "),"Medium Risk",
TRUE,"Low Risk"
)</f>
        <v>Low Risk</v>
      </c>
    </row>
    <row r="240" spans="1:29" x14ac:dyDescent="0.25">
      <c r="A240" t="s">
        <v>28</v>
      </c>
      <c r="B240">
        <v>91</v>
      </c>
      <c r="C240">
        <v>415</v>
      </c>
      <c r="D240" t="s">
        <v>21</v>
      </c>
      <c r="E240" t="s">
        <v>21</v>
      </c>
      <c r="F240">
        <v>0</v>
      </c>
      <c r="G240">
        <v>154.4</v>
      </c>
      <c r="H240">
        <v>165</v>
      </c>
      <c r="I240">
        <v>26.25</v>
      </c>
      <c r="J240">
        <v>168.3</v>
      </c>
      <c r="K240">
        <v>121</v>
      </c>
      <c r="L240">
        <v>14.31</v>
      </c>
      <c r="M240">
        <v>239.9</v>
      </c>
      <c r="N240">
        <v>81</v>
      </c>
      <c r="O240">
        <v>10.8</v>
      </c>
      <c r="P240">
        <v>11.7</v>
      </c>
      <c r="Q240">
        <v>4</v>
      </c>
      <c r="R240">
        <v>3.16</v>
      </c>
      <c r="S240">
        <v>5</v>
      </c>
      <c r="T240" t="b">
        <v>1</v>
      </c>
      <c r="U240">
        <f>IFERROR(SUM(Table1[[#This Row],[Total day minutes]],Table1[[#This Row],[Total eve minutes]],Table1[[#This Row],[Total night minutes]],Table1[[#This Row],[Total intl minutes]]),0)</f>
        <v>574.30000000000007</v>
      </c>
      <c r="V240">
        <f>SUM(Table1[[#This Row],[Total intl charge]],Table1[[#This Row],[Total night charge]],Table1[[#This Row],[Total eve charge]],Table1[[#This Row],[Total day charge]])</f>
        <v>54.52</v>
      </c>
      <c r="W240">
        <f>SUM(Table1[[#This Row],[Total intl calls]],Table1[[#This Row],[Total night calls]],Table1[[#This Row],[Total eve calls]],Table1[[#This Row],[Total day calls]])</f>
        <v>371</v>
      </c>
      <c r="X240" t="str" cm="1">
        <f t="array" ref="X240">_xlfn.IFS(Table1[[#This Row],[Customer service calls]]&gt;=4,"High risk",Table1[[#This Row],[Customer service calls]]&gt;=2,"Medium risk",TRUE,"Low risk")</f>
        <v>High risk</v>
      </c>
      <c r="Y240" t="str" cm="1">
        <f t="array" ref="Y240">IFERROR(_xlfn.IFS(Table1[[#This Row],[Total usage(Min)]]&gt;=AVERAGE(U:U)*1.1,"High risk",Table1[[#This Row],[Total usage(Min)]]&lt;= AVERAGE(U:U)*0.9,"Low risk",TRUE,"Medium risk"),"N/A")</f>
        <v>Medium risk</v>
      </c>
      <c r="Z240" t="str" cm="1">
        <f t="array" ref="Z240">IFERROR(_xlfn.IFS(Table1[[#This Row],[Total charges]]&gt;=AVERAGE(V:V)*1.1,"High risk",Table1[[#This Row],[Total charges]]&lt;=AVERAGE(V:V)*0.9,"Low risk",TRUE,"Medium risk"),"N/A")</f>
        <v>Medium risk</v>
      </c>
      <c r="AA2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0" t="str" cm="1">
        <f t="array" ref="AC240">_xlfn.IFS(
AND(Table1[[#This Row],[Customer service risk level]]="High risk", Table1[[#This Row],[Intl usage behaviour]]="Unplanned Usage"),"High Risk",
OR(Table1[[#This Row],[Customer service risk level]]="Medium risk", Table1[[#This Row],[Charges risk level]]="High risk "),"Medium Risk",
TRUE,"Low Risk"
)</f>
        <v>High Risk</v>
      </c>
    </row>
    <row r="241" spans="1:29" x14ac:dyDescent="0.25">
      <c r="A241" t="s">
        <v>23</v>
      </c>
      <c r="B241">
        <v>167</v>
      </c>
      <c r="C241">
        <v>415</v>
      </c>
      <c r="D241" t="s">
        <v>21</v>
      </c>
      <c r="E241" t="s">
        <v>21</v>
      </c>
      <c r="F241">
        <v>0</v>
      </c>
      <c r="G241">
        <v>166.4</v>
      </c>
      <c r="H241">
        <v>85</v>
      </c>
      <c r="I241">
        <v>28.29</v>
      </c>
      <c r="J241">
        <v>243.2</v>
      </c>
      <c r="K241">
        <v>135</v>
      </c>
      <c r="L241">
        <v>20.67</v>
      </c>
      <c r="M241">
        <v>229.2</v>
      </c>
      <c r="N241">
        <v>95</v>
      </c>
      <c r="O241">
        <v>10.31</v>
      </c>
      <c r="P241">
        <v>9.9</v>
      </c>
      <c r="Q241">
        <v>5</v>
      </c>
      <c r="R241">
        <v>2.67</v>
      </c>
      <c r="S241">
        <v>1</v>
      </c>
      <c r="T241" t="b">
        <v>0</v>
      </c>
      <c r="U241">
        <f>IFERROR(SUM(Table1[[#This Row],[Total day minutes]],Table1[[#This Row],[Total eve minutes]],Table1[[#This Row],[Total night minutes]],Table1[[#This Row],[Total intl minutes]]),0)</f>
        <v>648.69999999999993</v>
      </c>
      <c r="V241">
        <f>SUM(Table1[[#This Row],[Total intl charge]],Table1[[#This Row],[Total night charge]],Table1[[#This Row],[Total eve charge]],Table1[[#This Row],[Total day charge]])</f>
        <v>61.940000000000005</v>
      </c>
      <c r="W241">
        <f>SUM(Table1[[#This Row],[Total intl calls]],Table1[[#This Row],[Total night calls]],Table1[[#This Row],[Total eve calls]],Table1[[#This Row],[Total day calls]])</f>
        <v>320</v>
      </c>
      <c r="X241" t="str" cm="1">
        <f t="array" ref="X241">_xlfn.IFS(Table1[[#This Row],[Customer service calls]]&gt;=4,"High risk",Table1[[#This Row],[Customer service calls]]&gt;=2,"Medium risk",TRUE,"Low risk")</f>
        <v>Low risk</v>
      </c>
      <c r="Y241" t="str" cm="1">
        <f t="array" ref="Y241">IFERROR(_xlfn.IFS(Table1[[#This Row],[Total usage(Min)]]&gt;=AVERAGE(U:U)*1.1,"High risk",Table1[[#This Row],[Total usage(Min)]]&lt;= AVERAGE(U:U)*0.9,"Low risk",TRUE,"Medium risk"),"N/A")</f>
        <v>Medium risk</v>
      </c>
      <c r="Z241" t="str" cm="1">
        <f t="array" ref="Z241">IFERROR(_xlfn.IFS(Table1[[#This Row],[Total charges]]&gt;=AVERAGE(V:V)*1.1,"High risk",Table1[[#This Row],[Total charges]]&lt;=AVERAGE(V:V)*0.9,"Low risk",TRUE,"Medium risk"),"N/A")</f>
        <v>Medium risk</v>
      </c>
      <c r="AA2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1" t="str" cm="1">
        <f t="array" ref="AC241">_xlfn.IFS(
AND(Table1[[#This Row],[Customer service risk level]]="High risk", Table1[[#This Row],[Intl usage behaviour]]="Unplanned Usage"),"High Risk",
OR(Table1[[#This Row],[Customer service risk level]]="Medium risk", Table1[[#This Row],[Charges risk level]]="High risk "),"Medium Risk",
TRUE,"Low Risk"
)</f>
        <v>Low Risk</v>
      </c>
    </row>
    <row r="242" spans="1:29" x14ac:dyDescent="0.25">
      <c r="A242" t="s">
        <v>52</v>
      </c>
      <c r="B242">
        <v>159</v>
      </c>
      <c r="C242">
        <v>415</v>
      </c>
      <c r="D242" t="s">
        <v>21</v>
      </c>
      <c r="E242" t="s">
        <v>27</v>
      </c>
      <c r="F242">
        <v>19</v>
      </c>
      <c r="G242">
        <v>184.1</v>
      </c>
      <c r="H242">
        <v>78</v>
      </c>
      <c r="I242">
        <v>31.3</v>
      </c>
      <c r="J242">
        <v>194.5</v>
      </c>
      <c r="K242">
        <v>71</v>
      </c>
      <c r="L242">
        <v>16.53</v>
      </c>
      <c r="M242">
        <v>225.6</v>
      </c>
      <c r="N242">
        <v>101</v>
      </c>
      <c r="O242">
        <v>10.15</v>
      </c>
      <c r="P242">
        <v>16.899999999999999</v>
      </c>
      <c r="Q242">
        <v>3</v>
      </c>
      <c r="R242">
        <v>4.5599999999999996</v>
      </c>
      <c r="S242">
        <v>0</v>
      </c>
      <c r="T242" t="b">
        <v>0</v>
      </c>
      <c r="U242">
        <f>IFERROR(SUM(Table1[[#This Row],[Total day minutes]],Table1[[#This Row],[Total eve minutes]],Table1[[#This Row],[Total night minutes]],Table1[[#This Row],[Total intl minutes]]),0)</f>
        <v>621.1</v>
      </c>
      <c r="V242">
        <f>SUM(Table1[[#This Row],[Total intl charge]],Table1[[#This Row],[Total night charge]],Table1[[#This Row],[Total eve charge]],Table1[[#This Row],[Total day charge]])</f>
        <v>62.540000000000006</v>
      </c>
      <c r="W242">
        <f>SUM(Table1[[#This Row],[Total intl calls]],Table1[[#This Row],[Total night calls]],Table1[[#This Row],[Total eve calls]],Table1[[#This Row],[Total day calls]])</f>
        <v>253</v>
      </c>
      <c r="X242" t="str" cm="1">
        <f t="array" ref="X242">_xlfn.IFS(Table1[[#This Row],[Customer service calls]]&gt;=4,"High risk",Table1[[#This Row],[Customer service calls]]&gt;=2,"Medium risk",TRUE,"Low risk")</f>
        <v>Low risk</v>
      </c>
      <c r="Y242" t="str" cm="1">
        <f t="array" ref="Y242">IFERROR(_xlfn.IFS(Table1[[#This Row],[Total usage(Min)]]&gt;=AVERAGE(U:U)*1.1,"High risk",Table1[[#This Row],[Total usage(Min)]]&lt;= AVERAGE(U:U)*0.9,"Low risk",TRUE,"Medium risk"),"N/A")</f>
        <v>Medium risk</v>
      </c>
      <c r="Z242" t="str" cm="1">
        <f t="array" ref="Z242">IFERROR(_xlfn.IFS(Table1[[#This Row],[Total charges]]&gt;=AVERAGE(V:V)*1.1,"High risk",Table1[[#This Row],[Total charges]]&lt;=AVERAGE(V:V)*0.9,"Low risk",TRUE,"Medium risk"),"N/A")</f>
        <v>Medium risk</v>
      </c>
      <c r="AA2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42" t="str" cm="1">
        <f t="array" ref="AC242">_xlfn.IFS(
AND(Table1[[#This Row],[Customer service risk level]]="High risk", Table1[[#This Row],[Intl usage behaviour]]="Unplanned Usage"),"High Risk",
OR(Table1[[#This Row],[Customer service risk level]]="Medium risk", Table1[[#This Row],[Charges risk level]]="High risk "),"Medium Risk",
TRUE,"Low Risk"
)</f>
        <v>Low Risk</v>
      </c>
    </row>
    <row r="243" spans="1:29" x14ac:dyDescent="0.25">
      <c r="A243" t="s">
        <v>67</v>
      </c>
      <c r="B243">
        <v>122</v>
      </c>
      <c r="C243">
        <v>415</v>
      </c>
      <c r="D243" t="s">
        <v>21</v>
      </c>
      <c r="E243" t="s">
        <v>21</v>
      </c>
      <c r="F243">
        <v>0</v>
      </c>
      <c r="G243">
        <v>35.1</v>
      </c>
      <c r="H243">
        <v>62</v>
      </c>
      <c r="I243">
        <v>5.97</v>
      </c>
      <c r="J243">
        <v>180.8</v>
      </c>
      <c r="K243">
        <v>89</v>
      </c>
      <c r="L243">
        <v>15.37</v>
      </c>
      <c r="M243">
        <v>251.6</v>
      </c>
      <c r="N243">
        <v>58</v>
      </c>
      <c r="O243">
        <v>11.32</v>
      </c>
      <c r="P243">
        <v>12.7</v>
      </c>
      <c r="Q243">
        <v>2</v>
      </c>
      <c r="R243">
        <v>3.43</v>
      </c>
      <c r="S243">
        <v>1</v>
      </c>
      <c r="T243" t="b">
        <v>0</v>
      </c>
      <c r="U243">
        <f>IFERROR(SUM(Table1[[#This Row],[Total day minutes]],Table1[[#This Row],[Total eve minutes]],Table1[[#This Row],[Total night minutes]],Table1[[#This Row],[Total intl minutes]]),0)</f>
        <v>480.2</v>
      </c>
      <c r="V243">
        <f>SUM(Table1[[#This Row],[Total intl charge]],Table1[[#This Row],[Total night charge]],Table1[[#This Row],[Total eve charge]],Table1[[#This Row],[Total day charge]])</f>
        <v>36.089999999999996</v>
      </c>
      <c r="W243">
        <f>SUM(Table1[[#This Row],[Total intl calls]],Table1[[#This Row],[Total night calls]],Table1[[#This Row],[Total eve calls]],Table1[[#This Row],[Total day calls]])</f>
        <v>211</v>
      </c>
      <c r="X243" t="str" cm="1">
        <f t="array" ref="X243">_xlfn.IFS(Table1[[#This Row],[Customer service calls]]&gt;=4,"High risk",Table1[[#This Row],[Customer service calls]]&gt;=2,"Medium risk",TRUE,"Low risk")</f>
        <v>Low risk</v>
      </c>
      <c r="Y243" t="str" cm="1">
        <f t="array" ref="Y243">IFERROR(_xlfn.IFS(Table1[[#This Row],[Total usage(Min)]]&gt;=AVERAGE(U:U)*1.1,"High risk",Table1[[#This Row],[Total usage(Min)]]&lt;= AVERAGE(U:U)*0.9,"Low risk",TRUE,"Medium risk"),"N/A")</f>
        <v>Low risk</v>
      </c>
      <c r="Z243" t="str" cm="1">
        <f t="array" ref="Z243">IFERROR(_xlfn.IFS(Table1[[#This Row],[Total charges]]&gt;=AVERAGE(V:V)*1.1,"High risk",Table1[[#This Row],[Total charges]]&lt;=AVERAGE(V:V)*0.9,"Low risk",TRUE,"Medium risk"),"N/A")</f>
        <v>Low risk</v>
      </c>
      <c r="AA2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3" t="str" cm="1">
        <f t="array" ref="AC243">_xlfn.IFS(
AND(Table1[[#This Row],[Customer service risk level]]="High risk", Table1[[#This Row],[Intl usage behaviour]]="Unplanned Usage"),"High Risk",
OR(Table1[[#This Row],[Customer service risk level]]="Medium risk", Table1[[#This Row],[Charges risk level]]="High risk "),"Medium Risk",
TRUE,"Low Risk"
)</f>
        <v>Low Risk</v>
      </c>
    </row>
    <row r="244" spans="1:29" x14ac:dyDescent="0.25">
      <c r="A244" t="s">
        <v>28</v>
      </c>
      <c r="B244">
        <v>105</v>
      </c>
      <c r="C244">
        <v>415</v>
      </c>
      <c r="D244" t="s">
        <v>21</v>
      </c>
      <c r="E244" t="s">
        <v>27</v>
      </c>
      <c r="F244">
        <v>29</v>
      </c>
      <c r="G244">
        <v>179.4</v>
      </c>
      <c r="H244">
        <v>113</v>
      </c>
      <c r="I244">
        <v>30.5</v>
      </c>
      <c r="J244">
        <v>275.39999999999998</v>
      </c>
      <c r="K244">
        <v>100</v>
      </c>
      <c r="L244">
        <v>23.41</v>
      </c>
      <c r="M244">
        <v>246.1</v>
      </c>
      <c r="N244">
        <v>105</v>
      </c>
      <c r="O244">
        <v>11.07</v>
      </c>
      <c r="P244">
        <v>10</v>
      </c>
      <c r="Q244">
        <v>5</v>
      </c>
      <c r="R244">
        <v>2.7</v>
      </c>
      <c r="S244">
        <v>0</v>
      </c>
      <c r="T244" t="b">
        <v>0</v>
      </c>
      <c r="U244">
        <f>IFERROR(SUM(Table1[[#This Row],[Total day minutes]],Table1[[#This Row],[Total eve minutes]],Table1[[#This Row],[Total night minutes]],Table1[[#This Row],[Total intl minutes]]),0)</f>
        <v>710.9</v>
      </c>
      <c r="V244">
        <f>SUM(Table1[[#This Row],[Total intl charge]],Table1[[#This Row],[Total night charge]],Table1[[#This Row],[Total eve charge]],Table1[[#This Row],[Total day charge]])</f>
        <v>67.680000000000007</v>
      </c>
      <c r="W244">
        <f>SUM(Table1[[#This Row],[Total intl calls]],Table1[[#This Row],[Total night calls]],Table1[[#This Row],[Total eve calls]],Table1[[#This Row],[Total day calls]])</f>
        <v>323</v>
      </c>
      <c r="X244" t="str" cm="1">
        <f t="array" ref="X244">_xlfn.IFS(Table1[[#This Row],[Customer service calls]]&gt;=4,"High risk",Table1[[#This Row],[Customer service calls]]&gt;=2,"Medium risk",TRUE,"Low risk")</f>
        <v>Low risk</v>
      </c>
      <c r="Y244" t="str" cm="1">
        <f t="array" ref="Y244">IFERROR(_xlfn.IFS(Table1[[#This Row],[Total usage(Min)]]&gt;=AVERAGE(U:U)*1.1,"High risk",Table1[[#This Row],[Total usage(Min)]]&lt;= AVERAGE(U:U)*0.9,"Low risk",TRUE,"Medium risk"),"N/A")</f>
        <v>High risk</v>
      </c>
      <c r="Z244" t="str" cm="1">
        <f t="array" ref="Z244">IFERROR(_xlfn.IFS(Table1[[#This Row],[Total charges]]&gt;=AVERAGE(V:V)*1.1,"High risk",Table1[[#This Row],[Total charges]]&lt;=AVERAGE(V:V)*0.9,"Low risk",TRUE,"Medium risk"),"N/A")</f>
        <v>High risk</v>
      </c>
      <c r="AA2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44" t="str" cm="1">
        <f t="array" ref="AC244">_xlfn.IFS(
AND(Table1[[#This Row],[Customer service risk level]]="High risk", Table1[[#This Row],[Intl usage behaviour]]="Unplanned Usage"),"High Risk",
OR(Table1[[#This Row],[Customer service risk level]]="Medium risk", Table1[[#This Row],[Charges risk level]]="High risk "),"Medium Risk",
TRUE,"Low Risk"
)</f>
        <v>Low Risk</v>
      </c>
    </row>
    <row r="245" spans="1:29" x14ac:dyDescent="0.25">
      <c r="A245" t="s">
        <v>45</v>
      </c>
      <c r="B245">
        <v>155</v>
      </c>
      <c r="C245">
        <v>408</v>
      </c>
      <c r="D245" t="s">
        <v>21</v>
      </c>
      <c r="E245" t="s">
        <v>21</v>
      </c>
      <c r="F245">
        <v>0</v>
      </c>
      <c r="G245">
        <v>216.7</v>
      </c>
      <c r="H245">
        <v>30</v>
      </c>
      <c r="I245">
        <v>36.840000000000003</v>
      </c>
      <c r="J245">
        <v>144.30000000000001</v>
      </c>
      <c r="K245">
        <v>125</v>
      </c>
      <c r="L245">
        <v>12.27</v>
      </c>
      <c r="M245">
        <v>135.30000000000001</v>
      </c>
      <c r="N245">
        <v>106</v>
      </c>
      <c r="O245">
        <v>6.09</v>
      </c>
      <c r="P245">
        <v>10.8</v>
      </c>
      <c r="Q245">
        <v>1</v>
      </c>
      <c r="R245">
        <v>2.92</v>
      </c>
      <c r="S245">
        <v>2</v>
      </c>
      <c r="T245" t="b">
        <v>0</v>
      </c>
      <c r="U245">
        <f>IFERROR(SUM(Table1[[#This Row],[Total day minutes]],Table1[[#This Row],[Total eve minutes]],Table1[[#This Row],[Total night minutes]],Table1[[#This Row],[Total intl minutes]]),0)</f>
        <v>507.1</v>
      </c>
      <c r="V245">
        <f>SUM(Table1[[#This Row],[Total intl charge]],Table1[[#This Row],[Total night charge]],Table1[[#This Row],[Total eve charge]],Table1[[#This Row],[Total day charge]])</f>
        <v>58.120000000000005</v>
      </c>
      <c r="W245">
        <f>SUM(Table1[[#This Row],[Total intl calls]],Table1[[#This Row],[Total night calls]],Table1[[#This Row],[Total eve calls]],Table1[[#This Row],[Total day calls]])</f>
        <v>262</v>
      </c>
      <c r="X245" t="str" cm="1">
        <f t="array" ref="X245">_xlfn.IFS(Table1[[#This Row],[Customer service calls]]&gt;=4,"High risk",Table1[[#This Row],[Customer service calls]]&gt;=2,"Medium risk",TRUE,"Low risk")</f>
        <v>Medium risk</v>
      </c>
      <c r="Y245" t="str" cm="1">
        <f t="array" ref="Y245">IFERROR(_xlfn.IFS(Table1[[#This Row],[Total usage(Min)]]&gt;=AVERAGE(U:U)*1.1,"High risk",Table1[[#This Row],[Total usage(Min)]]&lt;= AVERAGE(U:U)*0.9,"Low risk",TRUE,"Medium risk"),"N/A")</f>
        <v>Low risk</v>
      </c>
      <c r="Z245" t="str" cm="1">
        <f t="array" ref="Z245">IFERROR(_xlfn.IFS(Table1[[#This Row],[Total charges]]&gt;=AVERAGE(V:V)*1.1,"High risk",Table1[[#This Row],[Total charges]]&lt;=AVERAGE(V:V)*0.9,"Low risk",TRUE,"Medium risk"),"N/A")</f>
        <v>Medium risk</v>
      </c>
      <c r="AA2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5" t="str" cm="1">
        <f t="array" ref="AC245">_xlfn.IFS(
AND(Table1[[#This Row],[Customer service risk level]]="High risk", Table1[[#This Row],[Intl usage behaviour]]="Unplanned Usage"),"High Risk",
OR(Table1[[#This Row],[Customer service risk level]]="Medium risk", Table1[[#This Row],[Charges risk level]]="High risk "),"Medium Risk",
TRUE,"Low Risk"
)</f>
        <v>Medium Risk</v>
      </c>
    </row>
    <row r="246" spans="1:29" x14ac:dyDescent="0.25">
      <c r="A246" t="s">
        <v>40</v>
      </c>
      <c r="B246">
        <v>161</v>
      </c>
      <c r="C246">
        <v>415</v>
      </c>
      <c r="D246" t="s">
        <v>21</v>
      </c>
      <c r="E246" t="s">
        <v>21</v>
      </c>
      <c r="F246">
        <v>0</v>
      </c>
      <c r="G246">
        <v>151.6</v>
      </c>
      <c r="H246">
        <v>117</v>
      </c>
      <c r="I246">
        <v>25.77</v>
      </c>
      <c r="J246">
        <v>219.4</v>
      </c>
      <c r="K246">
        <v>87</v>
      </c>
      <c r="L246">
        <v>18.649999999999999</v>
      </c>
      <c r="M246">
        <v>224.7</v>
      </c>
      <c r="N246">
        <v>68</v>
      </c>
      <c r="O246">
        <v>10.11</v>
      </c>
      <c r="P246">
        <v>4</v>
      </c>
      <c r="Q246">
        <v>5</v>
      </c>
      <c r="R246">
        <v>1.08</v>
      </c>
      <c r="S246">
        <v>1</v>
      </c>
      <c r="T246" t="b">
        <v>0</v>
      </c>
      <c r="U246">
        <f>IFERROR(SUM(Table1[[#This Row],[Total day minutes]],Table1[[#This Row],[Total eve minutes]],Table1[[#This Row],[Total night minutes]],Table1[[#This Row],[Total intl minutes]]),0)</f>
        <v>599.70000000000005</v>
      </c>
      <c r="V246">
        <f>SUM(Table1[[#This Row],[Total intl charge]],Table1[[#This Row],[Total night charge]],Table1[[#This Row],[Total eve charge]],Table1[[#This Row],[Total day charge]])</f>
        <v>55.61</v>
      </c>
      <c r="W246">
        <f>SUM(Table1[[#This Row],[Total intl calls]],Table1[[#This Row],[Total night calls]],Table1[[#This Row],[Total eve calls]],Table1[[#This Row],[Total day calls]])</f>
        <v>277</v>
      </c>
      <c r="X246" t="str" cm="1">
        <f t="array" ref="X246">_xlfn.IFS(Table1[[#This Row],[Customer service calls]]&gt;=4,"High risk",Table1[[#This Row],[Customer service calls]]&gt;=2,"Medium risk",TRUE,"Low risk")</f>
        <v>Low risk</v>
      </c>
      <c r="Y246" t="str" cm="1">
        <f t="array" ref="Y246">IFERROR(_xlfn.IFS(Table1[[#This Row],[Total usage(Min)]]&gt;=AVERAGE(U:U)*1.1,"High risk",Table1[[#This Row],[Total usage(Min)]]&lt;= AVERAGE(U:U)*0.9,"Low risk",TRUE,"Medium risk"),"N/A")</f>
        <v>Medium risk</v>
      </c>
      <c r="Z246" t="str" cm="1">
        <f t="array" ref="Z246">IFERROR(_xlfn.IFS(Table1[[#This Row],[Total charges]]&gt;=AVERAGE(V:V)*1.1,"High risk",Table1[[#This Row],[Total charges]]&lt;=AVERAGE(V:V)*0.9,"Low risk",TRUE,"Medium risk"),"N/A")</f>
        <v>Medium risk</v>
      </c>
      <c r="AA2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6" t="str" cm="1">
        <f t="array" ref="AC246">_xlfn.IFS(
AND(Table1[[#This Row],[Customer service risk level]]="High risk", Table1[[#This Row],[Intl usage behaviour]]="Unplanned Usage"),"High Risk",
OR(Table1[[#This Row],[Customer service risk level]]="Medium risk", Table1[[#This Row],[Charges risk level]]="High risk "),"Medium Risk",
TRUE,"Low Risk"
)</f>
        <v>Low Risk</v>
      </c>
    </row>
    <row r="247" spans="1:29" x14ac:dyDescent="0.25">
      <c r="A247" t="s">
        <v>23</v>
      </c>
      <c r="B247">
        <v>122</v>
      </c>
      <c r="C247">
        <v>415</v>
      </c>
      <c r="D247" t="s">
        <v>21</v>
      </c>
      <c r="E247" t="s">
        <v>21</v>
      </c>
      <c r="F247">
        <v>0</v>
      </c>
      <c r="G247">
        <v>173.6</v>
      </c>
      <c r="H247">
        <v>110</v>
      </c>
      <c r="I247">
        <v>29.51</v>
      </c>
      <c r="J247">
        <v>91.7</v>
      </c>
      <c r="K247">
        <v>84</v>
      </c>
      <c r="L247">
        <v>7.79</v>
      </c>
      <c r="M247">
        <v>211.7</v>
      </c>
      <c r="N247">
        <v>103</v>
      </c>
      <c r="O247">
        <v>9.5299999999999994</v>
      </c>
      <c r="P247">
        <v>9.6999999999999993</v>
      </c>
      <c r="Q247">
        <v>7</v>
      </c>
      <c r="R247">
        <v>2.62</v>
      </c>
      <c r="S247">
        <v>3</v>
      </c>
      <c r="T247" t="b">
        <v>0</v>
      </c>
      <c r="U247">
        <f>IFERROR(SUM(Table1[[#This Row],[Total day minutes]],Table1[[#This Row],[Total eve minutes]],Table1[[#This Row],[Total night minutes]],Table1[[#This Row],[Total intl minutes]]),0)</f>
        <v>486.7</v>
      </c>
      <c r="V247">
        <f>SUM(Table1[[#This Row],[Total intl charge]],Table1[[#This Row],[Total night charge]],Table1[[#This Row],[Total eve charge]],Table1[[#This Row],[Total day charge]])</f>
        <v>49.45</v>
      </c>
      <c r="W247">
        <f>SUM(Table1[[#This Row],[Total intl calls]],Table1[[#This Row],[Total night calls]],Table1[[#This Row],[Total eve calls]],Table1[[#This Row],[Total day calls]])</f>
        <v>304</v>
      </c>
      <c r="X247" t="str" cm="1">
        <f t="array" ref="X247">_xlfn.IFS(Table1[[#This Row],[Customer service calls]]&gt;=4,"High risk",Table1[[#This Row],[Customer service calls]]&gt;=2,"Medium risk",TRUE,"Low risk")</f>
        <v>Medium risk</v>
      </c>
      <c r="Y247" t="str" cm="1">
        <f t="array" ref="Y247">IFERROR(_xlfn.IFS(Table1[[#This Row],[Total usage(Min)]]&gt;=AVERAGE(U:U)*1.1,"High risk",Table1[[#This Row],[Total usage(Min)]]&lt;= AVERAGE(U:U)*0.9,"Low risk",TRUE,"Medium risk"),"N/A")</f>
        <v>Low risk</v>
      </c>
      <c r="Z247" t="str" cm="1">
        <f t="array" ref="Z247">IFERROR(_xlfn.IFS(Table1[[#This Row],[Total charges]]&gt;=AVERAGE(V:V)*1.1,"High risk",Table1[[#This Row],[Total charges]]&lt;=AVERAGE(V:V)*0.9,"Low risk",TRUE,"Medium risk"),"N/A")</f>
        <v>Low risk</v>
      </c>
      <c r="AA2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7" t="str" cm="1">
        <f t="array" ref="AC247">_xlfn.IFS(
AND(Table1[[#This Row],[Customer service risk level]]="High risk", Table1[[#This Row],[Intl usage behaviour]]="Unplanned Usage"),"High Risk",
OR(Table1[[#This Row],[Customer service risk level]]="Medium risk", Table1[[#This Row],[Charges risk level]]="High risk "),"Medium Risk",
TRUE,"Low Risk"
)</f>
        <v>Medium Risk</v>
      </c>
    </row>
    <row r="248" spans="1:29" x14ac:dyDescent="0.25">
      <c r="A248" t="s">
        <v>65</v>
      </c>
      <c r="B248">
        <v>37</v>
      </c>
      <c r="C248">
        <v>415</v>
      </c>
      <c r="D248" t="s">
        <v>27</v>
      </c>
      <c r="E248" t="s">
        <v>21</v>
      </c>
      <c r="F248">
        <v>0</v>
      </c>
      <c r="G248">
        <v>106.6</v>
      </c>
      <c r="H248">
        <v>76</v>
      </c>
      <c r="I248">
        <v>18.12</v>
      </c>
      <c r="J248">
        <v>147.4</v>
      </c>
      <c r="K248">
        <v>89</v>
      </c>
      <c r="L248">
        <v>12.53</v>
      </c>
      <c r="M248">
        <v>235.8</v>
      </c>
      <c r="N248">
        <v>113</v>
      </c>
      <c r="O248">
        <v>10.61</v>
      </c>
      <c r="P248">
        <v>9.6</v>
      </c>
      <c r="Q248">
        <v>8</v>
      </c>
      <c r="R248">
        <v>2.59</v>
      </c>
      <c r="S248">
        <v>2</v>
      </c>
      <c r="T248" t="b">
        <v>0</v>
      </c>
      <c r="U248">
        <f>IFERROR(SUM(Table1[[#This Row],[Total day minutes]],Table1[[#This Row],[Total eve minutes]],Table1[[#This Row],[Total night minutes]],Table1[[#This Row],[Total intl minutes]]),0)</f>
        <v>499.40000000000003</v>
      </c>
      <c r="V248">
        <f>SUM(Table1[[#This Row],[Total intl charge]],Table1[[#This Row],[Total night charge]],Table1[[#This Row],[Total eve charge]],Table1[[#This Row],[Total day charge]])</f>
        <v>43.849999999999994</v>
      </c>
      <c r="W248">
        <f>SUM(Table1[[#This Row],[Total intl calls]],Table1[[#This Row],[Total night calls]],Table1[[#This Row],[Total eve calls]],Table1[[#This Row],[Total day calls]])</f>
        <v>286</v>
      </c>
      <c r="X248" t="str" cm="1">
        <f t="array" ref="X248">_xlfn.IFS(Table1[[#This Row],[Customer service calls]]&gt;=4,"High risk",Table1[[#This Row],[Customer service calls]]&gt;=2,"Medium risk",TRUE,"Low risk")</f>
        <v>Medium risk</v>
      </c>
      <c r="Y248" t="str" cm="1">
        <f t="array" ref="Y248">IFERROR(_xlfn.IFS(Table1[[#This Row],[Total usage(Min)]]&gt;=AVERAGE(U:U)*1.1,"High risk",Table1[[#This Row],[Total usage(Min)]]&lt;= AVERAGE(U:U)*0.9,"Low risk",TRUE,"Medium risk"),"N/A")</f>
        <v>Low risk</v>
      </c>
      <c r="Z248" t="str" cm="1">
        <f t="array" ref="Z248">IFERROR(_xlfn.IFS(Table1[[#This Row],[Total charges]]&gt;=AVERAGE(V:V)*1.1,"High risk",Table1[[#This Row],[Total charges]]&lt;=AVERAGE(V:V)*0.9,"Low risk",TRUE,"Medium risk"),"N/A")</f>
        <v>Low risk</v>
      </c>
      <c r="AA2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4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8" t="str" cm="1">
        <f t="array" ref="AC248">_xlfn.IFS(
AND(Table1[[#This Row],[Customer service risk level]]="High risk", Table1[[#This Row],[Intl usage behaviour]]="Unplanned Usage"),"High Risk",
OR(Table1[[#This Row],[Customer service risk level]]="Medium risk", Table1[[#This Row],[Charges risk level]]="High risk "),"Medium Risk",
TRUE,"Low Risk"
)</f>
        <v>Medium Risk</v>
      </c>
    </row>
    <row r="249" spans="1:29" x14ac:dyDescent="0.25">
      <c r="A249" t="s">
        <v>52</v>
      </c>
      <c r="B249">
        <v>128</v>
      </c>
      <c r="C249">
        <v>415</v>
      </c>
      <c r="D249" t="s">
        <v>21</v>
      </c>
      <c r="E249" t="s">
        <v>21</v>
      </c>
      <c r="F249">
        <v>0</v>
      </c>
      <c r="G249">
        <v>103.3</v>
      </c>
      <c r="H249">
        <v>122</v>
      </c>
      <c r="I249">
        <v>17.559999999999999</v>
      </c>
      <c r="J249">
        <v>245.9</v>
      </c>
      <c r="K249">
        <v>123</v>
      </c>
      <c r="L249">
        <v>20.9</v>
      </c>
      <c r="M249">
        <v>161.1</v>
      </c>
      <c r="N249">
        <v>95</v>
      </c>
      <c r="O249">
        <v>7.25</v>
      </c>
      <c r="P249">
        <v>6.4</v>
      </c>
      <c r="Q249">
        <v>7</v>
      </c>
      <c r="R249">
        <v>1.73</v>
      </c>
      <c r="S249">
        <v>0</v>
      </c>
      <c r="T249" t="b">
        <v>0</v>
      </c>
      <c r="U249">
        <f>IFERROR(SUM(Table1[[#This Row],[Total day minutes]],Table1[[#This Row],[Total eve minutes]],Table1[[#This Row],[Total night minutes]],Table1[[#This Row],[Total intl minutes]]),0)</f>
        <v>516.69999999999993</v>
      </c>
      <c r="V249">
        <f>SUM(Table1[[#This Row],[Total intl charge]],Table1[[#This Row],[Total night charge]],Table1[[#This Row],[Total eve charge]],Table1[[#This Row],[Total day charge]])</f>
        <v>47.44</v>
      </c>
      <c r="W249">
        <f>SUM(Table1[[#This Row],[Total intl calls]],Table1[[#This Row],[Total night calls]],Table1[[#This Row],[Total eve calls]],Table1[[#This Row],[Total day calls]])</f>
        <v>347</v>
      </c>
      <c r="X249" t="str" cm="1">
        <f t="array" ref="X249">_xlfn.IFS(Table1[[#This Row],[Customer service calls]]&gt;=4,"High risk",Table1[[#This Row],[Customer service calls]]&gt;=2,"Medium risk",TRUE,"Low risk")</f>
        <v>Low risk</v>
      </c>
      <c r="Y249" t="str" cm="1">
        <f t="array" ref="Y249">IFERROR(_xlfn.IFS(Table1[[#This Row],[Total usage(Min)]]&gt;=AVERAGE(U:U)*1.1,"High risk",Table1[[#This Row],[Total usage(Min)]]&lt;= AVERAGE(U:U)*0.9,"Low risk",TRUE,"Medium risk"),"N/A")</f>
        <v>Low risk</v>
      </c>
      <c r="Z249" t="str" cm="1">
        <f t="array" ref="Z249">IFERROR(_xlfn.IFS(Table1[[#This Row],[Total charges]]&gt;=AVERAGE(V:V)*1.1,"High risk",Table1[[#This Row],[Total charges]]&lt;=AVERAGE(V:V)*0.9,"Low risk",TRUE,"Medium risk"),"N/A")</f>
        <v>Low risk</v>
      </c>
      <c r="AA2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4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49" t="str" cm="1">
        <f t="array" ref="AC249">_xlfn.IFS(
AND(Table1[[#This Row],[Customer service risk level]]="High risk", Table1[[#This Row],[Intl usage behaviour]]="Unplanned Usage"),"High Risk",
OR(Table1[[#This Row],[Customer service risk level]]="Medium risk", Table1[[#This Row],[Charges risk level]]="High risk "),"Medium Risk",
TRUE,"Low Risk"
)</f>
        <v>Low Risk</v>
      </c>
    </row>
    <row r="250" spans="1:29" x14ac:dyDescent="0.25">
      <c r="A250" t="s">
        <v>58</v>
      </c>
      <c r="B250">
        <v>89</v>
      </c>
      <c r="C250">
        <v>510</v>
      </c>
      <c r="D250" t="s">
        <v>27</v>
      </c>
      <c r="E250" t="s">
        <v>21</v>
      </c>
      <c r="F250">
        <v>0</v>
      </c>
      <c r="G250">
        <v>125.6</v>
      </c>
      <c r="H250">
        <v>108</v>
      </c>
      <c r="I250">
        <v>21.35</v>
      </c>
      <c r="J250">
        <v>213</v>
      </c>
      <c r="K250">
        <v>90</v>
      </c>
      <c r="L250">
        <v>18.11</v>
      </c>
      <c r="M250">
        <v>181.7</v>
      </c>
      <c r="N250">
        <v>108</v>
      </c>
      <c r="O250">
        <v>8.18</v>
      </c>
      <c r="P250">
        <v>5.4</v>
      </c>
      <c r="Q250">
        <v>5</v>
      </c>
      <c r="R250">
        <v>1.46</v>
      </c>
      <c r="S250">
        <v>1</v>
      </c>
      <c r="T250" t="b">
        <v>0</v>
      </c>
      <c r="U250">
        <f>IFERROR(SUM(Table1[[#This Row],[Total day minutes]],Table1[[#This Row],[Total eve minutes]],Table1[[#This Row],[Total night minutes]],Table1[[#This Row],[Total intl minutes]]),0)</f>
        <v>525.69999999999993</v>
      </c>
      <c r="V250">
        <f>SUM(Table1[[#This Row],[Total intl charge]],Table1[[#This Row],[Total night charge]],Table1[[#This Row],[Total eve charge]],Table1[[#This Row],[Total day charge]])</f>
        <v>49.1</v>
      </c>
      <c r="W250">
        <f>SUM(Table1[[#This Row],[Total intl calls]],Table1[[#This Row],[Total night calls]],Table1[[#This Row],[Total eve calls]],Table1[[#This Row],[Total day calls]])</f>
        <v>311</v>
      </c>
      <c r="X250" t="str" cm="1">
        <f t="array" ref="X250">_xlfn.IFS(Table1[[#This Row],[Customer service calls]]&gt;=4,"High risk",Table1[[#This Row],[Customer service calls]]&gt;=2,"Medium risk",TRUE,"Low risk")</f>
        <v>Low risk</v>
      </c>
      <c r="Y250" t="str" cm="1">
        <f t="array" ref="Y250">IFERROR(_xlfn.IFS(Table1[[#This Row],[Total usage(Min)]]&gt;=AVERAGE(U:U)*1.1,"High risk",Table1[[#This Row],[Total usage(Min)]]&lt;= AVERAGE(U:U)*0.9,"Low risk",TRUE,"Medium risk"),"N/A")</f>
        <v>Low risk</v>
      </c>
      <c r="Z250" t="str" cm="1">
        <f t="array" ref="Z250">IFERROR(_xlfn.IFS(Table1[[#This Row],[Total charges]]&gt;=AVERAGE(V:V)*1.1,"High risk",Table1[[#This Row],[Total charges]]&lt;=AVERAGE(V:V)*0.9,"Low risk",TRUE,"Medium risk"),"N/A")</f>
        <v>Low risk</v>
      </c>
      <c r="AA2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5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0" t="str" cm="1">
        <f t="array" ref="AC250">_xlfn.IFS(
AND(Table1[[#This Row],[Customer service risk level]]="High risk", Table1[[#This Row],[Intl usage behaviour]]="Unplanned Usage"),"High Risk",
OR(Table1[[#This Row],[Customer service risk level]]="Medium risk", Table1[[#This Row],[Charges risk level]]="High risk "),"Medium Risk",
TRUE,"Low Risk"
)</f>
        <v>Low Risk</v>
      </c>
    </row>
    <row r="251" spans="1:29" x14ac:dyDescent="0.25">
      <c r="A251" t="s">
        <v>22</v>
      </c>
      <c r="B251">
        <v>108</v>
      </c>
      <c r="C251">
        <v>415</v>
      </c>
      <c r="D251" t="s">
        <v>21</v>
      </c>
      <c r="E251" t="s">
        <v>21</v>
      </c>
      <c r="F251">
        <v>0</v>
      </c>
      <c r="G251">
        <v>199.3</v>
      </c>
      <c r="H251">
        <v>104</v>
      </c>
      <c r="I251">
        <v>33.880000000000003</v>
      </c>
      <c r="J251">
        <v>224.2</v>
      </c>
      <c r="K251">
        <v>92</v>
      </c>
      <c r="L251">
        <v>19.059999999999999</v>
      </c>
      <c r="M251">
        <v>140.1</v>
      </c>
      <c r="N251">
        <v>57</v>
      </c>
      <c r="O251">
        <v>6.3</v>
      </c>
      <c r="P251">
        <v>15.2</v>
      </c>
      <c r="Q251">
        <v>2</v>
      </c>
      <c r="R251">
        <v>4.0999999999999996</v>
      </c>
      <c r="S251">
        <v>0</v>
      </c>
      <c r="T251" t="b">
        <v>0</v>
      </c>
      <c r="U251">
        <f>IFERROR(SUM(Table1[[#This Row],[Total day minutes]],Table1[[#This Row],[Total eve minutes]],Table1[[#This Row],[Total night minutes]],Table1[[#This Row],[Total intl minutes]]),0)</f>
        <v>578.80000000000007</v>
      </c>
      <c r="V251">
        <f>SUM(Table1[[#This Row],[Total intl charge]],Table1[[#This Row],[Total night charge]],Table1[[#This Row],[Total eve charge]],Table1[[#This Row],[Total day charge]])</f>
        <v>63.34</v>
      </c>
      <c r="W251">
        <f>SUM(Table1[[#This Row],[Total intl calls]],Table1[[#This Row],[Total night calls]],Table1[[#This Row],[Total eve calls]],Table1[[#This Row],[Total day calls]])</f>
        <v>255</v>
      </c>
      <c r="X251" t="str" cm="1">
        <f t="array" ref="X251">_xlfn.IFS(Table1[[#This Row],[Customer service calls]]&gt;=4,"High risk",Table1[[#This Row],[Customer service calls]]&gt;=2,"Medium risk",TRUE,"Low risk")</f>
        <v>Low risk</v>
      </c>
      <c r="Y251" t="str" cm="1">
        <f t="array" ref="Y251">IFERROR(_xlfn.IFS(Table1[[#This Row],[Total usage(Min)]]&gt;=AVERAGE(U:U)*1.1,"High risk",Table1[[#This Row],[Total usage(Min)]]&lt;= AVERAGE(U:U)*0.9,"Low risk",TRUE,"Medium risk"),"N/A")</f>
        <v>Medium risk</v>
      </c>
      <c r="Z251" t="str" cm="1">
        <f t="array" ref="Z251">IFERROR(_xlfn.IFS(Table1[[#This Row],[Total charges]]&gt;=AVERAGE(V:V)*1.1,"High risk",Table1[[#This Row],[Total charges]]&lt;=AVERAGE(V:V)*0.9,"Low risk",TRUE,"Medium risk"),"N/A")</f>
        <v>Medium risk</v>
      </c>
      <c r="AA2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1" t="str" cm="1">
        <f t="array" ref="AC251">_xlfn.IFS(
AND(Table1[[#This Row],[Customer service risk level]]="High risk", Table1[[#This Row],[Intl usage behaviour]]="Unplanned Usage"),"High Risk",
OR(Table1[[#This Row],[Customer service risk level]]="Medium risk", Table1[[#This Row],[Charges risk level]]="High risk "),"Medium Risk",
TRUE,"Low Risk"
)</f>
        <v>Low Risk</v>
      </c>
    </row>
    <row r="252" spans="1:29" x14ac:dyDescent="0.25">
      <c r="A252" t="s">
        <v>33</v>
      </c>
      <c r="B252">
        <v>109</v>
      </c>
      <c r="C252">
        <v>408</v>
      </c>
      <c r="D252" t="s">
        <v>21</v>
      </c>
      <c r="E252" t="s">
        <v>21</v>
      </c>
      <c r="F252">
        <v>0</v>
      </c>
      <c r="G252">
        <v>222.2</v>
      </c>
      <c r="H252">
        <v>113</v>
      </c>
      <c r="I252">
        <v>37.770000000000003</v>
      </c>
      <c r="J252">
        <v>218.5</v>
      </c>
      <c r="K252">
        <v>122</v>
      </c>
      <c r="L252">
        <v>18.57</v>
      </c>
      <c r="M252">
        <v>266</v>
      </c>
      <c r="N252">
        <v>88</v>
      </c>
      <c r="O252">
        <v>11.97</v>
      </c>
      <c r="P252">
        <v>10.9</v>
      </c>
      <c r="Q252">
        <v>5</v>
      </c>
      <c r="R252">
        <v>2.94</v>
      </c>
      <c r="S252">
        <v>1</v>
      </c>
      <c r="T252" t="b">
        <v>0</v>
      </c>
      <c r="U252">
        <f>IFERROR(SUM(Table1[[#This Row],[Total day minutes]],Table1[[#This Row],[Total eve minutes]],Table1[[#This Row],[Total night minutes]],Table1[[#This Row],[Total intl minutes]]),0)</f>
        <v>717.6</v>
      </c>
      <c r="V252">
        <f>SUM(Table1[[#This Row],[Total intl charge]],Table1[[#This Row],[Total night charge]],Table1[[#This Row],[Total eve charge]],Table1[[#This Row],[Total day charge]])</f>
        <v>71.25</v>
      </c>
      <c r="W252">
        <f>SUM(Table1[[#This Row],[Total intl calls]],Table1[[#This Row],[Total night calls]],Table1[[#This Row],[Total eve calls]],Table1[[#This Row],[Total day calls]])</f>
        <v>328</v>
      </c>
      <c r="X252" t="str" cm="1">
        <f t="array" ref="X252">_xlfn.IFS(Table1[[#This Row],[Customer service calls]]&gt;=4,"High risk",Table1[[#This Row],[Customer service calls]]&gt;=2,"Medium risk",TRUE,"Low risk")</f>
        <v>Low risk</v>
      </c>
      <c r="Y252" t="str" cm="1">
        <f t="array" ref="Y252">IFERROR(_xlfn.IFS(Table1[[#This Row],[Total usage(Min)]]&gt;=AVERAGE(U:U)*1.1,"High risk",Table1[[#This Row],[Total usage(Min)]]&lt;= AVERAGE(U:U)*0.9,"Low risk",TRUE,"Medium risk"),"N/A")</f>
        <v>High risk</v>
      </c>
      <c r="Z252" t="str" cm="1">
        <f t="array" ref="Z252">IFERROR(_xlfn.IFS(Table1[[#This Row],[Total charges]]&gt;=AVERAGE(V:V)*1.1,"High risk",Table1[[#This Row],[Total charges]]&lt;=AVERAGE(V:V)*0.9,"Low risk",TRUE,"Medium risk"),"N/A")</f>
        <v>High risk</v>
      </c>
      <c r="AA2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2" t="str" cm="1">
        <f t="array" ref="AC252">_xlfn.IFS(
AND(Table1[[#This Row],[Customer service risk level]]="High risk", Table1[[#This Row],[Intl usage behaviour]]="Unplanned Usage"),"High Risk",
OR(Table1[[#This Row],[Customer service risk level]]="Medium risk", Table1[[#This Row],[Charges risk level]]="High risk "),"Medium Risk",
TRUE,"Low Risk"
)</f>
        <v>Low Risk</v>
      </c>
    </row>
    <row r="253" spans="1:29" x14ac:dyDescent="0.25">
      <c r="A253" t="s">
        <v>40</v>
      </c>
      <c r="B253">
        <v>29</v>
      </c>
      <c r="C253">
        <v>415</v>
      </c>
      <c r="D253" t="s">
        <v>21</v>
      </c>
      <c r="E253" t="s">
        <v>21</v>
      </c>
      <c r="F253">
        <v>0</v>
      </c>
      <c r="G253">
        <v>157.4</v>
      </c>
      <c r="H253">
        <v>122</v>
      </c>
      <c r="I253">
        <v>26.76</v>
      </c>
      <c r="J253">
        <v>145</v>
      </c>
      <c r="K253">
        <v>75</v>
      </c>
      <c r="L253">
        <v>12.33</v>
      </c>
      <c r="M253">
        <v>281.8</v>
      </c>
      <c r="N253">
        <v>92</v>
      </c>
      <c r="O253">
        <v>12.68</v>
      </c>
      <c r="P253">
        <v>9.3000000000000007</v>
      </c>
      <c r="Q253">
        <v>2</v>
      </c>
      <c r="R253">
        <v>2.5099999999999998</v>
      </c>
      <c r="S253">
        <v>1</v>
      </c>
      <c r="T253" t="b">
        <v>0</v>
      </c>
      <c r="U253">
        <f>IFERROR(SUM(Table1[[#This Row],[Total day minutes]],Table1[[#This Row],[Total eve minutes]],Table1[[#This Row],[Total night minutes]],Table1[[#This Row],[Total intl minutes]]),0)</f>
        <v>593.5</v>
      </c>
      <c r="V253">
        <f>SUM(Table1[[#This Row],[Total intl charge]],Table1[[#This Row],[Total night charge]],Table1[[#This Row],[Total eve charge]],Table1[[#This Row],[Total day charge]])</f>
        <v>54.28</v>
      </c>
      <c r="W253">
        <f>SUM(Table1[[#This Row],[Total intl calls]],Table1[[#This Row],[Total night calls]],Table1[[#This Row],[Total eve calls]],Table1[[#This Row],[Total day calls]])</f>
        <v>291</v>
      </c>
      <c r="X253" t="str" cm="1">
        <f t="array" ref="X253">_xlfn.IFS(Table1[[#This Row],[Customer service calls]]&gt;=4,"High risk",Table1[[#This Row],[Customer service calls]]&gt;=2,"Medium risk",TRUE,"Low risk")</f>
        <v>Low risk</v>
      </c>
      <c r="Y253" t="str" cm="1">
        <f t="array" ref="Y253">IFERROR(_xlfn.IFS(Table1[[#This Row],[Total usage(Min)]]&gt;=AVERAGE(U:U)*1.1,"High risk",Table1[[#This Row],[Total usage(Min)]]&lt;= AVERAGE(U:U)*0.9,"Low risk",TRUE,"Medium risk"),"N/A")</f>
        <v>Medium risk</v>
      </c>
      <c r="Z253" t="str" cm="1">
        <f t="array" ref="Z253">IFERROR(_xlfn.IFS(Table1[[#This Row],[Total charges]]&gt;=AVERAGE(V:V)*1.1,"High risk",Table1[[#This Row],[Total charges]]&lt;=AVERAGE(V:V)*0.9,"Low risk",TRUE,"Medium risk"),"N/A")</f>
        <v>Medium risk</v>
      </c>
      <c r="AA2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3" t="str" cm="1">
        <f t="array" ref="AC253">_xlfn.IFS(
AND(Table1[[#This Row],[Customer service risk level]]="High risk", Table1[[#This Row],[Intl usage behaviour]]="Unplanned Usage"),"High Risk",
OR(Table1[[#This Row],[Customer service risk level]]="Medium risk", Table1[[#This Row],[Charges risk level]]="High risk "),"Medium Risk",
TRUE,"Low Risk"
)</f>
        <v>Low Risk</v>
      </c>
    </row>
    <row r="254" spans="1:29" x14ac:dyDescent="0.25">
      <c r="A254" t="s">
        <v>46</v>
      </c>
      <c r="B254">
        <v>119</v>
      </c>
      <c r="C254">
        <v>415</v>
      </c>
      <c r="D254" t="s">
        <v>27</v>
      </c>
      <c r="E254" t="s">
        <v>27</v>
      </c>
      <c r="F254">
        <v>15</v>
      </c>
      <c r="G254">
        <v>160</v>
      </c>
      <c r="H254">
        <v>95</v>
      </c>
      <c r="I254">
        <v>27.2</v>
      </c>
      <c r="J254">
        <v>209.5</v>
      </c>
      <c r="K254">
        <v>110</v>
      </c>
      <c r="L254">
        <v>17.809999999999999</v>
      </c>
      <c r="M254">
        <v>82.3</v>
      </c>
      <c r="N254">
        <v>107</v>
      </c>
      <c r="O254">
        <v>3.7</v>
      </c>
      <c r="P254">
        <v>8.6999999999999993</v>
      </c>
      <c r="Q254">
        <v>5</v>
      </c>
      <c r="R254">
        <v>2.35</v>
      </c>
      <c r="S254">
        <v>5</v>
      </c>
      <c r="T254" t="b">
        <v>1</v>
      </c>
      <c r="U254">
        <f>IFERROR(SUM(Table1[[#This Row],[Total day minutes]],Table1[[#This Row],[Total eve minutes]],Table1[[#This Row],[Total night minutes]],Table1[[#This Row],[Total intl minutes]]),0)</f>
        <v>460.5</v>
      </c>
      <c r="V254">
        <f>SUM(Table1[[#This Row],[Total intl charge]],Table1[[#This Row],[Total night charge]],Table1[[#This Row],[Total eve charge]],Table1[[#This Row],[Total day charge]])</f>
        <v>51.06</v>
      </c>
      <c r="W254">
        <f>SUM(Table1[[#This Row],[Total intl calls]],Table1[[#This Row],[Total night calls]],Table1[[#This Row],[Total eve calls]],Table1[[#This Row],[Total day calls]])</f>
        <v>317</v>
      </c>
      <c r="X254" t="str" cm="1">
        <f t="array" ref="X254">_xlfn.IFS(Table1[[#This Row],[Customer service calls]]&gt;=4,"High risk",Table1[[#This Row],[Customer service calls]]&gt;=2,"Medium risk",TRUE,"Low risk")</f>
        <v>High risk</v>
      </c>
      <c r="Y254" t="str" cm="1">
        <f t="array" ref="Y254">IFERROR(_xlfn.IFS(Table1[[#This Row],[Total usage(Min)]]&gt;=AVERAGE(U:U)*1.1,"High risk",Table1[[#This Row],[Total usage(Min)]]&lt;= AVERAGE(U:U)*0.9,"Low risk",TRUE,"Medium risk"),"N/A")</f>
        <v>Low risk</v>
      </c>
      <c r="Z254" t="str" cm="1">
        <f t="array" ref="Z254">IFERROR(_xlfn.IFS(Table1[[#This Row],[Total charges]]&gt;=AVERAGE(V:V)*1.1,"High risk",Table1[[#This Row],[Total charges]]&lt;=AVERAGE(V:V)*0.9,"Low risk",TRUE,"Medium risk"),"N/A")</f>
        <v>Low risk</v>
      </c>
      <c r="AA2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5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54" t="str" cm="1">
        <f t="array" ref="AC254">_xlfn.IFS(
AND(Table1[[#This Row],[Customer service risk level]]="High risk", Table1[[#This Row],[Intl usage behaviour]]="Unplanned Usage"),"High Risk",
OR(Table1[[#This Row],[Customer service risk level]]="Medium risk", Table1[[#This Row],[Charges risk level]]="High risk "),"Medium Risk",
TRUE,"Low Risk"
)</f>
        <v>Low Risk</v>
      </c>
    </row>
    <row r="255" spans="1:29" x14ac:dyDescent="0.25">
      <c r="A255" t="s">
        <v>43</v>
      </c>
      <c r="B255">
        <v>86</v>
      </c>
      <c r="C255">
        <v>415</v>
      </c>
      <c r="D255" t="s">
        <v>21</v>
      </c>
      <c r="E255" t="s">
        <v>21</v>
      </c>
      <c r="F255">
        <v>0</v>
      </c>
      <c r="G255">
        <v>83.5</v>
      </c>
      <c r="H255">
        <v>96</v>
      </c>
      <c r="I255">
        <v>14.2</v>
      </c>
      <c r="J255">
        <v>221.1</v>
      </c>
      <c r="K255">
        <v>63</v>
      </c>
      <c r="L255">
        <v>18.79</v>
      </c>
      <c r="M255">
        <v>349.7</v>
      </c>
      <c r="N255">
        <v>75</v>
      </c>
      <c r="O255">
        <v>15.74</v>
      </c>
      <c r="P255">
        <v>12.6</v>
      </c>
      <c r="Q255">
        <v>3</v>
      </c>
      <c r="R255">
        <v>3.4</v>
      </c>
      <c r="S255">
        <v>0</v>
      </c>
      <c r="T255" t="b">
        <v>0</v>
      </c>
      <c r="U255">
        <f>IFERROR(SUM(Table1[[#This Row],[Total day minutes]],Table1[[#This Row],[Total eve minutes]],Table1[[#This Row],[Total night minutes]],Table1[[#This Row],[Total intl minutes]]),0)</f>
        <v>666.9</v>
      </c>
      <c r="V255">
        <f>SUM(Table1[[#This Row],[Total intl charge]],Table1[[#This Row],[Total night charge]],Table1[[#This Row],[Total eve charge]],Table1[[#This Row],[Total day charge]])</f>
        <v>52.129999999999995</v>
      </c>
      <c r="W255">
        <f>SUM(Table1[[#This Row],[Total intl calls]],Table1[[#This Row],[Total night calls]],Table1[[#This Row],[Total eve calls]],Table1[[#This Row],[Total day calls]])</f>
        <v>237</v>
      </c>
      <c r="X255" t="str" cm="1">
        <f t="array" ref="X255">_xlfn.IFS(Table1[[#This Row],[Customer service calls]]&gt;=4,"High risk",Table1[[#This Row],[Customer service calls]]&gt;=2,"Medium risk",TRUE,"Low risk")</f>
        <v>Low risk</v>
      </c>
      <c r="Y255" t="str" cm="1">
        <f t="array" ref="Y255">IFERROR(_xlfn.IFS(Table1[[#This Row],[Total usage(Min)]]&gt;=AVERAGE(U:U)*1.1,"High risk",Table1[[#This Row],[Total usage(Min)]]&lt;= AVERAGE(U:U)*0.9,"Low risk",TRUE,"Medium risk"),"N/A")</f>
        <v>High risk</v>
      </c>
      <c r="Z255" t="str" cm="1">
        <f t="array" ref="Z255">IFERROR(_xlfn.IFS(Table1[[#This Row],[Total charges]]&gt;=AVERAGE(V:V)*1.1,"High risk",Table1[[#This Row],[Total charges]]&lt;=AVERAGE(V:V)*0.9,"Low risk",TRUE,"Medium risk"),"N/A")</f>
        <v>Low risk</v>
      </c>
      <c r="AA2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5" t="str" cm="1">
        <f t="array" ref="AC255">_xlfn.IFS(
AND(Table1[[#This Row],[Customer service risk level]]="High risk", Table1[[#This Row],[Intl usage behaviour]]="Unplanned Usage"),"High Risk",
OR(Table1[[#This Row],[Customer service risk level]]="Medium risk", Table1[[#This Row],[Charges risk level]]="High risk "),"Medium Risk",
TRUE,"Low Risk"
)</f>
        <v>Low Risk</v>
      </c>
    </row>
    <row r="256" spans="1:29" x14ac:dyDescent="0.25">
      <c r="A256" t="s">
        <v>71</v>
      </c>
      <c r="B256">
        <v>92</v>
      </c>
      <c r="C256">
        <v>510</v>
      </c>
      <c r="D256" t="s">
        <v>21</v>
      </c>
      <c r="E256" t="s">
        <v>27</v>
      </c>
      <c r="F256">
        <v>25</v>
      </c>
      <c r="G256">
        <v>134</v>
      </c>
      <c r="H256">
        <v>112</v>
      </c>
      <c r="I256">
        <v>22.78</v>
      </c>
      <c r="J256">
        <v>206</v>
      </c>
      <c r="K256">
        <v>111</v>
      </c>
      <c r="L256">
        <v>17.510000000000002</v>
      </c>
      <c r="M256">
        <v>180.6</v>
      </c>
      <c r="N256">
        <v>118</v>
      </c>
      <c r="O256">
        <v>8.1300000000000008</v>
      </c>
      <c r="P256">
        <v>9.6999999999999993</v>
      </c>
      <c r="Q256">
        <v>4</v>
      </c>
      <c r="R256">
        <v>2.62</v>
      </c>
      <c r="S256">
        <v>0</v>
      </c>
      <c r="T256" t="b">
        <v>0</v>
      </c>
      <c r="U256">
        <f>IFERROR(SUM(Table1[[#This Row],[Total day minutes]],Table1[[#This Row],[Total eve minutes]],Table1[[#This Row],[Total night minutes]],Table1[[#This Row],[Total intl minutes]]),0)</f>
        <v>530.30000000000007</v>
      </c>
      <c r="V256">
        <f>SUM(Table1[[#This Row],[Total intl charge]],Table1[[#This Row],[Total night charge]],Table1[[#This Row],[Total eve charge]],Table1[[#This Row],[Total day charge]])</f>
        <v>51.040000000000006</v>
      </c>
      <c r="W256">
        <f>SUM(Table1[[#This Row],[Total intl calls]],Table1[[#This Row],[Total night calls]],Table1[[#This Row],[Total eve calls]],Table1[[#This Row],[Total day calls]])</f>
        <v>345</v>
      </c>
      <c r="X256" t="str" cm="1">
        <f t="array" ref="X256">_xlfn.IFS(Table1[[#This Row],[Customer service calls]]&gt;=4,"High risk",Table1[[#This Row],[Customer service calls]]&gt;=2,"Medium risk",TRUE,"Low risk")</f>
        <v>Low risk</v>
      </c>
      <c r="Y256" t="str" cm="1">
        <f t="array" ref="Y256">IFERROR(_xlfn.IFS(Table1[[#This Row],[Total usage(Min)]]&gt;=AVERAGE(U:U)*1.1,"High risk",Table1[[#This Row],[Total usage(Min)]]&lt;= AVERAGE(U:U)*0.9,"Low risk",TRUE,"Medium risk"),"N/A")</f>
        <v>Low risk</v>
      </c>
      <c r="Z256" t="str" cm="1">
        <f t="array" ref="Z256">IFERROR(_xlfn.IFS(Table1[[#This Row],[Total charges]]&gt;=AVERAGE(V:V)*1.1,"High risk",Table1[[#This Row],[Total charges]]&lt;=AVERAGE(V:V)*0.9,"Low risk",TRUE,"Medium risk"),"N/A")</f>
        <v>Low risk</v>
      </c>
      <c r="AA2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56" t="str" cm="1">
        <f t="array" ref="AC256">_xlfn.IFS(
AND(Table1[[#This Row],[Customer service risk level]]="High risk", Table1[[#This Row],[Intl usage behaviour]]="Unplanned Usage"),"High Risk",
OR(Table1[[#This Row],[Customer service risk level]]="Medium risk", Table1[[#This Row],[Charges risk level]]="High risk "),"Medium Risk",
TRUE,"Low Risk"
)</f>
        <v>Low Risk</v>
      </c>
    </row>
    <row r="257" spans="1:29" x14ac:dyDescent="0.25">
      <c r="A257" t="s">
        <v>40</v>
      </c>
      <c r="B257">
        <v>13</v>
      </c>
      <c r="C257">
        <v>510</v>
      </c>
      <c r="D257" t="s">
        <v>21</v>
      </c>
      <c r="E257" t="s">
        <v>27</v>
      </c>
      <c r="F257">
        <v>25</v>
      </c>
      <c r="G257">
        <v>176.6</v>
      </c>
      <c r="H257">
        <v>65</v>
      </c>
      <c r="I257">
        <v>30.02</v>
      </c>
      <c r="J257">
        <v>172.7</v>
      </c>
      <c r="K257">
        <v>96</v>
      </c>
      <c r="L257">
        <v>14.68</v>
      </c>
      <c r="M257">
        <v>104.5</v>
      </c>
      <c r="N257">
        <v>128</v>
      </c>
      <c r="O257">
        <v>4.7</v>
      </c>
      <c r="P257">
        <v>11.3</v>
      </c>
      <c r="Q257">
        <v>5</v>
      </c>
      <c r="R257">
        <v>3.05</v>
      </c>
      <c r="S257">
        <v>2</v>
      </c>
      <c r="T257" t="b">
        <v>0</v>
      </c>
      <c r="U257">
        <f>IFERROR(SUM(Table1[[#This Row],[Total day minutes]],Table1[[#This Row],[Total eve minutes]],Table1[[#This Row],[Total night minutes]],Table1[[#This Row],[Total intl minutes]]),0)</f>
        <v>465.09999999999997</v>
      </c>
      <c r="V257">
        <f>SUM(Table1[[#This Row],[Total intl charge]],Table1[[#This Row],[Total night charge]],Table1[[#This Row],[Total eve charge]],Table1[[#This Row],[Total day charge]])</f>
        <v>52.45</v>
      </c>
      <c r="W257">
        <f>SUM(Table1[[#This Row],[Total intl calls]],Table1[[#This Row],[Total night calls]],Table1[[#This Row],[Total eve calls]],Table1[[#This Row],[Total day calls]])</f>
        <v>294</v>
      </c>
      <c r="X257" t="str" cm="1">
        <f t="array" ref="X257">_xlfn.IFS(Table1[[#This Row],[Customer service calls]]&gt;=4,"High risk",Table1[[#This Row],[Customer service calls]]&gt;=2,"Medium risk",TRUE,"Low risk")</f>
        <v>Medium risk</v>
      </c>
      <c r="Y257" t="str" cm="1">
        <f t="array" ref="Y257">IFERROR(_xlfn.IFS(Table1[[#This Row],[Total usage(Min)]]&gt;=AVERAGE(U:U)*1.1,"High risk",Table1[[#This Row],[Total usage(Min)]]&lt;= AVERAGE(U:U)*0.9,"Low risk",TRUE,"Medium risk"),"N/A")</f>
        <v>Low risk</v>
      </c>
      <c r="Z257" t="str" cm="1">
        <f t="array" ref="Z257">IFERROR(_xlfn.IFS(Table1[[#This Row],[Total charges]]&gt;=AVERAGE(V:V)*1.1,"High risk",Table1[[#This Row],[Total charges]]&lt;=AVERAGE(V:V)*0.9,"Low risk",TRUE,"Medium risk"),"N/A")</f>
        <v>Low risk</v>
      </c>
      <c r="AA2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57" t="str" cm="1">
        <f t="array" ref="AC257">_xlfn.IFS(
AND(Table1[[#This Row],[Customer service risk level]]="High risk", Table1[[#This Row],[Intl usage behaviour]]="Unplanned Usage"),"High Risk",
OR(Table1[[#This Row],[Customer service risk level]]="Medium risk", Table1[[#This Row],[Charges risk level]]="High risk "),"Medium Risk",
TRUE,"Low Risk"
)</f>
        <v>Medium Risk</v>
      </c>
    </row>
    <row r="258" spans="1:29" x14ac:dyDescent="0.25">
      <c r="A258" t="s">
        <v>56</v>
      </c>
      <c r="B258">
        <v>144</v>
      </c>
      <c r="C258">
        <v>510</v>
      </c>
      <c r="D258" t="s">
        <v>27</v>
      </c>
      <c r="E258" t="s">
        <v>27</v>
      </c>
      <c r="F258">
        <v>35</v>
      </c>
      <c r="G258">
        <v>174.8</v>
      </c>
      <c r="H258">
        <v>127</v>
      </c>
      <c r="I258">
        <v>29.72</v>
      </c>
      <c r="J258">
        <v>219.6</v>
      </c>
      <c r="K258">
        <v>93</v>
      </c>
      <c r="L258">
        <v>18.670000000000002</v>
      </c>
      <c r="M258">
        <v>255.8</v>
      </c>
      <c r="N258">
        <v>90</v>
      </c>
      <c r="O258">
        <v>11.51</v>
      </c>
      <c r="P258">
        <v>12.8</v>
      </c>
      <c r="Q258">
        <v>3</v>
      </c>
      <c r="R258">
        <v>3.46</v>
      </c>
      <c r="S258">
        <v>0</v>
      </c>
      <c r="T258" t="b">
        <v>0</v>
      </c>
      <c r="U258">
        <f>IFERROR(SUM(Table1[[#This Row],[Total day minutes]],Table1[[#This Row],[Total eve minutes]],Table1[[#This Row],[Total night minutes]],Table1[[#This Row],[Total intl minutes]]),0)</f>
        <v>663</v>
      </c>
      <c r="V258">
        <f>SUM(Table1[[#This Row],[Total intl charge]],Table1[[#This Row],[Total night charge]],Table1[[#This Row],[Total eve charge]],Table1[[#This Row],[Total day charge]])</f>
        <v>63.36</v>
      </c>
      <c r="W258">
        <f>SUM(Table1[[#This Row],[Total intl calls]],Table1[[#This Row],[Total night calls]],Table1[[#This Row],[Total eve calls]],Table1[[#This Row],[Total day calls]])</f>
        <v>313</v>
      </c>
      <c r="X258" t="str" cm="1">
        <f t="array" ref="X258">_xlfn.IFS(Table1[[#This Row],[Customer service calls]]&gt;=4,"High risk",Table1[[#This Row],[Customer service calls]]&gt;=2,"Medium risk",TRUE,"Low risk")</f>
        <v>Low risk</v>
      </c>
      <c r="Y258" t="str" cm="1">
        <f t="array" ref="Y258">IFERROR(_xlfn.IFS(Table1[[#This Row],[Total usage(Min)]]&gt;=AVERAGE(U:U)*1.1,"High risk",Table1[[#This Row],[Total usage(Min)]]&lt;= AVERAGE(U:U)*0.9,"Low risk",TRUE,"Medium risk"),"N/A")</f>
        <v>High risk</v>
      </c>
      <c r="Z258" t="str" cm="1">
        <f t="array" ref="Z258">IFERROR(_xlfn.IFS(Table1[[#This Row],[Total charges]]&gt;=AVERAGE(V:V)*1.1,"High risk",Table1[[#This Row],[Total charges]]&lt;=AVERAGE(V:V)*0.9,"Low risk",TRUE,"Medium risk"),"N/A")</f>
        <v>Medium risk</v>
      </c>
      <c r="AA2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5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58" t="str" cm="1">
        <f t="array" ref="AC258">_xlfn.IFS(
AND(Table1[[#This Row],[Customer service risk level]]="High risk", Table1[[#This Row],[Intl usage behaviour]]="Unplanned Usage"),"High Risk",
OR(Table1[[#This Row],[Customer service risk level]]="Medium risk", Table1[[#This Row],[Charges risk level]]="High risk "),"Medium Risk",
TRUE,"Low Risk"
)</f>
        <v>Low Risk</v>
      </c>
    </row>
    <row r="259" spans="1:29" x14ac:dyDescent="0.25">
      <c r="A259" t="s">
        <v>45</v>
      </c>
      <c r="B259">
        <v>139</v>
      </c>
      <c r="C259">
        <v>510</v>
      </c>
      <c r="D259" t="s">
        <v>21</v>
      </c>
      <c r="E259" t="s">
        <v>21</v>
      </c>
      <c r="F259">
        <v>0</v>
      </c>
      <c r="G259">
        <v>221.3</v>
      </c>
      <c r="H259">
        <v>140</v>
      </c>
      <c r="I259">
        <v>37.619999999999997</v>
      </c>
      <c r="J259">
        <v>157.80000000000001</v>
      </c>
      <c r="K259">
        <v>89</v>
      </c>
      <c r="L259">
        <v>13.41</v>
      </c>
      <c r="M259">
        <v>192.5</v>
      </c>
      <c r="N259">
        <v>89</v>
      </c>
      <c r="O259">
        <v>8.66</v>
      </c>
      <c r="P259">
        <v>11.3</v>
      </c>
      <c r="Q259">
        <v>6</v>
      </c>
      <c r="R259">
        <v>3.05</v>
      </c>
      <c r="S259">
        <v>1</v>
      </c>
      <c r="T259" t="b">
        <v>0</v>
      </c>
      <c r="U259">
        <f>IFERROR(SUM(Table1[[#This Row],[Total day minutes]],Table1[[#This Row],[Total eve minutes]],Table1[[#This Row],[Total night minutes]],Table1[[#This Row],[Total intl minutes]]),0)</f>
        <v>582.9</v>
      </c>
      <c r="V259">
        <f>SUM(Table1[[#This Row],[Total intl charge]],Table1[[#This Row],[Total night charge]],Table1[[#This Row],[Total eve charge]],Table1[[#This Row],[Total day charge]])</f>
        <v>62.739999999999995</v>
      </c>
      <c r="W259">
        <f>SUM(Table1[[#This Row],[Total intl calls]],Table1[[#This Row],[Total night calls]],Table1[[#This Row],[Total eve calls]],Table1[[#This Row],[Total day calls]])</f>
        <v>324</v>
      </c>
      <c r="X259" t="str" cm="1">
        <f t="array" ref="X259">_xlfn.IFS(Table1[[#This Row],[Customer service calls]]&gt;=4,"High risk",Table1[[#This Row],[Customer service calls]]&gt;=2,"Medium risk",TRUE,"Low risk")</f>
        <v>Low risk</v>
      </c>
      <c r="Y259" t="str" cm="1">
        <f t="array" ref="Y259">IFERROR(_xlfn.IFS(Table1[[#This Row],[Total usage(Min)]]&gt;=AVERAGE(U:U)*1.1,"High risk",Table1[[#This Row],[Total usage(Min)]]&lt;= AVERAGE(U:U)*0.9,"Low risk",TRUE,"Medium risk"),"N/A")</f>
        <v>Medium risk</v>
      </c>
      <c r="Z259" t="str" cm="1">
        <f t="array" ref="Z259">IFERROR(_xlfn.IFS(Table1[[#This Row],[Total charges]]&gt;=AVERAGE(V:V)*1.1,"High risk",Table1[[#This Row],[Total charges]]&lt;=AVERAGE(V:V)*0.9,"Low risk",TRUE,"Medium risk"),"N/A")</f>
        <v>Medium risk</v>
      </c>
      <c r="AA2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5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59" t="str" cm="1">
        <f t="array" ref="AC259">_xlfn.IFS(
AND(Table1[[#This Row],[Customer service risk level]]="High risk", Table1[[#This Row],[Intl usage behaviour]]="Unplanned Usage"),"High Risk",
OR(Table1[[#This Row],[Customer service risk level]]="Medium risk", Table1[[#This Row],[Charges risk level]]="High risk "),"Medium Risk",
TRUE,"Low Risk"
)</f>
        <v>Low Risk</v>
      </c>
    </row>
    <row r="260" spans="1:29" x14ac:dyDescent="0.25">
      <c r="A260" t="s">
        <v>20</v>
      </c>
      <c r="B260">
        <v>95</v>
      </c>
      <c r="C260">
        <v>415</v>
      </c>
      <c r="D260" t="s">
        <v>21</v>
      </c>
      <c r="E260" t="s">
        <v>21</v>
      </c>
      <c r="F260">
        <v>0</v>
      </c>
      <c r="G260">
        <v>141.1</v>
      </c>
      <c r="H260">
        <v>84</v>
      </c>
      <c r="I260">
        <v>23.99</v>
      </c>
      <c r="J260">
        <v>211.4</v>
      </c>
      <c r="K260">
        <v>108</v>
      </c>
      <c r="L260">
        <v>17.97</v>
      </c>
      <c r="M260">
        <v>103.7</v>
      </c>
      <c r="N260">
        <v>127</v>
      </c>
      <c r="O260">
        <v>4.67</v>
      </c>
      <c r="P260">
        <v>5.9</v>
      </c>
      <c r="Q260">
        <v>6</v>
      </c>
      <c r="R260">
        <v>1.59</v>
      </c>
      <c r="S260">
        <v>3</v>
      </c>
      <c r="T260" t="b">
        <v>0</v>
      </c>
      <c r="U260">
        <f>IFERROR(SUM(Table1[[#This Row],[Total day minutes]],Table1[[#This Row],[Total eve minutes]],Table1[[#This Row],[Total night minutes]],Table1[[#This Row],[Total intl minutes]]),0)</f>
        <v>462.09999999999997</v>
      </c>
      <c r="V260">
        <f>SUM(Table1[[#This Row],[Total intl charge]],Table1[[#This Row],[Total night charge]],Table1[[#This Row],[Total eve charge]],Table1[[#This Row],[Total day charge]])</f>
        <v>48.22</v>
      </c>
      <c r="W260">
        <f>SUM(Table1[[#This Row],[Total intl calls]],Table1[[#This Row],[Total night calls]],Table1[[#This Row],[Total eve calls]],Table1[[#This Row],[Total day calls]])</f>
        <v>325</v>
      </c>
      <c r="X260" t="str" cm="1">
        <f t="array" ref="X260">_xlfn.IFS(Table1[[#This Row],[Customer service calls]]&gt;=4,"High risk",Table1[[#This Row],[Customer service calls]]&gt;=2,"Medium risk",TRUE,"Low risk")</f>
        <v>Medium risk</v>
      </c>
      <c r="Y260" t="str" cm="1">
        <f t="array" ref="Y260">IFERROR(_xlfn.IFS(Table1[[#This Row],[Total usage(Min)]]&gt;=AVERAGE(U:U)*1.1,"High risk",Table1[[#This Row],[Total usage(Min)]]&lt;= AVERAGE(U:U)*0.9,"Low risk",TRUE,"Medium risk"),"N/A")</f>
        <v>Low risk</v>
      </c>
      <c r="Z260" t="str" cm="1">
        <f t="array" ref="Z260">IFERROR(_xlfn.IFS(Table1[[#This Row],[Total charges]]&gt;=AVERAGE(V:V)*1.1,"High risk",Table1[[#This Row],[Total charges]]&lt;=AVERAGE(V:V)*0.9,"Low risk",TRUE,"Medium risk"),"N/A")</f>
        <v>Low risk</v>
      </c>
      <c r="AA2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0" t="str" cm="1">
        <f t="array" ref="AC260">_xlfn.IFS(
AND(Table1[[#This Row],[Customer service risk level]]="High risk", Table1[[#This Row],[Intl usage behaviour]]="Unplanned Usage"),"High Risk",
OR(Table1[[#This Row],[Customer service risk level]]="Medium risk", Table1[[#This Row],[Charges risk level]]="High risk "),"Medium Risk",
TRUE,"Low Risk"
)</f>
        <v>Medium Risk</v>
      </c>
    </row>
    <row r="261" spans="1:29" x14ac:dyDescent="0.25">
      <c r="A261" t="s">
        <v>62</v>
      </c>
      <c r="B261">
        <v>80</v>
      </c>
      <c r="C261">
        <v>408</v>
      </c>
      <c r="D261" t="s">
        <v>21</v>
      </c>
      <c r="E261" t="s">
        <v>27</v>
      </c>
      <c r="F261">
        <v>31</v>
      </c>
      <c r="G261">
        <v>166.4</v>
      </c>
      <c r="H261">
        <v>92</v>
      </c>
      <c r="I261">
        <v>28.29</v>
      </c>
      <c r="J261">
        <v>238.3</v>
      </c>
      <c r="K261">
        <v>74</v>
      </c>
      <c r="L261">
        <v>20.260000000000002</v>
      </c>
      <c r="M261">
        <v>150.69999999999999</v>
      </c>
      <c r="N261">
        <v>84</v>
      </c>
      <c r="O261">
        <v>6.78</v>
      </c>
      <c r="P261">
        <v>10.7</v>
      </c>
      <c r="Q261">
        <v>4</v>
      </c>
      <c r="R261">
        <v>2.89</v>
      </c>
      <c r="S261">
        <v>4</v>
      </c>
      <c r="T261" t="b">
        <v>0</v>
      </c>
      <c r="U261">
        <f>IFERROR(SUM(Table1[[#This Row],[Total day minutes]],Table1[[#This Row],[Total eve minutes]],Table1[[#This Row],[Total night minutes]],Table1[[#This Row],[Total intl minutes]]),0)</f>
        <v>566.10000000000014</v>
      </c>
      <c r="V261">
        <f>SUM(Table1[[#This Row],[Total intl charge]],Table1[[#This Row],[Total night charge]],Table1[[#This Row],[Total eve charge]],Table1[[#This Row],[Total day charge]])</f>
        <v>58.22</v>
      </c>
      <c r="W261">
        <f>SUM(Table1[[#This Row],[Total intl calls]],Table1[[#This Row],[Total night calls]],Table1[[#This Row],[Total eve calls]],Table1[[#This Row],[Total day calls]])</f>
        <v>254</v>
      </c>
      <c r="X261" t="str" cm="1">
        <f t="array" ref="X261">_xlfn.IFS(Table1[[#This Row],[Customer service calls]]&gt;=4,"High risk",Table1[[#This Row],[Customer service calls]]&gt;=2,"Medium risk",TRUE,"Low risk")</f>
        <v>High risk</v>
      </c>
      <c r="Y261" t="str" cm="1">
        <f t="array" ref="Y261">IFERROR(_xlfn.IFS(Table1[[#This Row],[Total usage(Min)]]&gt;=AVERAGE(U:U)*1.1,"High risk",Table1[[#This Row],[Total usage(Min)]]&lt;= AVERAGE(U:U)*0.9,"Low risk",TRUE,"Medium risk"),"N/A")</f>
        <v>Medium risk</v>
      </c>
      <c r="Z261" t="str" cm="1">
        <f t="array" ref="Z261">IFERROR(_xlfn.IFS(Table1[[#This Row],[Total charges]]&gt;=AVERAGE(V:V)*1.1,"High risk",Table1[[#This Row],[Total charges]]&lt;=AVERAGE(V:V)*0.9,"Low risk",TRUE,"Medium risk"),"N/A")</f>
        <v>Medium risk</v>
      </c>
      <c r="AA2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61" t="str" cm="1">
        <f t="array" ref="AC261">_xlfn.IFS(
AND(Table1[[#This Row],[Customer service risk level]]="High risk", Table1[[#This Row],[Intl usage behaviour]]="Unplanned Usage"),"High Risk",
OR(Table1[[#This Row],[Customer service risk level]]="Medium risk", Table1[[#This Row],[Charges risk level]]="High risk "),"Medium Risk",
TRUE,"Low Risk"
)</f>
        <v>High Risk</v>
      </c>
    </row>
    <row r="262" spans="1:29" x14ac:dyDescent="0.25">
      <c r="A262" t="s">
        <v>34</v>
      </c>
      <c r="B262">
        <v>113</v>
      </c>
      <c r="C262">
        <v>415</v>
      </c>
      <c r="D262" t="s">
        <v>21</v>
      </c>
      <c r="E262" t="s">
        <v>21</v>
      </c>
      <c r="F262">
        <v>0</v>
      </c>
      <c r="G262">
        <v>215.9</v>
      </c>
      <c r="H262">
        <v>93</v>
      </c>
      <c r="I262">
        <v>36.700000000000003</v>
      </c>
      <c r="J262">
        <v>240.1</v>
      </c>
      <c r="K262">
        <v>85</v>
      </c>
      <c r="L262">
        <v>20.41</v>
      </c>
      <c r="M262">
        <v>156.69999999999999</v>
      </c>
      <c r="N262">
        <v>123</v>
      </c>
      <c r="O262">
        <v>7.05</v>
      </c>
      <c r="P262">
        <v>4.9000000000000004</v>
      </c>
      <c r="Q262">
        <v>5</v>
      </c>
      <c r="R262">
        <v>1.32</v>
      </c>
      <c r="S262">
        <v>3</v>
      </c>
      <c r="T262" t="b">
        <v>0</v>
      </c>
      <c r="U262">
        <f>IFERROR(SUM(Table1[[#This Row],[Total day minutes]],Table1[[#This Row],[Total eve minutes]],Table1[[#This Row],[Total night minutes]],Table1[[#This Row],[Total intl minutes]]),0)</f>
        <v>617.6</v>
      </c>
      <c r="V262">
        <f>SUM(Table1[[#This Row],[Total intl charge]],Table1[[#This Row],[Total night charge]],Table1[[#This Row],[Total eve charge]],Table1[[#This Row],[Total day charge]])</f>
        <v>65.48</v>
      </c>
      <c r="W262">
        <f>SUM(Table1[[#This Row],[Total intl calls]],Table1[[#This Row],[Total night calls]],Table1[[#This Row],[Total eve calls]],Table1[[#This Row],[Total day calls]])</f>
        <v>306</v>
      </c>
      <c r="X262" t="str" cm="1">
        <f t="array" ref="X262">_xlfn.IFS(Table1[[#This Row],[Customer service calls]]&gt;=4,"High risk",Table1[[#This Row],[Customer service calls]]&gt;=2,"Medium risk",TRUE,"Low risk")</f>
        <v>Medium risk</v>
      </c>
      <c r="Y262" t="str" cm="1">
        <f t="array" ref="Y262">IFERROR(_xlfn.IFS(Table1[[#This Row],[Total usage(Min)]]&gt;=AVERAGE(U:U)*1.1,"High risk",Table1[[#This Row],[Total usage(Min)]]&lt;= AVERAGE(U:U)*0.9,"Low risk",TRUE,"Medium risk"),"N/A")</f>
        <v>Medium risk</v>
      </c>
      <c r="Z262" t="str" cm="1">
        <f t="array" ref="Z262">IFERROR(_xlfn.IFS(Table1[[#This Row],[Total charges]]&gt;=AVERAGE(V:V)*1.1,"High risk",Table1[[#This Row],[Total charges]]&lt;=AVERAGE(V:V)*0.9,"Low risk",TRUE,"Medium risk"),"N/A")</f>
        <v>Medium risk</v>
      </c>
      <c r="AA2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2" t="str" cm="1">
        <f t="array" ref="AC262">_xlfn.IFS(
AND(Table1[[#This Row],[Customer service risk level]]="High risk", Table1[[#This Row],[Intl usage behaviour]]="Unplanned Usage"),"High Risk",
OR(Table1[[#This Row],[Customer service risk level]]="Medium risk", Table1[[#This Row],[Charges risk level]]="High risk "),"Medium Risk",
TRUE,"Low Risk"
)</f>
        <v>Medium Risk</v>
      </c>
    </row>
    <row r="263" spans="1:29" x14ac:dyDescent="0.25">
      <c r="A263" t="s">
        <v>29</v>
      </c>
      <c r="B263">
        <v>88</v>
      </c>
      <c r="C263">
        <v>415</v>
      </c>
      <c r="D263" t="s">
        <v>21</v>
      </c>
      <c r="E263" t="s">
        <v>27</v>
      </c>
      <c r="F263">
        <v>31</v>
      </c>
      <c r="G263">
        <v>181.6</v>
      </c>
      <c r="H263">
        <v>91</v>
      </c>
      <c r="I263">
        <v>30.87</v>
      </c>
      <c r="J263">
        <v>213.2</v>
      </c>
      <c r="K263">
        <v>120</v>
      </c>
      <c r="L263">
        <v>18.12</v>
      </c>
      <c r="M263">
        <v>207.8</v>
      </c>
      <c r="N263">
        <v>104</v>
      </c>
      <c r="O263">
        <v>9.35</v>
      </c>
      <c r="P263">
        <v>11.4</v>
      </c>
      <c r="Q263">
        <v>4</v>
      </c>
      <c r="R263">
        <v>3.08</v>
      </c>
      <c r="S263">
        <v>1</v>
      </c>
      <c r="T263" t="b">
        <v>0</v>
      </c>
      <c r="U263">
        <f>IFERROR(SUM(Table1[[#This Row],[Total day minutes]],Table1[[#This Row],[Total eve minutes]],Table1[[#This Row],[Total night minutes]],Table1[[#This Row],[Total intl minutes]]),0)</f>
        <v>613.99999999999989</v>
      </c>
      <c r="V263">
        <f>SUM(Table1[[#This Row],[Total intl charge]],Table1[[#This Row],[Total night charge]],Table1[[#This Row],[Total eve charge]],Table1[[#This Row],[Total day charge]])</f>
        <v>61.42</v>
      </c>
      <c r="W263">
        <f>SUM(Table1[[#This Row],[Total intl calls]],Table1[[#This Row],[Total night calls]],Table1[[#This Row],[Total eve calls]],Table1[[#This Row],[Total day calls]])</f>
        <v>319</v>
      </c>
      <c r="X263" t="str" cm="1">
        <f t="array" ref="X263">_xlfn.IFS(Table1[[#This Row],[Customer service calls]]&gt;=4,"High risk",Table1[[#This Row],[Customer service calls]]&gt;=2,"Medium risk",TRUE,"Low risk")</f>
        <v>Low risk</v>
      </c>
      <c r="Y263" t="str" cm="1">
        <f t="array" ref="Y263">IFERROR(_xlfn.IFS(Table1[[#This Row],[Total usage(Min)]]&gt;=AVERAGE(U:U)*1.1,"High risk",Table1[[#This Row],[Total usage(Min)]]&lt;= AVERAGE(U:U)*0.9,"Low risk",TRUE,"Medium risk"),"N/A")</f>
        <v>Medium risk</v>
      </c>
      <c r="Z263" t="str" cm="1">
        <f t="array" ref="Z263">IFERROR(_xlfn.IFS(Table1[[#This Row],[Total charges]]&gt;=AVERAGE(V:V)*1.1,"High risk",Table1[[#This Row],[Total charges]]&lt;=AVERAGE(V:V)*0.9,"Low risk",TRUE,"Medium risk"),"N/A")</f>
        <v>Medium risk</v>
      </c>
      <c r="AA2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63" t="str" cm="1">
        <f t="array" ref="AC263">_xlfn.IFS(
AND(Table1[[#This Row],[Customer service risk level]]="High risk", Table1[[#This Row],[Intl usage behaviour]]="Unplanned Usage"),"High Risk",
OR(Table1[[#This Row],[Customer service risk level]]="Medium risk", Table1[[#This Row],[Charges risk level]]="High risk "),"Medium Risk",
TRUE,"Low Risk"
)</f>
        <v>Low Risk</v>
      </c>
    </row>
    <row r="264" spans="1:29" x14ac:dyDescent="0.25">
      <c r="A264" t="s">
        <v>59</v>
      </c>
      <c r="B264">
        <v>74</v>
      </c>
      <c r="C264">
        <v>415</v>
      </c>
      <c r="D264" t="s">
        <v>21</v>
      </c>
      <c r="E264" t="s">
        <v>21</v>
      </c>
      <c r="F264">
        <v>0</v>
      </c>
      <c r="G264">
        <v>106.4</v>
      </c>
      <c r="H264">
        <v>84</v>
      </c>
      <c r="I264">
        <v>18.09</v>
      </c>
      <c r="J264">
        <v>140.19999999999999</v>
      </c>
      <c r="K264">
        <v>104</v>
      </c>
      <c r="L264">
        <v>11.92</v>
      </c>
      <c r="M264">
        <v>90.9</v>
      </c>
      <c r="N264">
        <v>81</v>
      </c>
      <c r="O264">
        <v>4.09</v>
      </c>
      <c r="P264">
        <v>11.4</v>
      </c>
      <c r="Q264">
        <v>3</v>
      </c>
      <c r="R264">
        <v>3.08</v>
      </c>
      <c r="S264">
        <v>1</v>
      </c>
      <c r="T264" t="b">
        <v>0</v>
      </c>
      <c r="U264">
        <f>IFERROR(SUM(Table1[[#This Row],[Total day minutes]],Table1[[#This Row],[Total eve minutes]],Table1[[#This Row],[Total night minutes]],Table1[[#This Row],[Total intl minutes]]),0)</f>
        <v>348.9</v>
      </c>
      <c r="V264">
        <f>SUM(Table1[[#This Row],[Total intl charge]],Table1[[#This Row],[Total night charge]],Table1[[#This Row],[Total eve charge]],Table1[[#This Row],[Total day charge]])</f>
        <v>37.18</v>
      </c>
      <c r="W264">
        <f>SUM(Table1[[#This Row],[Total intl calls]],Table1[[#This Row],[Total night calls]],Table1[[#This Row],[Total eve calls]],Table1[[#This Row],[Total day calls]])</f>
        <v>272</v>
      </c>
      <c r="X264" t="str" cm="1">
        <f t="array" ref="X264">_xlfn.IFS(Table1[[#This Row],[Customer service calls]]&gt;=4,"High risk",Table1[[#This Row],[Customer service calls]]&gt;=2,"Medium risk",TRUE,"Low risk")</f>
        <v>Low risk</v>
      </c>
      <c r="Y264" t="str" cm="1">
        <f t="array" ref="Y264">IFERROR(_xlfn.IFS(Table1[[#This Row],[Total usage(Min)]]&gt;=AVERAGE(U:U)*1.1,"High risk",Table1[[#This Row],[Total usage(Min)]]&lt;= AVERAGE(U:U)*0.9,"Low risk",TRUE,"Medium risk"),"N/A")</f>
        <v>Low risk</v>
      </c>
      <c r="Z264" t="str" cm="1">
        <f t="array" ref="Z264">IFERROR(_xlfn.IFS(Table1[[#This Row],[Total charges]]&gt;=AVERAGE(V:V)*1.1,"High risk",Table1[[#This Row],[Total charges]]&lt;=AVERAGE(V:V)*0.9,"Low risk",TRUE,"Medium risk"),"N/A")</f>
        <v>Low risk</v>
      </c>
      <c r="AA2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4" t="str" cm="1">
        <f t="array" ref="AC264">_xlfn.IFS(
AND(Table1[[#This Row],[Customer service risk level]]="High risk", Table1[[#This Row],[Intl usage behaviour]]="Unplanned Usage"),"High Risk",
OR(Table1[[#This Row],[Customer service risk level]]="Medium risk", Table1[[#This Row],[Charges risk level]]="High risk "),"Medium Risk",
TRUE,"Low Risk"
)</f>
        <v>Low Risk</v>
      </c>
    </row>
    <row r="265" spans="1:29" x14ac:dyDescent="0.25">
      <c r="A265" t="s">
        <v>63</v>
      </c>
      <c r="B265">
        <v>48</v>
      </c>
      <c r="C265">
        <v>510</v>
      </c>
      <c r="D265" t="s">
        <v>21</v>
      </c>
      <c r="E265" t="s">
        <v>21</v>
      </c>
      <c r="F265">
        <v>0</v>
      </c>
      <c r="G265">
        <v>128.19999999999999</v>
      </c>
      <c r="H265">
        <v>71</v>
      </c>
      <c r="I265">
        <v>21.79</v>
      </c>
      <c r="J265">
        <v>48.1</v>
      </c>
      <c r="K265">
        <v>78</v>
      </c>
      <c r="L265">
        <v>4.09</v>
      </c>
      <c r="M265">
        <v>116.3</v>
      </c>
      <c r="N265">
        <v>80</v>
      </c>
      <c r="O265">
        <v>5.23</v>
      </c>
      <c r="P265">
        <v>8.9</v>
      </c>
      <c r="Q265">
        <v>3</v>
      </c>
      <c r="R265">
        <v>2.4</v>
      </c>
      <c r="S265">
        <v>0</v>
      </c>
      <c r="T265" t="b">
        <v>0</v>
      </c>
      <c r="U265">
        <f>IFERROR(SUM(Table1[[#This Row],[Total day minutes]],Table1[[#This Row],[Total eve minutes]],Table1[[#This Row],[Total night minutes]],Table1[[#This Row],[Total intl minutes]]),0)</f>
        <v>301.49999999999994</v>
      </c>
      <c r="V265">
        <f>SUM(Table1[[#This Row],[Total intl charge]],Table1[[#This Row],[Total night charge]],Table1[[#This Row],[Total eve charge]],Table1[[#This Row],[Total day charge]])</f>
        <v>33.51</v>
      </c>
      <c r="W265">
        <f>SUM(Table1[[#This Row],[Total intl calls]],Table1[[#This Row],[Total night calls]],Table1[[#This Row],[Total eve calls]],Table1[[#This Row],[Total day calls]])</f>
        <v>232</v>
      </c>
      <c r="X265" t="str" cm="1">
        <f t="array" ref="X265">_xlfn.IFS(Table1[[#This Row],[Customer service calls]]&gt;=4,"High risk",Table1[[#This Row],[Customer service calls]]&gt;=2,"Medium risk",TRUE,"Low risk")</f>
        <v>Low risk</v>
      </c>
      <c r="Y265" t="str" cm="1">
        <f t="array" ref="Y265">IFERROR(_xlfn.IFS(Table1[[#This Row],[Total usage(Min)]]&gt;=AVERAGE(U:U)*1.1,"High risk",Table1[[#This Row],[Total usage(Min)]]&lt;= AVERAGE(U:U)*0.9,"Low risk",TRUE,"Medium risk"),"N/A")</f>
        <v>Low risk</v>
      </c>
      <c r="Z265" t="str" cm="1">
        <f t="array" ref="Z265">IFERROR(_xlfn.IFS(Table1[[#This Row],[Total charges]]&gt;=AVERAGE(V:V)*1.1,"High risk",Table1[[#This Row],[Total charges]]&lt;=AVERAGE(V:V)*0.9,"Low risk",TRUE,"Medium risk"),"N/A")</f>
        <v>Low risk</v>
      </c>
      <c r="AA2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5" t="str" cm="1">
        <f t="array" ref="AC265">_xlfn.IFS(
AND(Table1[[#This Row],[Customer service risk level]]="High risk", Table1[[#This Row],[Intl usage behaviour]]="Unplanned Usage"),"High Risk",
OR(Table1[[#This Row],[Customer service risk level]]="Medium risk", Table1[[#This Row],[Charges risk level]]="High risk "),"Medium Risk",
TRUE,"Low Risk"
)</f>
        <v>Low Risk</v>
      </c>
    </row>
    <row r="266" spans="1:29" x14ac:dyDescent="0.25">
      <c r="A266" t="s">
        <v>38</v>
      </c>
      <c r="B266">
        <v>163</v>
      </c>
      <c r="C266">
        <v>510</v>
      </c>
      <c r="D266" t="s">
        <v>21</v>
      </c>
      <c r="E266" t="s">
        <v>21</v>
      </c>
      <c r="F266">
        <v>0</v>
      </c>
      <c r="G266">
        <v>178.7</v>
      </c>
      <c r="H266">
        <v>56</v>
      </c>
      <c r="I266">
        <v>30.38</v>
      </c>
      <c r="J266">
        <v>215.7</v>
      </c>
      <c r="K266">
        <v>79</v>
      </c>
      <c r="L266">
        <v>18.329999999999998</v>
      </c>
      <c r="M266">
        <v>152.69999999999999</v>
      </c>
      <c r="N266">
        <v>84</v>
      </c>
      <c r="O266">
        <v>6.87</v>
      </c>
      <c r="P266">
        <v>10.6</v>
      </c>
      <c r="Q266">
        <v>2</v>
      </c>
      <c r="R266">
        <v>2.86</v>
      </c>
      <c r="S266">
        <v>4</v>
      </c>
      <c r="T266" t="b">
        <v>0</v>
      </c>
      <c r="U266">
        <f>IFERROR(SUM(Table1[[#This Row],[Total day minutes]],Table1[[#This Row],[Total eve minutes]],Table1[[#This Row],[Total night minutes]],Table1[[#This Row],[Total intl minutes]]),0)</f>
        <v>557.69999999999993</v>
      </c>
      <c r="V266">
        <f>SUM(Table1[[#This Row],[Total intl charge]],Table1[[#This Row],[Total night charge]],Table1[[#This Row],[Total eve charge]],Table1[[#This Row],[Total day charge]])</f>
        <v>58.44</v>
      </c>
      <c r="W266">
        <f>SUM(Table1[[#This Row],[Total intl calls]],Table1[[#This Row],[Total night calls]],Table1[[#This Row],[Total eve calls]],Table1[[#This Row],[Total day calls]])</f>
        <v>221</v>
      </c>
      <c r="X266" t="str" cm="1">
        <f t="array" ref="X266">_xlfn.IFS(Table1[[#This Row],[Customer service calls]]&gt;=4,"High risk",Table1[[#This Row],[Customer service calls]]&gt;=2,"Medium risk",TRUE,"Low risk")</f>
        <v>High risk</v>
      </c>
      <c r="Y266" t="str" cm="1">
        <f t="array" ref="Y266">IFERROR(_xlfn.IFS(Table1[[#This Row],[Total usage(Min)]]&gt;=AVERAGE(U:U)*1.1,"High risk",Table1[[#This Row],[Total usage(Min)]]&lt;= AVERAGE(U:U)*0.9,"Low risk",TRUE,"Medium risk"),"N/A")</f>
        <v>Medium risk</v>
      </c>
      <c r="Z266" t="str" cm="1">
        <f t="array" ref="Z266">IFERROR(_xlfn.IFS(Table1[[#This Row],[Total charges]]&gt;=AVERAGE(V:V)*1.1,"High risk",Table1[[#This Row],[Total charges]]&lt;=AVERAGE(V:V)*0.9,"Low risk",TRUE,"Medium risk"),"N/A")</f>
        <v>Medium risk</v>
      </c>
      <c r="AA2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6" t="str" cm="1">
        <f t="array" ref="AC266">_xlfn.IFS(
AND(Table1[[#This Row],[Customer service risk level]]="High risk", Table1[[#This Row],[Intl usage behaviour]]="Unplanned Usage"),"High Risk",
OR(Table1[[#This Row],[Customer service risk level]]="Medium risk", Table1[[#This Row],[Charges risk level]]="High risk "),"Medium Risk",
TRUE,"Low Risk"
)</f>
        <v>High Risk</v>
      </c>
    </row>
    <row r="267" spans="1:29" x14ac:dyDescent="0.25">
      <c r="A267" t="s">
        <v>29</v>
      </c>
      <c r="B267">
        <v>56</v>
      </c>
      <c r="C267">
        <v>510</v>
      </c>
      <c r="D267" t="s">
        <v>21</v>
      </c>
      <c r="E267" t="s">
        <v>21</v>
      </c>
      <c r="F267">
        <v>0</v>
      </c>
      <c r="G267">
        <v>150.9</v>
      </c>
      <c r="H267">
        <v>79</v>
      </c>
      <c r="I267">
        <v>25.65</v>
      </c>
      <c r="J267">
        <v>161.80000000000001</v>
      </c>
      <c r="K267">
        <v>87</v>
      </c>
      <c r="L267">
        <v>13.75</v>
      </c>
      <c r="M267">
        <v>167.7</v>
      </c>
      <c r="N267">
        <v>115</v>
      </c>
      <c r="O267">
        <v>7.55</v>
      </c>
      <c r="P267">
        <v>11.7</v>
      </c>
      <c r="Q267">
        <v>5</v>
      </c>
      <c r="R267">
        <v>3.16</v>
      </c>
      <c r="S267">
        <v>3</v>
      </c>
      <c r="T267" t="b">
        <v>0</v>
      </c>
      <c r="U267">
        <f>IFERROR(SUM(Table1[[#This Row],[Total day minutes]],Table1[[#This Row],[Total eve minutes]],Table1[[#This Row],[Total night minutes]],Table1[[#This Row],[Total intl minutes]]),0)</f>
        <v>492.1</v>
      </c>
      <c r="V267">
        <f>SUM(Table1[[#This Row],[Total intl charge]],Table1[[#This Row],[Total night charge]],Table1[[#This Row],[Total eve charge]],Table1[[#This Row],[Total day charge]])</f>
        <v>50.11</v>
      </c>
      <c r="W267">
        <f>SUM(Table1[[#This Row],[Total intl calls]],Table1[[#This Row],[Total night calls]],Table1[[#This Row],[Total eve calls]],Table1[[#This Row],[Total day calls]])</f>
        <v>286</v>
      </c>
      <c r="X267" t="str" cm="1">
        <f t="array" ref="X267">_xlfn.IFS(Table1[[#This Row],[Customer service calls]]&gt;=4,"High risk",Table1[[#This Row],[Customer service calls]]&gt;=2,"Medium risk",TRUE,"Low risk")</f>
        <v>Medium risk</v>
      </c>
      <c r="Y267" t="str" cm="1">
        <f t="array" ref="Y267">IFERROR(_xlfn.IFS(Table1[[#This Row],[Total usage(Min)]]&gt;=AVERAGE(U:U)*1.1,"High risk",Table1[[#This Row],[Total usage(Min)]]&lt;= AVERAGE(U:U)*0.9,"Low risk",TRUE,"Medium risk"),"N/A")</f>
        <v>Low risk</v>
      </c>
      <c r="Z267" t="str" cm="1">
        <f t="array" ref="Z267">IFERROR(_xlfn.IFS(Table1[[#This Row],[Total charges]]&gt;=AVERAGE(V:V)*1.1,"High risk",Table1[[#This Row],[Total charges]]&lt;=AVERAGE(V:V)*0.9,"Low risk",TRUE,"Medium risk"),"N/A")</f>
        <v>Low risk</v>
      </c>
      <c r="AA2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7" t="str" cm="1">
        <f t="array" ref="AC267">_xlfn.IFS(
AND(Table1[[#This Row],[Customer service risk level]]="High risk", Table1[[#This Row],[Intl usage behaviour]]="Unplanned Usage"),"High Risk",
OR(Table1[[#This Row],[Customer service risk level]]="Medium risk", Table1[[#This Row],[Charges risk level]]="High risk "),"Medium Risk",
TRUE,"Low Risk"
)</f>
        <v>Medium Risk</v>
      </c>
    </row>
    <row r="268" spans="1:29" x14ac:dyDescent="0.25">
      <c r="A268" t="s">
        <v>48</v>
      </c>
      <c r="B268">
        <v>64</v>
      </c>
      <c r="C268">
        <v>415</v>
      </c>
      <c r="D268" t="s">
        <v>21</v>
      </c>
      <c r="E268" t="s">
        <v>21</v>
      </c>
      <c r="F268">
        <v>0</v>
      </c>
      <c r="G268">
        <v>168</v>
      </c>
      <c r="H268">
        <v>116</v>
      </c>
      <c r="I268">
        <v>28.56</v>
      </c>
      <c r="J268">
        <v>192.4</v>
      </c>
      <c r="K268">
        <v>94</v>
      </c>
      <c r="L268">
        <v>16.350000000000001</v>
      </c>
      <c r="M268">
        <v>166.5</v>
      </c>
      <c r="N268">
        <v>98</v>
      </c>
      <c r="O268">
        <v>7.49</v>
      </c>
      <c r="P268">
        <v>10.1</v>
      </c>
      <c r="Q268">
        <v>3</v>
      </c>
      <c r="R268">
        <v>2.73</v>
      </c>
      <c r="S268">
        <v>2</v>
      </c>
      <c r="T268" t="b">
        <v>0</v>
      </c>
      <c r="U268">
        <f>IFERROR(SUM(Table1[[#This Row],[Total day minutes]],Table1[[#This Row],[Total eve minutes]],Table1[[#This Row],[Total night minutes]],Table1[[#This Row],[Total intl minutes]]),0)</f>
        <v>537</v>
      </c>
      <c r="V268">
        <f>SUM(Table1[[#This Row],[Total intl charge]],Table1[[#This Row],[Total night charge]],Table1[[#This Row],[Total eve charge]],Table1[[#This Row],[Total day charge]])</f>
        <v>55.129999999999995</v>
      </c>
      <c r="W268">
        <f>SUM(Table1[[#This Row],[Total intl calls]],Table1[[#This Row],[Total night calls]],Table1[[#This Row],[Total eve calls]],Table1[[#This Row],[Total day calls]])</f>
        <v>311</v>
      </c>
      <c r="X268" t="str" cm="1">
        <f t="array" ref="X268">_xlfn.IFS(Table1[[#This Row],[Customer service calls]]&gt;=4,"High risk",Table1[[#This Row],[Customer service calls]]&gt;=2,"Medium risk",TRUE,"Low risk")</f>
        <v>Medium risk</v>
      </c>
      <c r="Y268" t="str" cm="1">
        <f t="array" ref="Y268">IFERROR(_xlfn.IFS(Table1[[#This Row],[Total usage(Min)]]&gt;=AVERAGE(U:U)*1.1,"High risk",Table1[[#This Row],[Total usage(Min)]]&lt;= AVERAGE(U:U)*0.9,"Low risk",TRUE,"Medium risk"),"N/A")</f>
        <v>Medium risk</v>
      </c>
      <c r="Z268" t="str" cm="1">
        <f t="array" ref="Z268">IFERROR(_xlfn.IFS(Table1[[#This Row],[Total charges]]&gt;=AVERAGE(V:V)*1.1,"High risk",Table1[[#This Row],[Total charges]]&lt;=AVERAGE(V:V)*0.9,"Low risk",TRUE,"Medium risk"),"N/A")</f>
        <v>Medium risk</v>
      </c>
      <c r="AA2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68" t="str" cm="1">
        <f t="array" ref="AC268">_xlfn.IFS(
AND(Table1[[#This Row],[Customer service risk level]]="High risk", Table1[[#This Row],[Intl usage behaviour]]="Unplanned Usage"),"High Risk",
OR(Table1[[#This Row],[Customer service risk level]]="Medium risk", Table1[[#This Row],[Charges risk level]]="High risk "),"Medium Risk",
TRUE,"Low Risk"
)</f>
        <v>Medium Risk</v>
      </c>
    </row>
    <row r="269" spans="1:29" x14ac:dyDescent="0.25">
      <c r="A269" t="s">
        <v>34</v>
      </c>
      <c r="B269">
        <v>116</v>
      </c>
      <c r="C269">
        <v>415</v>
      </c>
      <c r="D269" t="s">
        <v>21</v>
      </c>
      <c r="E269" t="s">
        <v>27</v>
      </c>
      <c r="F269">
        <v>35</v>
      </c>
      <c r="G269">
        <v>182.8</v>
      </c>
      <c r="H269">
        <v>122</v>
      </c>
      <c r="I269">
        <v>31.08</v>
      </c>
      <c r="J269">
        <v>212.7</v>
      </c>
      <c r="K269">
        <v>119</v>
      </c>
      <c r="L269">
        <v>18.079999999999998</v>
      </c>
      <c r="M269">
        <v>193.8</v>
      </c>
      <c r="N269">
        <v>103</v>
      </c>
      <c r="O269">
        <v>8.7200000000000006</v>
      </c>
      <c r="P269">
        <v>11</v>
      </c>
      <c r="Q269">
        <v>2</v>
      </c>
      <c r="R269">
        <v>2.97</v>
      </c>
      <c r="S269">
        <v>1</v>
      </c>
      <c r="T269" t="b">
        <v>0</v>
      </c>
      <c r="U269">
        <f>IFERROR(SUM(Table1[[#This Row],[Total day minutes]],Table1[[#This Row],[Total eve minutes]],Table1[[#This Row],[Total night minutes]],Table1[[#This Row],[Total intl minutes]]),0)</f>
        <v>600.29999999999995</v>
      </c>
      <c r="V269">
        <f>SUM(Table1[[#This Row],[Total intl charge]],Table1[[#This Row],[Total night charge]],Table1[[#This Row],[Total eve charge]],Table1[[#This Row],[Total day charge]])</f>
        <v>60.849999999999994</v>
      </c>
      <c r="W269">
        <f>SUM(Table1[[#This Row],[Total intl calls]],Table1[[#This Row],[Total night calls]],Table1[[#This Row],[Total eve calls]],Table1[[#This Row],[Total day calls]])</f>
        <v>346</v>
      </c>
      <c r="X269" t="str" cm="1">
        <f t="array" ref="X269">_xlfn.IFS(Table1[[#This Row],[Customer service calls]]&gt;=4,"High risk",Table1[[#This Row],[Customer service calls]]&gt;=2,"Medium risk",TRUE,"Low risk")</f>
        <v>Low risk</v>
      </c>
      <c r="Y269" t="str" cm="1">
        <f t="array" ref="Y269">IFERROR(_xlfn.IFS(Table1[[#This Row],[Total usage(Min)]]&gt;=AVERAGE(U:U)*1.1,"High risk",Table1[[#This Row],[Total usage(Min)]]&lt;= AVERAGE(U:U)*0.9,"Low risk",TRUE,"Medium risk"),"N/A")</f>
        <v>Medium risk</v>
      </c>
      <c r="Z269" t="str" cm="1">
        <f t="array" ref="Z269">IFERROR(_xlfn.IFS(Table1[[#This Row],[Total charges]]&gt;=AVERAGE(V:V)*1.1,"High risk",Table1[[#This Row],[Total charges]]&lt;=AVERAGE(V:V)*0.9,"Low risk",TRUE,"Medium risk"),"N/A")</f>
        <v>Medium risk</v>
      </c>
      <c r="AA2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6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69" t="str" cm="1">
        <f t="array" ref="AC269">_xlfn.IFS(
AND(Table1[[#This Row],[Customer service risk level]]="High risk", Table1[[#This Row],[Intl usage behaviour]]="Unplanned Usage"),"High Risk",
OR(Table1[[#This Row],[Customer service risk level]]="Medium risk", Table1[[#This Row],[Charges risk level]]="High risk "),"Medium Risk",
TRUE,"Low Risk"
)</f>
        <v>Low Risk</v>
      </c>
    </row>
    <row r="270" spans="1:29" x14ac:dyDescent="0.25">
      <c r="A270" t="s">
        <v>67</v>
      </c>
      <c r="B270">
        <v>101</v>
      </c>
      <c r="C270">
        <v>415</v>
      </c>
      <c r="D270" t="s">
        <v>27</v>
      </c>
      <c r="E270" t="s">
        <v>21</v>
      </c>
      <c r="F270">
        <v>0</v>
      </c>
      <c r="G270">
        <v>193.7</v>
      </c>
      <c r="H270">
        <v>108</v>
      </c>
      <c r="I270">
        <v>32.93</v>
      </c>
      <c r="J270">
        <v>186.6</v>
      </c>
      <c r="K270">
        <v>98</v>
      </c>
      <c r="L270">
        <v>15.86</v>
      </c>
      <c r="M270">
        <v>223</v>
      </c>
      <c r="N270">
        <v>100</v>
      </c>
      <c r="O270">
        <v>10.039999999999999</v>
      </c>
      <c r="P270">
        <v>11.6</v>
      </c>
      <c r="Q270">
        <v>8</v>
      </c>
      <c r="R270">
        <v>3.13</v>
      </c>
      <c r="S270">
        <v>0</v>
      </c>
      <c r="T270" t="b">
        <v>0</v>
      </c>
      <c r="U270">
        <f>IFERROR(SUM(Table1[[#This Row],[Total day minutes]],Table1[[#This Row],[Total eve minutes]],Table1[[#This Row],[Total night minutes]],Table1[[#This Row],[Total intl minutes]]),0)</f>
        <v>614.9</v>
      </c>
      <c r="V270">
        <f>SUM(Table1[[#This Row],[Total intl charge]],Table1[[#This Row],[Total night charge]],Table1[[#This Row],[Total eve charge]],Table1[[#This Row],[Total day charge]])</f>
        <v>61.959999999999994</v>
      </c>
      <c r="W270">
        <f>SUM(Table1[[#This Row],[Total intl calls]],Table1[[#This Row],[Total night calls]],Table1[[#This Row],[Total eve calls]],Table1[[#This Row],[Total day calls]])</f>
        <v>314</v>
      </c>
      <c r="X270" t="str" cm="1">
        <f t="array" ref="X270">_xlfn.IFS(Table1[[#This Row],[Customer service calls]]&gt;=4,"High risk",Table1[[#This Row],[Customer service calls]]&gt;=2,"Medium risk",TRUE,"Low risk")</f>
        <v>Low risk</v>
      </c>
      <c r="Y270" t="str" cm="1">
        <f t="array" ref="Y270">IFERROR(_xlfn.IFS(Table1[[#This Row],[Total usage(Min)]]&gt;=AVERAGE(U:U)*1.1,"High risk",Table1[[#This Row],[Total usage(Min)]]&lt;= AVERAGE(U:U)*0.9,"Low risk",TRUE,"Medium risk"),"N/A")</f>
        <v>Medium risk</v>
      </c>
      <c r="Z270" t="str" cm="1">
        <f t="array" ref="Z270">IFERROR(_xlfn.IFS(Table1[[#This Row],[Total charges]]&gt;=AVERAGE(V:V)*1.1,"High risk",Table1[[#This Row],[Total charges]]&lt;=AVERAGE(V:V)*0.9,"Low risk",TRUE,"Medium risk"),"N/A")</f>
        <v>Medium risk</v>
      </c>
      <c r="AA2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7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0" t="str" cm="1">
        <f t="array" ref="AC270">_xlfn.IFS(
AND(Table1[[#This Row],[Customer service risk level]]="High risk", Table1[[#This Row],[Intl usage behaviour]]="Unplanned Usage"),"High Risk",
OR(Table1[[#This Row],[Customer service risk level]]="Medium risk", Table1[[#This Row],[Charges risk level]]="High risk "),"Medium Risk",
TRUE,"Low Risk"
)</f>
        <v>Low Risk</v>
      </c>
    </row>
    <row r="271" spans="1:29" x14ac:dyDescent="0.25">
      <c r="A271" t="s">
        <v>57</v>
      </c>
      <c r="B271">
        <v>85</v>
      </c>
      <c r="C271">
        <v>415</v>
      </c>
      <c r="D271" t="s">
        <v>27</v>
      </c>
      <c r="E271" t="s">
        <v>21</v>
      </c>
      <c r="F271">
        <v>0</v>
      </c>
      <c r="G271">
        <v>197.2</v>
      </c>
      <c r="H271">
        <v>97</v>
      </c>
      <c r="I271">
        <v>33.520000000000003</v>
      </c>
      <c r="J271">
        <v>211.7</v>
      </c>
      <c r="K271">
        <v>115</v>
      </c>
      <c r="L271">
        <v>17.989999999999998</v>
      </c>
      <c r="M271">
        <v>210.1</v>
      </c>
      <c r="N271">
        <v>133</v>
      </c>
      <c r="O271">
        <v>9.4499999999999993</v>
      </c>
      <c r="P271">
        <v>8.3000000000000007</v>
      </c>
      <c r="Q271">
        <v>4</v>
      </c>
      <c r="R271">
        <v>2.2400000000000002</v>
      </c>
      <c r="S271">
        <v>4</v>
      </c>
      <c r="T271" t="b">
        <v>0</v>
      </c>
      <c r="U271">
        <f>IFERROR(SUM(Table1[[#This Row],[Total day minutes]],Table1[[#This Row],[Total eve minutes]],Table1[[#This Row],[Total night minutes]],Table1[[#This Row],[Total intl minutes]]),0)</f>
        <v>627.29999999999995</v>
      </c>
      <c r="V271">
        <f>SUM(Table1[[#This Row],[Total intl charge]],Table1[[#This Row],[Total night charge]],Table1[[#This Row],[Total eve charge]],Table1[[#This Row],[Total day charge]])</f>
        <v>63.2</v>
      </c>
      <c r="W271">
        <f>SUM(Table1[[#This Row],[Total intl calls]],Table1[[#This Row],[Total night calls]],Table1[[#This Row],[Total eve calls]],Table1[[#This Row],[Total day calls]])</f>
        <v>349</v>
      </c>
      <c r="X271" t="str" cm="1">
        <f t="array" ref="X271">_xlfn.IFS(Table1[[#This Row],[Customer service calls]]&gt;=4,"High risk",Table1[[#This Row],[Customer service calls]]&gt;=2,"Medium risk",TRUE,"Low risk")</f>
        <v>High risk</v>
      </c>
      <c r="Y271" t="str" cm="1">
        <f t="array" ref="Y271">IFERROR(_xlfn.IFS(Table1[[#This Row],[Total usage(Min)]]&gt;=AVERAGE(U:U)*1.1,"High risk",Table1[[#This Row],[Total usage(Min)]]&lt;= AVERAGE(U:U)*0.9,"Low risk",TRUE,"Medium risk"),"N/A")</f>
        <v>Medium risk</v>
      </c>
      <c r="Z271" t="str" cm="1">
        <f t="array" ref="Z271">IFERROR(_xlfn.IFS(Table1[[#This Row],[Total charges]]&gt;=AVERAGE(V:V)*1.1,"High risk",Table1[[#This Row],[Total charges]]&lt;=AVERAGE(V:V)*0.9,"Low risk",TRUE,"Medium risk"),"N/A")</f>
        <v>Medium risk</v>
      </c>
      <c r="AA2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2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1" t="str" cm="1">
        <f t="array" ref="AC271">_xlfn.IFS(
AND(Table1[[#This Row],[Customer service risk level]]="High risk", Table1[[#This Row],[Intl usage behaviour]]="Unplanned Usage"),"High Risk",
OR(Table1[[#This Row],[Customer service risk level]]="Medium risk", Table1[[#This Row],[Charges risk level]]="High risk "),"Medium Risk",
TRUE,"Low Risk"
)</f>
        <v>Low Risk</v>
      </c>
    </row>
    <row r="272" spans="1:29" x14ac:dyDescent="0.25">
      <c r="A272" t="s">
        <v>45</v>
      </c>
      <c r="B272">
        <v>90</v>
      </c>
      <c r="C272">
        <v>415</v>
      </c>
      <c r="D272" t="s">
        <v>21</v>
      </c>
      <c r="E272" t="s">
        <v>21</v>
      </c>
      <c r="F272">
        <v>0</v>
      </c>
      <c r="G272">
        <v>76.099999999999994</v>
      </c>
      <c r="H272">
        <v>121</v>
      </c>
      <c r="I272">
        <v>12.94</v>
      </c>
      <c r="J272">
        <v>290.3</v>
      </c>
      <c r="K272">
        <v>73</v>
      </c>
      <c r="L272">
        <v>24.68</v>
      </c>
      <c r="M272">
        <v>236.9</v>
      </c>
      <c r="N272">
        <v>89</v>
      </c>
      <c r="O272">
        <v>10.66</v>
      </c>
      <c r="P272">
        <v>10.8</v>
      </c>
      <c r="Q272">
        <v>3</v>
      </c>
      <c r="R272">
        <v>2.92</v>
      </c>
      <c r="S272">
        <v>0</v>
      </c>
      <c r="T272" t="b">
        <v>0</v>
      </c>
      <c r="U272">
        <f>IFERROR(SUM(Table1[[#This Row],[Total day minutes]],Table1[[#This Row],[Total eve minutes]],Table1[[#This Row],[Total night minutes]],Table1[[#This Row],[Total intl minutes]]),0)</f>
        <v>614.09999999999991</v>
      </c>
      <c r="V272">
        <f>SUM(Table1[[#This Row],[Total intl charge]],Table1[[#This Row],[Total night charge]],Table1[[#This Row],[Total eve charge]],Table1[[#This Row],[Total day charge]])</f>
        <v>51.199999999999996</v>
      </c>
      <c r="W272">
        <f>SUM(Table1[[#This Row],[Total intl calls]],Table1[[#This Row],[Total night calls]],Table1[[#This Row],[Total eve calls]],Table1[[#This Row],[Total day calls]])</f>
        <v>286</v>
      </c>
      <c r="X272" t="str" cm="1">
        <f t="array" ref="X272">_xlfn.IFS(Table1[[#This Row],[Customer service calls]]&gt;=4,"High risk",Table1[[#This Row],[Customer service calls]]&gt;=2,"Medium risk",TRUE,"Low risk")</f>
        <v>Low risk</v>
      </c>
      <c r="Y272" t="str" cm="1">
        <f t="array" ref="Y272">IFERROR(_xlfn.IFS(Table1[[#This Row],[Total usage(Min)]]&gt;=AVERAGE(U:U)*1.1,"High risk",Table1[[#This Row],[Total usage(Min)]]&lt;= AVERAGE(U:U)*0.9,"Low risk",TRUE,"Medium risk"),"N/A")</f>
        <v>Medium risk</v>
      </c>
      <c r="Z272" t="str" cm="1">
        <f t="array" ref="Z272">IFERROR(_xlfn.IFS(Table1[[#This Row],[Total charges]]&gt;=AVERAGE(V:V)*1.1,"High risk",Table1[[#This Row],[Total charges]]&lt;=AVERAGE(V:V)*0.9,"Low risk",TRUE,"Medium risk"),"N/A")</f>
        <v>Low risk</v>
      </c>
      <c r="AA2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2" t="str" cm="1">
        <f t="array" ref="AC272">_xlfn.IFS(
AND(Table1[[#This Row],[Customer service risk level]]="High risk", Table1[[#This Row],[Intl usage behaviour]]="Unplanned Usage"),"High Risk",
OR(Table1[[#This Row],[Customer service risk level]]="Medium risk", Table1[[#This Row],[Charges risk level]]="High risk "),"Medium Risk",
TRUE,"Low Risk"
)</f>
        <v>Low Risk</v>
      </c>
    </row>
    <row r="273" spans="1:29" x14ac:dyDescent="0.25">
      <c r="A273" t="s">
        <v>59</v>
      </c>
      <c r="B273">
        <v>73</v>
      </c>
      <c r="C273">
        <v>415</v>
      </c>
      <c r="D273" t="s">
        <v>21</v>
      </c>
      <c r="E273" t="s">
        <v>21</v>
      </c>
      <c r="F273">
        <v>0</v>
      </c>
      <c r="G273">
        <v>182.3</v>
      </c>
      <c r="H273">
        <v>115</v>
      </c>
      <c r="I273">
        <v>30.99</v>
      </c>
      <c r="J273">
        <v>199.2</v>
      </c>
      <c r="K273">
        <v>97</v>
      </c>
      <c r="L273">
        <v>16.93</v>
      </c>
      <c r="M273">
        <v>120.2</v>
      </c>
      <c r="N273">
        <v>113</v>
      </c>
      <c r="O273">
        <v>5.41</v>
      </c>
      <c r="P273">
        <v>18</v>
      </c>
      <c r="Q273">
        <v>5</v>
      </c>
      <c r="R273">
        <v>4.8600000000000003</v>
      </c>
      <c r="S273">
        <v>1</v>
      </c>
      <c r="T273" t="b">
        <v>0</v>
      </c>
      <c r="U273">
        <f>IFERROR(SUM(Table1[[#This Row],[Total day minutes]],Table1[[#This Row],[Total eve minutes]],Table1[[#This Row],[Total night minutes]],Table1[[#This Row],[Total intl minutes]]),0)</f>
        <v>519.70000000000005</v>
      </c>
      <c r="V273">
        <f>SUM(Table1[[#This Row],[Total intl charge]],Table1[[#This Row],[Total night charge]],Table1[[#This Row],[Total eve charge]],Table1[[#This Row],[Total day charge]])</f>
        <v>58.19</v>
      </c>
      <c r="W273">
        <f>SUM(Table1[[#This Row],[Total intl calls]],Table1[[#This Row],[Total night calls]],Table1[[#This Row],[Total eve calls]],Table1[[#This Row],[Total day calls]])</f>
        <v>330</v>
      </c>
      <c r="X273" t="str" cm="1">
        <f t="array" ref="X273">_xlfn.IFS(Table1[[#This Row],[Customer service calls]]&gt;=4,"High risk",Table1[[#This Row],[Customer service calls]]&gt;=2,"Medium risk",TRUE,"Low risk")</f>
        <v>Low risk</v>
      </c>
      <c r="Y273" t="str" cm="1">
        <f t="array" ref="Y273">IFERROR(_xlfn.IFS(Table1[[#This Row],[Total usage(Min)]]&gt;=AVERAGE(U:U)*1.1,"High risk",Table1[[#This Row],[Total usage(Min)]]&lt;= AVERAGE(U:U)*0.9,"Low risk",TRUE,"Medium risk"),"N/A")</f>
        <v>Low risk</v>
      </c>
      <c r="Z273" t="str" cm="1">
        <f t="array" ref="Z273">IFERROR(_xlfn.IFS(Table1[[#This Row],[Total charges]]&gt;=AVERAGE(V:V)*1.1,"High risk",Table1[[#This Row],[Total charges]]&lt;=AVERAGE(V:V)*0.9,"Low risk",TRUE,"Medium risk"),"N/A")</f>
        <v>Medium risk</v>
      </c>
      <c r="AA2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3" t="str" cm="1">
        <f t="array" ref="AC273">_xlfn.IFS(
AND(Table1[[#This Row],[Customer service risk level]]="High risk", Table1[[#This Row],[Intl usage behaviour]]="Unplanned Usage"),"High Risk",
OR(Table1[[#This Row],[Customer service risk level]]="Medium risk", Table1[[#This Row],[Charges risk level]]="High risk "),"Medium Risk",
TRUE,"Low Risk"
)</f>
        <v>Low Risk</v>
      </c>
    </row>
    <row r="274" spans="1:29" x14ac:dyDescent="0.25">
      <c r="A274" t="s">
        <v>45</v>
      </c>
      <c r="B274">
        <v>55</v>
      </c>
      <c r="C274">
        <v>408</v>
      </c>
      <c r="D274" t="s">
        <v>21</v>
      </c>
      <c r="E274" t="s">
        <v>27</v>
      </c>
      <c r="F274">
        <v>20</v>
      </c>
      <c r="G274">
        <v>189.3</v>
      </c>
      <c r="H274">
        <v>95</v>
      </c>
      <c r="I274">
        <v>32.18</v>
      </c>
      <c r="J274">
        <v>118.6</v>
      </c>
      <c r="K274">
        <v>113</v>
      </c>
      <c r="L274">
        <v>10.08</v>
      </c>
      <c r="M274">
        <v>250.2</v>
      </c>
      <c r="N274">
        <v>102</v>
      </c>
      <c r="O274">
        <v>11.26</v>
      </c>
      <c r="P274">
        <v>12.5</v>
      </c>
      <c r="Q274">
        <v>4</v>
      </c>
      <c r="R274">
        <v>3.38</v>
      </c>
      <c r="S274">
        <v>2</v>
      </c>
      <c r="T274" t="b">
        <v>0</v>
      </c>
      <c r="U274">
        <f>IFERROR(SUM(Table1[[#This Row],[Total day minutes]],Table1[[#This Row],[Total eve minutes]],Table1[[#This Row],[Total night minutes]],Table1[[#This Row],[Total intl minutes]]),0)</f>
        <v>570.59999999999991</v>
      </c>
      <c r="V274">
        <f>SUM(Table1[[#This Row],[Total intl charge]],Table1[[#This Row],[Total night charge]],Table1[[#This Row],[Total eve charge]],Table1[[#This Row],[Total day charge]])</f>
        <v>56.9</v>
      </c>
      <c r="W274">
        <f>SUM(Table1[[#This Row],[Total intl calls]],Table1[[#This Row],[Total night calls]],Table1[[#This Row],[Total eve calls]],Table1[[#This Row],[Total day calls]])</f>
        <v>314</v>
      </c>
      <c r="X274" t="str" cm="1">
        <f t="array" ref="X274">_xlfn.IFS(Table1[[#This Row],[Customer service calls]]&gt;=4,"High risk",Table1[[#This Row],[Customer service calls]]&gt;=2,"Medium risk",TRUE,"Low risk")</f>
        <v>Medium risk</v>
      </c>
      <c r="Y274" t="str" cm="1">
        <f t="array" ref="Y274">IFERROR(_xlfn.IFS(Table1[[#This Row],[Total usage(Min)]]&gt;=AVERAGE(U:U)*1.1,"High risk",Table1[[#This Row],[Total usage(Min)]]&lt;= AVERAGE(U:U)*0.9,"Low risk",TRUE,"Medium risk"),"N/A")</f>
        <v>Medium risk</v>
      </c>
      <c r="Z274" t="str" cm="1">
        <f t="array" ref="Z274">IFERROR(_xlfn.IFS(Table1[[#This Row],[Total charges]]&gt;=AVERAGE(V:V)*1.1,"High risk",Table1[[#This Row],[Total charges]]&lt;=AVERAGE(V:V)*0.9,"Low risk",TRUE,"Medium risk"),"N/A")</f>
        <v>Medium risk</v>
      </c>
      <c r="AA2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74" t="str" cm="1">
        <f t="array" ref="AC274">_xlfn.IFS(
AND(Table1[[#This Row],[Customer service risk level]]="High risk", Table1[[#This Row],[Intl usage behaviour]]="Unplanned Usage"),"High Risk",
OR(Table1[[#This Row],[Customer service risk level]]="Medium risk", Table1[[#This Row],[Charges risk level]]="High risk "),"Medium Risk",
TRUE,"Low Risk"
)</f>
        <v>Medium Risk</v>
      </c>
    </row>
    <row r="275" spans="1:29" x14ac:dyDescent="0.25">
      <c r="A275" t="s">
        <v>26</v>
      </c>
      <c r="B275">
        <v>76</v>
      </c>
      <c r="C275">
        <v>415</v>
      </c>
      <c r="D275" t="s">
        <v>21</v>
      </c>
      <c r="E275" t="s">
        <v>27</v>
      </c>
      <c r="F275">
        <v>22</v>
      </c>
      <c r="G275">
        <v>160.1</v>
      </c>
      <c r="H275">
        <v>107</v>
      </c>
      <c r="I275">
        <v>27.22</v>
      </c>
      <c r="J275">
        <v>168.7</v>
      </c>
      <c r="K275">
        <v>136</v>
      </c>
      <c r="L275">
        <v>14.34</v>
      </c>
      <c r="M275">
        <v>23.2</v>
      </c>
      <c r="N275">
        <v>102</v>
      </c>
      <c r="O275">
        <v>1.04</v>
      </c>
      <c r="P275">
        <v>9.5</v>
      </c>
      <c r="Q275">
        <v>4</v>
      </c>
      <c r="R275">
        <v>2.57</v>
      </c>
      <c r="S275">
        <v>3</v>
      </c>
      <c r="T275" t="b">
        <v>0</v>
      </c>
      <c r="U275">
        <f>IFERROR(SUM(Table1[[#This Row],[Total day minutes]],Table1[[#This Row],[Total eve minutes]],Table1[[#This Row],[Total night minutes]],Table1[[#This Row],[Total intl minutes]]),0)</f>
        <v>361.49999999999994</v>
      </c>
      <c r="V275">
        <f>SUM(Table1[[#This Row],[Total intl charge]],Table1[[#This Row],[Total night charge]],Table1[[#This Row],[Total eve charge]],Table1[[#This Row],[Total day charge]])</f>
        <v>45.17</v>
      </c>
      <c r="W275">
        <f>SUM(Table1[[#This Row],[Total intl calls]],Table1[[#This Row],[Total night calls]],Table1[[#This Row],[Total eve calls]],Table1[[#This Row],[Total day calls]])</f>
        <v>349</v>
      </c>
      <c r="X275" t="str" cm="1">
        <f t="array" ref="X275">_xlfn.IFS(Table1[[#This Row],[Customer service calls]]&gt;=4,"High risk",Table1[[#This Row],[Customer service calls]]&gt;=2,"Medium risk",TRUE,"Low risk")</f>
        <v>Medium risk</v>
      </c>
      <c r="Y275" t="str" cm="1">
        <f t="array" ref="Y275">IFERROR(_xlfn.IFS(Table1[[#This Row],[Total usage(Min)]]&gt;=AVERAGE(U:U)*1.1,"High risk",Table1[[#This Row],[Total usage(Min)]]&lt;= AVERAGE(U:U)*0.9,"Low risk",TRUE,"Medium risk"),"N/A")</f>
        <v>Low risk</v>
      </c>
      <c r="Z275" t="str" cm="1">
        <f t="array" ref="Z275">IFERROR(_xlfn.IFS(Table1[[#This Row],[Total charges]]&gt;=AVERAGE(V:V)*1.1,"High risk",Table1[[#This Row],[Total charges]]&lt;=AVERAGE(V:V)*0.9,"Low risk",TRUE,"Medium risk"),"N/A")</f>
        <v>Low risk</v>
      </c>
      <c r="AA2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75" t="str" cm="1">
        <f t="array" ref="AC275">_xlfn.IFS(
AND(Table1[[#This Row],[Customer service risk level]]="High risk", Table1[[#This Row],[Intl usage behaviour]]="Unplanned Usage"),"High Risk",
OR(Table1[[#This Row],[Customer service risk level]]="Medium risk", Table1[[#This Row],[Charges risk level]]="High risk "),"Medium Risk",
TRUE,"Low Risk"
)</f>
        <v>Medium Risk</v>
      </c>
    </row>
    <row r="276" spans="1:29" x14ac:dyDescent="0.25">
      <c r="A276" t="s">
        <v>38</v>
      </c>
      <c r="B276">
        <v>157</v>
      </c>
      <c r="C276">
        <v>415</v>
      </c>
      <c r="D276" t="s">
        <v>21</v>
      </c>
      <c r="E276" t="s">
        <v>21</v>
      </c>
      <c r="F276">
        <v>0</v>
      </c>
      <c r="G276">
        <v>220.7</v>
      </c>
      <c r="H276">
        <v>105</v>
      </c>
      <c r="I276">
        <v>37.520000000000003</v>
      </c>
      <c r="J276">
        <v>119.3</v>
      </c>
      <c r="K276">
        <v>127</v>
      </c>
      <c r="L276">
        <v>10.14</v>
      </c>
      <c r="M276">
        <v>165.1</v>
      </c>
      <c r="N276">
        <v>113</v>
      </c>
      <c r="O276">
        <v>7.43</v>
      </c>
      <c r="P276">
        <v>11.5</v>
      </c>
      <c r="Q276">
        <v>7</v>
      </c>
      <c r="R276">
        <v>3.11</v>
      </c>
      <c r="S276">
        <v>4</v>
      </c>
      <c r="T276" t="b">
        <v>0</v>
      </c>
      <c r="U276">
        <f>IFERROR(SUM(Table1[[#This Row],[Total day minutes]],Table1[[#This Row],[Total eve minutes]],Table1[[#This Row],[Total night minutes]],Table1[[#This Row],[Total intl minutes]]),0)</f>
        <v>516.6</v>
      </c>
      <c r="V276">
        <f>SUM(Table1[[#This Row],[Total intl charge]],Table1[[#This Row],[Total night charge]],Table1[[#This Row],[Total eve charge]],Table1[[#This Row],[Total day charge]])</f>
        <v>58.2</v>
      </c>
      <c r="W276">
        <f>SUM(Table1[[#This Row],[Total intl calls]],Table1[[#This Row],[Total night calls]],Table1[[#This Row],[Total eve calls]],Table1[[#This Row],[Total day calls]])</f>
        <v>352</v>
      </c>
      <c r="X276" t="str" cm="1">
        <f t="array" ref="X276">_xlfn.IFS(Table1[[#This Row],[Customer service calls]]&gt;=4,"High risk",Table1[[#This Row],[Customer service calls]]&gt;=2,"Medium risk",TRUE,"Low risk")</f>
        <v>High risk</v>
      </c>
      <c r="Y276" t="str" cm="1">
        <f t="array" ref="Y276">IFERROR(_xlfn.IFS(Table1[[#This Row],[Total usage(Min)]]&gt;=AVERAGE(U:U)*1.1,"High risk",Table1[[#This Row],[Total usage(Min)]]&lt;= AVERAGE(U:U)*0.9,"Low risk",TRUE,"Medium risk"),"N/A")</f>
        <v>Low risk</v>
      </c>
      <c r="Z276" t="str" cm="1">
        <f t="array" ref="Z276">IFERROR(_xlfn.IFS(Table1[[#This Row],[Total charges]]&gt;=AVERAGE(V:V)*1.1,"High risk",Table1[[#This Row],[Total charges]]&lt;=AVERAGE(V:V)*0.9,"Low risk",TRUE,"Medium risk"),"N/A")</f>
        <v>Medium risk</v>
      </c>
      <c r="AA2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6" t="str" cm="1">
        <f t="array" ref="AC276">_xlfn.IFS(
AND(Table1[[#This Row],[Customer service risk level]]="High risk", Table1[[#This Row],[Intl usage behaviour]]="Unplanned Usage"),"High Risk",
OR(Table1[[#This Row],[Customer service risk level]]="Medium risk", Table1[[#This Row],[Charges risk level]]="High risk "),"Medium Risk",
TRUE,"Low Risk"
)</f>
        <v>High Risk</v>
      </c>
    </row>
    <row r="277" spans="1:29" x14ac:dyDescent="0.25">
      <c r="A277" t="s">
        <v>64</v>
      </c>
      <c r="B277">
        <v>131</v>
      </c>
      <c r="C277">
        <v>415</v>
      </c>
      <c r="D277" t="s">
        <v>21</v>
      </c>
      <c r="E277" t="s">
        <v>21</v>
      </c>
      <c r="F277">
        <v>0</v>
      </c>
      <c r="G277">
        <v>211.8</v>
      </c>
      <c r="H277">
        <v>115</v>
      </c>
      <c r="I277">
        <v>36.01</v>
      </c>
      <c r="J277">
        <v>260.5</v>
      </c>
      <c r="K277">
        <v>102</v>
      </c>
      <c r="L277">
        <v>22.14</v>
      </c>
      <c r="M277">
        <v>144.19999999999999</v>
      </c>
      <c r="N277">
        <v>96</v>
      </c>
      <c r="O277">
        <v>6.49</v>
      </c>
      <c r="P277">
        <v>10.8</v>
      </c>
      <c r="Q277">
        <v>7</v>
      </c>
      <c r="R277">
        <v>2.92</v>
      </c>
      <c r="S277">
        <v>0</v>
      </c>
      <c r="T277" t="b">
        <v>0</v>
      </c>
      <c r="U277">
        <f>IFERROR(SUM(Table1[[#This Row],[Total day minutes]],Table1[[#This Row],[Total eve minutes]],Table1[[#This Row],[Total night minutes]],Table1[[#This Row],[Total intl minutes]]),0)</f>
        <v>627.29999999999995</v>
      </c>
      <c r="V277">
        <f>SUM(Table1[[#This Row],[Total intl charge]],Table1[[#This Row],[Total night charge]],Table1[[#This Row],[Total eve charge]],Table1[[#This Row],[Total day charge]])</f>
        <v>67.56</v>
      </c>
      <c r="W277">
        <f>SUM(Table1[[#This Row],[Total intl calls]],Table1[[#This Row],[Total night calls]],Table1[[#This Row],[Total eve calls]],Table1[[#This Row],[Total day calls]])</f>
        <v>320</v>
      </c>
      <c r="X277" t="str" cm="1">
        <f t="array" ref="X277">_xlfn.IFS(Table1[[#This Row],[Customer service calls]]&gt;=4,"High risk",Table1[[#This Row],[Customer service calls]]&gt;=2,"Medium risk",TRUE,"Low risk")</f>
        <v>Low risk</v>
      </c>
      <c r="Y277" t="str" cm="1">
        <f t="array" ref="Y277">IFERROR(_xlfn.IFS(Table1[[#This Row],[Total usage(Min)]]&gt;=AVERAGE(U:U)*1.1,"High risk",Table1[[#This Row],[Total usage(Min)]]&lt;= AVERAGE(U:U)*0.9,"Low risk",TRUE,"Medium risk"),"N/A")</f>
        <v>Medium risk</v>
      </c>
      <c r="Z277" t="str" cm="1">
        <f t="array" ref="Z277">IFERROR(_xlfn.IFS(Table1[[#This Row],[Total charges]]&gt;=AVERAGE(V:V)*1.1,"High risk",Table1[[#This Row],[Total charges]]&lt;=AVERAGE(V:V)*0.9,"Low risk",TRUE,"Medium risk"),"N/A")</f>
        <v>High risk</v>
      </c>
      <c r="AA2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7" t="str" cm="1">
        <f t="array" ref="AC277">_xlfn.IFS(
AND(Table1[[#This Row],[Customer service risk level]]="High risk", Table1[[#This Row],[Intl usage behaviour]]="Unplanned Usage"),"High Risk",
OR(Table1[[#This Row],[Customer service risk level]]="Medium risk", Table1[[#This Row],[Charges risk level]]="High risk "),"Medium Risk",
TRUE,"Low Risk"
)</f>
        <v>Low Risk</v>
      </c>
    </row>
    <row r="278" spans="1:29" x14ac:dyDescent="0.25">
      <c r="A278" t="s">
        <v>28</v>
      </c>
      <c r="B278">
        <v>51</v>
      </c>
      <c r="C278">
        <v>415</v>
      </c>
      <c r="D278" t="s">
        <v>21</v>
      </c>
      <c r="E278" t="s">
        <v>21</v>
      </c>
      <c r="F278">
        <v>0</v>
      </c>
      <c r="G278">
        <v>229.7</v>
      </c>
      <c r="H278">
        <v>129</v>
      </c>
      <c r="I278">
        <v>39.049999999999997</v>
      </c>
      <c r="J278">
        <v>336</v>
      </c>
      <c r="K278">
        <v>104</v>
      </c>
      <c r="L278">
        <v>28.56</v>
      </c>
      <c r="M278">
        <v>192.8</v>
      </c>
      <c r="N278">
        <v>128</v>
      </c>
      <c r="O278">
        <v>8.68</v>
      </c>
      <c r="P278">
        <v>9.6</v>
      </c>
      <c r="Q278">
        <v>1</v>
      </c>
      <c r="R278">
        <v>2.59</v>
      </c>
      <c r="S278">
        <v>1</v>
      </c>
      <c r="T278" t="b">
        <v>1</v>
      </c>
      <c r="U278">
        <f>IFERROR(SUM(Table1[[#This Row],[Total day minutes]],Table1[[#This Row],[Total eve minutes]],Table1[[#This Row],[Total night minutes]],Table1[[#This Row],[Total intl minutes]]),0)</f>
        <v>768.1</v>
      </c>
      <c r="V278">
        <f>SUM(Table1[[#This Row],[Total intl charge]],Table1[[#This Row],[Total night charge]],Table1[[#This Row],[Total eve charge]],Table1[[#This Row],[Total day charge]])</f>
        <v>78.88</v>
      </c>
      <c r="W278">
        <f>SUM(Table1[[#This Row],[Total intl calls]],Table1[[#This Row],[Total night calls]],Table1[[#This Row],[Total eve calls]],Table1[[#This Row],[Total day calls]])</f>
        <v>362</v>
      </c>
      <c r="X278" t="str" cm="1">
        <f t="array" ref="X278">_xlfn.IFS(Table1[[#This Row],[Customer service calls]]&gt;=4,"High risk",Table1[[#This Row],[Customer service calls]]&gt;=2,"Medium risk",TRUE,"Low risk")</f>
        <v>Low risk</v>
      </c>
      <c r="Y278" t="str" cm="1">
        <f t="array" ref="Y278">IFERROR(_xlfn.IFS(Table1[[#This Row],[Total usage(Min)]]&gt;=AVERAGE(U:U)*1.1,"High risk",Table1[[#This Row],[Total usage(Min)]]&lt;= AVERAGE(U:U)*0.9,"Low risk",TRUE,"Medium risk"),"N/A")</f>
        <v>High risk</v>
      </c>
      <c r="Z278" t="str" cm="1">
        <f t="array" ref="Z278">IFERROR(_xlfn.IFS(Table1[[#This Row],[Total charges]]&gt;=AVERAGE(V:V)*1.1,"High risk",Table1[[#This Row],[Total charges]]&lt;=AVERAGE(V:V)*0.9,"Low risk",TRUE,"Medium risk"),"N/A")</f>
        <v>High risk</v>
      </c>
      <c r="AA2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8" t="str" cm="1">
        <f t="array" ref="AC278">_xlfn.IFS(
AND(Table1[[#This Row],[Customer service risk level]]="High risk", Table1[[#This Row],[Intl usage behaviour]]="Unplanned Usage"),"High Risk",
OR(Table1[[#This Row],[Customer service risk level]]="Medium risk", Table1[[#This Row],[Charges risk level]]="High risk "),"Medium Risk",
TRUE,"Low Risk"
)</f>
        <v>Low Risk</v>
      </c>
    </row>
    <row r="279" spans="1:29" x14ac:dyDescent="0.25">
      <c r="A279" t="s">
        <v>29</v>
      </c>
      <c r="B279">
        <v>166</v>
      </c>
      <c r="C279">
        <v>415</v>
      </c>
      <c r="D279" t="s">
        <v>21</v>
      </c>
      <c r="E279" t="s">
        <v>21</v>
      </c>
      <c r="F279">
        <v>0</v>
      </c>
      <c r="G279">
        <v>220.7</v>
      </c>
      <c r="H279">
        <v>106</v>
      </c>
      <c r="I279">
        <v>37.520000000000003</v>
      </c>
      <c r="J279">
        <v>177.8</v>
      </c>
      <c r="K279">
        <v>118</v>
      </c>
      <c r="L279">
        <v>15.11</v>
      </c>
      <c r="M279">
        <v>206.1</v>
      </c>
      <c r="N279">
        <v>102</v>
      </c>
      <c r="O279">
        <v>9.27</v>
      </c>
      <c r="P279">
        <v>12.4</v>
      </c>
      <c r="Q279">
        <v>9</v>
      </c>
      <c r="R279">
        <v>3.35</v>
      </c>
      <c r="S279">
        <v>1</v>
      </c>
      <c r="T279" t="b">
        <v>0</v>
      </c>
      <c r="U279">
        <f>IFERROR(SUM(Table1[[#This Row],[Total day minutes]],Table1[[#This Row],[Total eve minutes]],Table1[[#This Row],[Total night minutes]],Table1[[#This Row],[Total intl minutes]]),0)</f>
        <v>617</v>
      </c>
      <c r="V279">
        <f>SUM(Table1[[#This Row],[Total intl charge]],Table1[[#This Row],[Total night charge]],Table1[[#This Row],[Total eve charge]],Table1[[#This Row],[Total day charge]])</f>
        <v>65.25</v>
      </c>
      <c r="W279">
        <f>SUM(Table1[[#This Row],[Total intl calls]],Table1[[#This Row],[Total night calls]],Table1[[#This Row],[Total eve calls]],Table1[[#This Row],[Total day calls]])</f>
        <v>335</v>
      </c>
      <c r="X279" t="str" cm="1">
        <f t="array" ref="X279">_xlfn.IFS(Table1[[#This Row],[Customer service calls]]&gt;=4,"High risk",Table1[[#This Row],[Customer service calls]]&gt;=2,"Medium risk",TRUE,"Low risk")</f>
        <v>Low risk</v>
      </c>
      <c r="Y279" t="str" cm="1">
        <f t="array" ref="Y279">IFERROR(_xlfn.IFS(Table1[[#This Row],[Total usage(Min)]]&gt;=AVERAGE(U:U)*1.1,"High risk",Table1[[#This Row],[Total usage(Min)]]&lt;= AVERAGE(U:U)*0.9,"Low risk",TRUE,"Medium risk"),"N/A")</f>
        <v>Medium risk</v>
      </c>
      <c r="Z279" t="str" cm="1">
        <f t="array" ref="Z279">IFERROR(_xlfn.IFS(Table1[[#This Row],[Total charges]]&gt;=AVERAGE(V:V)*1.1,"High risk",Table1[[#This Row],[Total charges]]&lt;=AVERAGE(V:V)*0.9,"Low risk",TRUE,"Medium risk"),"N/A")</f>
        <v>Medium risk</v>
      </c>
      <c r="AA2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7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79" t="str" cm="1">
        <f t="array" ref="AC279">_xlfn.IFS(
AND(Table1[[#This Row],[Customer service risk level]]="High risk", Table1[[#This Row],[Intl usage behaviour]]="Unplanned Usage"),"High Risk",
OR(Table1[[#This Row],[Customer service risk level]]="Medium risk", Table1[[#This Row],[Charges risk level]]="High risk "),"Medium Risk",
TRUE,"Low Risk"
)</f>
        <v>Low Risk</v>
      </c>
    </row>
    <row r="280" spans="1:29" x14ac:dyDescent="0.25">
      <c r="A280" t="s">
        <v>47</v>
      </c>
      <c r="B280">
        <v>66</v>
      </c>
      <c r="C280">
        <v>408</v>
      </c>
      <c r="D280" t="s">
        <v>21</v>
      </c>
      <c r="E280" t="s">
        <v>21</v>
      </c>
      <c r="F280">
        <v>0</v>
      </c>
      <c r="G280">
        <v>87.6</v>
      </c>
      <c r="H280">
        <v>76</v>
      </c>
      <c r="I280">
        <v>14.89</v>
      </c>
      <c r="J280">
        <v>262</v>
      </c>
      <c r="K280">
        <v>111</v>
      </c>
      <c r="L280">
        <v>22.27</v>
      </c>
      <c r="M280">
        <v>184.6</v>
      </c>
      <c r="N280">
        <v>125</v>
      </c>
      <c r="O280">
        <v>8.31</v>
      </c>
      <c r="P280">
        <v>9.1999999999999993</v>
      </c>
      <c r="Q280">
        <v>5</v>
      </c>
      <c r="R280">
        <v>2.48</v>
      </c>
      <c r="S280">
        <v>1</v>
      </c>
      <c r="T280" t="b">
        <v>0</v>
      </c>
      <c r="U280">
        <f>IFERROR(SUM(Table1[[#This Row],[Total day minutes]],Table1[[#This Row],[Total eve minutes]],Table1[[#This Row],[Total night minutes]],Table1[[#This Row],[Total intl minutes]]),0)</f>
        <v>543.40000000000009</v>
      </c>
      <c r="V280">
        <f>SUM(Table1[[#This Row],[Total intl charge]],Table1[[#This Row],[Total night charge]],Table1[[#This Row],[Total eve charge]],Table1[[#This Row],[Total day charge]])</f>
        <v>47.95</v>
      </c>
      <c r="W280">
        <f>SUM(Table1[[#This Row],[Total intl calls]],Table1[[#This Row],[Total night calls]],Table1[[#This Row],[Total eve calls]],Table1[[#This Row],[Total day calls]])</f>
        <v>317</v>
      </c>
      <c r="X280" t="str" cm="1">
        <f t="array" ref="X280">_xlfn.IFS(Table1[[#This Row],[Customer service calls]]&gt;=4,"High risk",Table1[[#This Row],[Customer service calls]]&gt;=2,"Medium risk",TRUE,"Low risk")</f>
        <v>Low risk</v>
      </c>
      <c r="Y280" t="str" cm="1">
        <f t="array" ref="Y280">IFERROR(_xlfn.IFS(Table1[[#This Row],[Total usage(Min)]]&gt;=AVERAGE(U:U)*1.1,"High risk",Table1[[#This Row],[Total usage(Min)]]&lt;= AVERAGE(U:U)*0.9,"Low risk",TRUE,"Medium risk"),"N/A")</f>
        <v>Medium risk</v>
      </c>
      <c r="Z280" t="str" cm="1">
        <f t="array" ref="Z280">IFERROR(_xlfn.IFS(Table1[[#This Row],[Total charges]]&gt;=AVERAGE(V:V)*1.1,"High risk",Table1[[#This Row],[Total charges]]&lt;=AVERAGE(V:V)*0.9,"Low risk",TRUE,"Medium risk"),"N/A")</f>
        <v>Low risk</v>
      </c>
      <c r="AA2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0" t="str" cm="1">
        <f t="array" ref="AC280">_xlfn.IFS(
AND(Table1[[#This Row],[Customer service risk level]]="High risk", Table1[[#This Row],[Intl usage behaviour]]="Unplanned Usage"),"High Risk",
OR(Table1[[#This Row],[Customer service risk level]]="Medium risk", Table1[[#This Row],[Charges risk level]]="High risk "),"Medium Risk",
TRUE,"Low Risk"
)</f>
        <v>Low Risk</v>
      </c>
    </row>
    <row r="281" spans="1:29" x14ac:dyDescent="0.25">
      <c r="A281" t="s">
        <v>59</v>
      </c>
      <c r="B281">
        <v>49</v>
      </c>
      <c r="C281">
        <v>415</v>
      </c>
      <c r="D281" t="s">
        <v>21</v>
      </c>
      <c r="E281" t="s">
        <v>21</v>
      </c>
      <c r="F281">
        <v>0</v>
      </c>
      <c r="G281">
        <v>266.3</v>
      </c>
      <c r="H281">
        <v>90</v>
      </c>
      <c r="I281">
        <v>45.27</v>
      </c>
      <c r="J281">
        <v>207.8</v>
      </c>
      <c r="K281">
        <v>117</v>
      </c>
      <c r="L281">
        <v>17.66</v>
      </c>
      <c r="M281">
        <v>205</v>
      </c>
      <c r="N281">
        <v>98</v>
      </c>
      <c r="O281">
        <v>9.23</v>
      </c>
      <c r="P281">
        <v>14</v>
      </c>
      <c r="Q281">
        <v>2</v>
      </c>
      <c r="R281">
        <v>3.78</v>
      </c>
      <c r="S281">
        <v>2</v>
      </c>
      <c r="T281" t="b">
        <v>1</v>
      </c>
      <c r="U281">
        <f>IFERROR(SUM(Table1[[#This Row],[Total day minutes]],Table1[[#This Row],[Total eve minutes]],Table1[[#This Row],[Total night minutes]],Table1[[#This Row],[Total intl minutes]]),0)</f>
        <v>693.1</v>
      </c>
      <c r="V281">
        <f>SUM(Table1[[#This Row],[Total intl charge]],Table1[[#This Row],[Total night charge]],Table1[[#This Row],[Total eve charge]],Table1[[#This Row],[Total day charge]])</f>
        <v>75.94</v>
      </c>
      <c r="W281">
        <f>SUM(Table1[[#This Row],[Total intl calls]],Table1[[#This Row],[Total night calls]],Table1[[#This Row],[Total eve calls]],Table1[[#This Row],[Total day calls]])</f>
        <v>307</v>
      </c>
      <c r="X281" t="str" cm="1">
        <f t="array" ref="X281">_xlfn.IFS(Table1[[#This Row],[Customer service calls]]&gt;=4,"High risk",Table1[[#This Row],[Customer service calls]]&gt;=2,"Medium risk",TRUE,"Low risk")</f>
        <v>Medium risk</v>
      </c>
      <c r="Y281" t="str" cm="1">
        <f t="array" ref="Y281">IFERROR(_xlfn.IFS(Table1[[#This Row],[Total usage(Min)]]&gt;=AVERAGE(U:U)*1.1,"High risk",Table1[[#This Row],[Total usage(Min)]]&lt;= AVERAGE(U:U)*0.9,"Low risk",TRUE,"Medium risk"),"N/A")</f>
        <v>High risk</v>
      </c>
      <c r="Z281" t="str" cm="1">
        <f t="array" ref="Z281">IFERROR(_xlfn.IFS(Table1[[#This Row],[Total charges]]&gt;=AVERAGE(V:V)*1.1,"High risk",Table1[[#This Row],[Total charges]]&lt;=AVERAGE(V:V)*0.9,"Low risk",TRUE,"Medium risk"),"N/A")</f>
        <v>High risk</v>
      </c>
      <c r="AA2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1" t="str" cm="1">
        <f t="array" ref="AC281">_xlfn.IFS(
AND(Table1[[#This Row],[Customer service risk level]]="High risk", Table1[[#This Row],[Intl usage behaviour]]="Unplanned Usage"),"High Risk",
OR(Table1[[#This Row],[Customer service risk level]]="Medium risk", Table1[[#This Row],[Charges risk level]]="High risk "),"Medium Risk",
TRUE,"Low Risk"
)</f>
        <v>Medium Risk</v>
      </c>
    </row>
    <row r="282" spans="1:29" x14ac:dyDescent="0.25">
      <c r="A282" t="s">
        <v>20</v>
      </c>
      <c r="B282">
        <v>89</v>
      </c>
      <c r="C282">
        <v>415</v>
      </c>
      <c r="D282" t="s">
        <v>21</v>
      </c>
      <c r="E282" t="s">
        <v>21</v>
      </c>
      <c r="F282">
        <v>0</v>
      </c>
      <c r="G282">
        <v>141.1</v>
      </c>
      <c r="H282">
        <v>92</v>
      </c>
      <c r="I282">
        <v>23.99</v>
      </c>
      <c r="J282">
        <v>249.1</v>
      </c>
      <c r="K282">
        <v>126</v>
      </c>
      <c r="L282">
        <v>21.17</v>
      </c>
      <c r="M282">
        <v>136</v>
      </c>
      <c r="N282">
        <v>73</v>
      </c>
      <c r="O282">
        <v>6.12</v>
      </c>
      <c r="P282">
        <v>10.8</v>
      </c>
      <c r="Q282">
        <v>2</v>
      </c>
      <c r="R282">
        <v>2.92</v>
      </c>
      <c r="S282">
        <v>2</v>
      </c>
      <c r="T282" t="b">
        <v>0</v>
      </c>
      <c r="U282">
        <f>IFERROR(SUM(Table1[[#This Row],[Total day minutes]],Table1[[#This Row],[Total eve minutes]],Table1[[#This Row],[Total night minutes]],Table1[[#This Row],[Total intl minutes]]),0)</f>
        <v>537</v>
      </c>
      <c r="V282">
        <f>SUM(Table1[[#This Row],[Total intl charge]],Table1[[#This Row],[Total night charge]],Table1[[#This Row],[Total eve charge]],Table1[[#This Row],[Total day charge]])</f>
        <v>54.2</v>
      </c>
      <c r="W282">
        <f>SUM(Table1[[#This Row],[Total intl calls]],Table1[[#This Row],[Total night calls]],Table1[[#This Row],[Total eve calls]],Table1[[#This Row],[Total day calls]])</f>
        <v>293</v>
      </c>
      <c r="X282" t="str" cm="1">
        <f t="array" ref="X282">_xlfn.IFS(Table1[[#This Row],[Customer service calls]]&gt;=4,"High risk",Table1[[#This Row],[Customer service calls]]&gt;=2,"Medium risk",TRUE,"Low risk")</f>
        <v>Medium risk</v>
      </c>
      <c r="Y282" t="str" cm="1">
        <f t="array" ref="Y282">IFERROR(_xlfn.IFS(Table1[[#This Row],[Total usage(Min)]]&gt;=AVERAGE(U:U)*1.1,"High risk",Table1[[#This Row],[Total usage(Min)]]&lt;= AVERAGE(U:U)*0.9,"Low risk",TRUE,"Medium risk"),"N/A")</f>
        <v>Medium risk</v>
      </c>
      <c r="Z282" t="str" cm="1">
        <f t="array" ref="Z282">IFERROR(_xlfn.IFS(Table1[[#This Row],[Total charges]]&gt;=AVERAGE(V:V)*1.1,"High risk",Table1[[#This Row],[Total charges]]&lt;=AVERAGE(V:V)*0.9,"Low risk",TRUE,"Medium risk"),"N/A")</f>
        <v>Medium risk</v>
      </c>
      <c r="AA2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2" t="str" cm="1">
        <f t="array" ref="AC282">_xlfn.IFS(
AND(Table1[[#This Row],[Customer service risk level]]="High risk", Table1[[#This Row],[Intl usage behaviour]]="Unplanned Usage"),"High Risk",
OR(Table1[[#This Row],[Customer service risk level]]="Medium risk", Table1[[#This Row],[Charges risk level]]="High risk "),"Medium Risk",
TRUE,"Low Risk"
)</f>
        <v>Medium Risk</v>
      </c>
    </row>
    <row r="283" spans="1:29" x14ac:dyDescent="0.25">
      <c r="A283" t="s">
        <v>31</v>
      </c>
      <c r="B283">
        <v>90</v>
      </c>
      <c r="C283">
        <v>415</v>
      </c>
      <c r="D283" t="s">
        <v>21</v>
      </c>
      <c r="E283" t="s">
        <v>21</v>
      </c>
      <c r="F283">
        <v>0</v>
      </c>
      <c r="G283">
        <v>200.9</v>
      </c>
      <c r="H283">
        <v>92</v>
      </c>
      <c r="I283">
        <v>34.15</v>
      </c>
      <c r="J283">
        <v>164.3</v>
      </c>
      <c r="K283">
        <v>91</v>
      </c>
      <c r="L283">
        <v>13.97</v>
      </c>
      <c r="M283">
        <v>249</v>
      </c>
      <c r="N283">
        <v>98</v>
      </c>
      <c r="O283">
        <v>11.21</v>
      </c>
      <c r="P283">
        <v>8.9</v>
      </c>
      <c r="Q283">
        <v>7</v>
      </c>
      <c r="R283">
        <v>2.4</v>
      </c>
      <c r="S283">
        <v>1</v>
      </c>
      <c r="T283" t="b">
        <v>0</v>
      </c>
      <c r="U283">
        <f>IFERROR(SUM(Table1[[#This Row],[Total day minutes]],Table1[[#This Row],[Total eve minutes]],Table1[[#This Row],[Total night minutes]],Table1[[#This Row],[Total intl minutes]]),0)</f>
        <v>623.1</v>
      </c>
      <c r="V283">
        <f>SUM(Table1[[#This Row],[Total intl charge]],Table1[[#This Row],[Total night charge]],Table1[[#This Row],[Total eve charge]],Table1[[#This Row],[Total day charge]])</f>
        <v>61.730000000000004</v>
      </c>
      <c r="W283">
        <f>SUM(Table1[[#This Row],[Total intl calls]],Table1[[#This Row],[Total night calls]],Table1[[#This Row],[Total eve calls]],Table1[[#This Row],[Total day calls]])</f>
        <v>288</v>
      </c>
      <c r="X283" t="str" cm="1">
        <f t="array" ref="X283">_xlfn.IFS(Table1[[#This Row],[Customer service calls]]&gt;=4,"High risk",Table1[[#This Row],[Customer service calls]]&gt;=2,"Medium risk",TRUE,"Low risk")</f>
        <v>Low risk</v>
      </c>
      <c r="Y283" t="str" cm="1">
        <f t="array" ref="Y283">IFERROR(_xlfn.IFS(Table1[[#This Row],[Total usage(Min)]]&gt;=AVERAGE(U:U)*1.1,"High risk",Table1[[#This Row],[Total usage(Min)]]&lt;= AVERAGE(U:U)*0.9,"Low risk",TRUE,"Medium risk"),"N/A")</f>
        <v>Medium risk</v>
      </c>
      <c r="Z283" t="str" cm="1">
        <f t="array" ref="Z283">IFERROR(_xlfn.IFS(Table1[[#This Row],[Total charges]]&gt;=AVERAGE(V:V)*1.1,"High risk",Table1[[#This Row],[Total charges]]&lt;=AVERAGE(V:V)*0.9,"Low risk",TRUE,"Medium risk"),"N/A")</f>
        <v>Medium risk</v>
      </c>
      <c r="AA2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3" t="str" cm="1">
        <f t="array" ref="AC283">_xlfn.IFS(
AND(Table1[[#This Row],[Customer service risk level]]="High risk", Table1[[#This Row],[Intl usage behaviour]]="Unplanned Usage"),"High Risk",
OR(Table1[[#This Row],[Customer service risk level]]="Medium risk", Table1[[#This Row],[Charges risk level]]="High risk "),"Medium Risk",
TRUE,"Low Risk"
)</f>
        <v>Low Risk</v>
      </c>
    </row>
    <row r="284" spans="1:29" x14ac:dyDescent="0.25">
      <c r="A284" t="s">
        <v>29</v>
      </c>
      <c r="B284">
        <v>193</v>
      </c>
      <c r="C284">
        <v>415</v>
      </c>
      <c r="D284" t="s">
        <v>21</v>
      </c>
      <c r="E284" t="s">
        <v>21</v>
      </c>
      <c r="F284">
        <v>0</v>
      </c>
      <c r="G284">
        <v>96.8</v>
      </c>
      <c r="H284">
        <v>92</v>
      </c>
      <c r="I284">
        <v>16.46</v>
      </c>
      <c r="J284">
        <v>142.6</v>
      </c>
      <c r="K284">
        <v>103</v>
      </c>
      <c r="L284">
        <v>12.12</v>
      </c>
      <c r="M284">
        <v>210.1</v>
      </c>
      <c r="N284">
        <v>115</v>
      </c>
      <c r="O284">
        <v>9.4499999999999993</v>
      </c>
      <c r="P284">
        <v>10.9</v>
      </c>
      <c r="Q284">
        <v>5</v>
      </c>
      <c r="R284">
        <v>2.94</v>
      </c>
      <c r="S284">
        <v>2</v>
      </c>
      <c r="T284" t="b">
        <v>1</v>
      </c>
      <c r="U284">
        <f>IFERROR(SUM(Table1[[#This Row],[Total day minutes]],Table1[[#This Row],[Total eve minutes]],Table1[[#This Row],[Total night minutes]],Table1[[#This Row],[Total intl minutes]]),0)</f>
        <v>460.4</v>
      </c>
      <c r="V284">
        <f>SUM(Table1[[#This Row],[Total intl charge]],Table1[[#This Row],[Total night charge]],Table1[[#This Row],[Total eve charge]],Table1[[#This Row],[Total day charge]])</f>
        <v>40.97</v>
      </c>
      <c r="W284">
        <f>SUM(Table1[[#This Row],[Total intl calls]],Table1[[#This Row],[Total night calls]],Table1[[#This Row],[Total eve calls]],Table1[[#This Row],[Total day calls]])</f>
        <v>315</v>
      </c>
      <c r="X284" t="str" cm="1">
        <f t="array" ref="X284">_xlfn.IFS(Table1[[#This Row],[Customer service calls]]&gt;=4,"High risk",Table1[[#This Row],[Customer service calls]]&gt;=2,"Medium risk",TRUE,"Low risk")</f>
        <v>Medium risk</v>
      </c>
      <c r="Y284" t="str" cm="1">
        <f t="array" ref="Y284">IFERROR(_xlfn.IFS(Table1[[#This Row],[Total usage(Min)]]&gt;=AVERAGE(U:U)*1.1,"High risk",Table1[[#This Row],[Total usage(Min)]]&lt;= AVERAGE(U:U)*0.9,"Low risk",TRUE,"Medium risk"),"N/A")</f>
        <v>Low risk</v>
      </c>
      <c r="Z284" t="str" cm="1">
        <f t="array" ref="Z284">IFERROR(_xlfn.IFS(Table1[[#This Row],[Total charges]]&gt;=AVERAGE(V:V)*1.1,"High risk",Table1[[#This Row],[Total charges]]&lt;=AVERAGE(V:V)*0.9,"Low risk",TRUE,"Medium risk"),"N/A")</f>
        <v>Low risk</v>
      </c>
      <c r="AA2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4" t="str" cm="1">
        <f t="array" ref="AC284">_xlfn.IFS(
AND(Table1[[#This Row],[Customer service risk level]]="High risk", Table1[[#This Row],[Intl usage behaviour]]="Unplanned Usage"),"High Risk",
OR(Table1[[#This Row],[Customer service risk level]]="Medium risk", Table1[[#This Row],[Charges risk level]]="High risk "),"Medium Risk",
TRUE,"Low Risk"
)</f>
        <v>Medium Risk</v>
      </c>
    </row>
    <row r="285" spans="1:29" x14ac:dyDescent="0.25">
      <c r="A285" t="s">
        <v>70</v>
      </c>
      <c r="B285">
        <v>114</v>
      </c>
      <c r="C285">
        <v>510</v>
      </c>
      <c r="D285" t="s">
        <v>21</v>
      </c>
      <c r="E285" t="s">
        <v>21</v>
      </c>
      <c r="F285">
        <v>0</v>
      </c>
      <c r="G285">
        <v>172</v>
      </c>
      <c r="H285">
        <v>145</v>
      </c>
      <c r="I285">
        <v>29.24</v>
      </c>
      <c r="J285">
        <v>276.39999999999998</v>
      </c>
      <c r="K285">
        <v>101</v>
      </c>
      <c r="L285">
        <v>23.49</v>
      </c>
      <c r="M285">
        <v>193.7</v>
      </c>
      <c r="N285">
        <v>100</v>
      </c>
      <c r="O285">
        <v>8.7200000000000006</v>
      </c>
      <c r="P285">
        <v>10.1</v>
      </c>
      <c r="Q285">
        <v>9</v>
      </c>
      <c r="R285">
        <v>2.73</v>
      </c>
      <c r="S285">
        <v>1</v>
      </c>
      <c r="T285" t="b">
        <v>0</v>
      </c>
      <c r="U285">
        <f>IFERROR(SUM(Table1[[#This Row],[Total day minutes]],Table1[[#This Row],[Total eve minutes]],Table1[[#This Row],[Total night minutes]],Table1[[#This Row],[Total intl minutes]]),0)</f>
        <v>652.19999999999993</v>
      </c>
      <c r="V285">
        <f>SUM(Table1[[#This Row],[Total intl charge]],Table1[[#This Row],[Total night charge]],Table1[[#This Row],[Total eve charge]],Table1[[#This Row],[Total day charge]])</f>
        <v>64.179999999999993</v>
      </c>
      <c r="W285">
        <f>SUM(Table1[[#This Row],[Total intl calls]],Table1[[#This Row],[Total night calls]],Table1[[#This Row],[Total eve calls]],Table1[[#This Row],[Total day calls]])</f>
        <v>355</v>
      </c>
      <c r="X285" t="str" cm="1">
        <f t="array" ref="X285">_xlfn.IFS(Table1[[#This Row],[Customer service calls]]&gt;=4,"High risk",Table1[[#This Row],[Customer service calls]]&gt;=2,"Medium risk",TRUE,"Low risk")</f>
        <v>Low risk</v>
      </c>
      <c r="Y285" t="str" cm="1">
        <f t="array" ref="Y285">IFERROR(_xlfn.IFS(Table1[[#This Row],[Total usage(Min)]]&gt;=AVERAGE(U:U)*1.1,"High risk",Table1[[#This Row],[Total usage(Min)]]&lt;= AVERAGE(U:U)*0.9,"Low risk",TRUE,"Medium risk"),"N/A")</f>
        <v>Medium risk</v>
      </c>
      <c r="Z285" t="str" cm="1">
        <f t="array" ref="Z285">IFERROR(_xlfn.IFS(Table1[[#This Row],[Total charges]]&gt;=AVERAGE(V:V)*1.1,"High risk",Table1[[#This Row],[Total charges]]&lt;=AVERAGE(V:V)*0.9,"Low risk",TRUE,"Medium risk"),"N/A")</f>
        <v>Medium risk</v>
      </c>
      <c r="AA2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5" t="str" cm="1">
        <f t="array" ref="AC285">_xlfn.IFS(
AND(Table1[[#This Row],[Customer service risk level]]="High risk", Table1[[#This Row],[Intl usage behaviour]]="Unplanned Usage"),"High Risk",
OR(Table1[[#This Row],[Customer service risk level]]="Medium risk", Table1[[#This Row],[Charges risk level]]="High risk "),"Medium Risk",
TRUE,"Low Risk"
)</f>
        <v>Low Risk</v>
      </c>
    </row>
    <row r="286" spans="1:29" x14ac:dyDescent="0.25">
      <c r="A286" t="s">
        <v>60</v>
      </c>
      <c r="B286">
        <v>7</v>
      </c>
      <c r="C286">
        <v>408</v>
      </c>
      <c r="D286" t="s">
        <v>21</v>
      </c>
      <c r="E286" t="s">
        <v>27</v>
      </c>
      <c r="F286">
        <v>30</v>
      </c>
      <c r="G286">
        <v>221.4</v>
      </c>
      <c r="H286">
        <v>114</v>
      </c>
      <c r="I286">
        <v>37.64</v>
      </c>
      <c r="J286">
        <v>165.8</v>
      </c>
      <c r="K286">
        <v>116</v>
      </c>
      <c r="L286">
        <v>14.09</v>
      </c>
      <c r="M286">
        <v>247</v>
      </c>
      <c r="N286">
        <v>105</v>
      </c>
      <c r="O286">
        <v>11.12</v>
      </c>
      <c r="P286">
        <v>10.8</v>
      </c>
      <c r="Q286">
        <v>12</v>
      </c>
      <c r="R286">
        <v>2.92</v>
      </c>
      <c r="S286">
        <v>1</v>
      </c>
      <c r="T286" t="b">
        <v>0</v>
      </c>
      <c r="U286">
        <f>IFERROR(SUM(Table1[[#This Row],[Total day minutes]],Table1[[#This Row],[Total eve minutes]],Table1[[#This Row],[Total night minutes]],Table1[[#This Row],[Total intl minutes]]),0)</f>
        <v>645</v>
      </c>
      <c r="V286">
        <f>SUM(Table1[[#This Row],[Total intl charge]],Table1[[#This Row],[Total night charge]],Table1[[#This Row],[Total eve charge]],Table1[[#This Row],[Total day charge]])</f>
        <v>65.77</v>
      </c>
      <c r="W286">
        <f>SUM(Table1[[#This Row],[Total intl calls]],Table1[[#This Row],[Total night calls]],Table1[[#This Row],[Total eve calls]],Table1[[#This Row],[Total day calls]])</f>
        <v>347</v>
      </c>
      <c r="X286" t="str" cm="1">
        <f t="array" ref="X286">_xlfn.IFS(Table1[[#This Row],[Customer service calls]]&gt;=4,"High risk",Table1[[#This Row],[Customer service calls]]&gt;=2,"Medium risk",TRUE,"Low risk")</f>
        <v>Low risk</v>
      </c>
      <c r="Y286" t="str" cm="1">
        <f t="array" ref="Y286">IFERROR(_xlfn.IFS(Table1[[#This Row],[Total usage(Min)]]&gt;=AVERAGE(U:U)*1.1,"High risk",Table1[[#This Row],[Total usage(Min)]]&lt;= AVERAGE(U:U)*0.9,"Low risk",TRUE,"Medium risk"),"N/A")</f>
        <v>Medium risk</v>
      </c>
      <c r="Z286" t="str" cm="1">
        <f t="array" ref="Z286">IFERROR(_xlfn.IFS(Table1[[#This Row],[Total charges]]&gt;=AVERAGE(V:V)*1.1,"High risk",Table1[[#This Row],[Total charges]]&lt;=AVERAGE(V:V)*0.9,"Low risk",TRUE,"Medium risk"),"N/A")</f>
        <v>Medium risk</v>
      </c>
      <c r="AA2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86" t="str" cm="1">
        <f t="array" ref="AC286">_xlfn.IFS(
AND(Table1[[#This Row],[Customer service risk level]]="High risk", Table1[[#This Row],[Intl usage behaviour]]="Unplanned Usage"),"High Risk",
OR(Table1[[#This Row],[Customer service risk level]]="Medium risk", Table1[[#This Row],[Charges risk level]]="High risk "),"Medium Risk",
TRUE,"Low Risk"
)</f>
        <v>Low Risk</v>
      </c>
    </row>
    <row r="287" spans="1:29" x14ac:dyDescent="0.25">
      <c r="A287" t="s">
        <v>50</v>
      </c>
      <c r="B287">
        <v>71</v>
      </c>
      <c r="C287">
        <v>415</v>
      </c>
      <c r="D287" t="s">
        <v>21</v>
      </c>
      <c r="E287" t="s">
        <v>21</v>
      </c>
      <c r="F287">
        <v>0</v>
      </c>
      <c r="G287">
        <v>243.7</v>
      </c>
      <c r="H287">
        <v>124</v>
      </c>
      <c r="I287">
        <v>41.43</v>
      </c>
      <c r="J287">
        <v>60</v>
      </c>
      <c r="K287">
        <v>90</v>
      </c>
      <c r="L287">
        <v>5.0999999999999996</v>
      </c>
      <c r="M287">
        <v>189</v>
      </c>
      <c r="N287">
        <v>129</v>
      </c>
      <c r="O287">
        <v>8.5</v>
      </c>
      <c r="P287">
        <v>11.3</v>
      </c>
      <c r="Q287">
        <v>2</v>
      </c>
      <c r="R287">
        <v>3.05</v>
      </c>
      <c r="S287">
        <v>0</v>
      </c>
      <c r="T287" t="b">
        <v>0</v>
      </c>
      <c r="U287">
        <f>IFERROR(SUM(Table1[[#This Row],[Total day minutes]],Table1[[#This Row],[Total eve minutes]],Table1[[#This Row],[Total night minutes]],Table1[[#This Row],[Total intl minutes]]),0)</f>
        <v>504</v>
      </c>
      <c r="V287">
        <f>SUM(Table1[[#This Row],[Total intl charge]],Table1[[#This Row],[Total night charge]],Table1[[#This Row],[Total eve charge]],Table1[[#This Row],[Total day charge]])</f>
        <v>58.08</v>
      </c>
      <c r="W287">
        <f>SUM(Table1[[#This Row],[Total intl calls]],Table1[[#This Row],[Total night calls]],Table1[[#This Row],[Total eve calls]],Table1[[#This Row],[Total day calls]])</f>
        <v>345</v>
      </c>
      <c r="X287" t="str" cm="1">
        <f t="array" ref="X287">_xlfn.IFS(Table1[[#This Row],[Customer service calls]]&gt;=4,"High risk",Table1[[#This Row],[Customer service calls]]&gt;=2,"Medium risk",TRUE,"Low risk")</f>
        <v>Low risk</v>
      </c>
      <c r="Y287" t="str" cm="1">
        <f t="array" ref="Y287">IFERROR(_xlfn.IFS(Table1[[#This Row],[Total usage(Min)]]&gt;=AVERAGE(U:U)*1.1,"High risk",Table1[[#This Row],[Total usage(Min)]]&lt;= AVERAGE(U:U)*0.9,"Low risk",TRUE,"Medium risk"),"N/A")</f>
        <v>Low risk</v>
      </c>
      <c r="Z287" t="str" cm="1">
        <f t="array" ref="Z287">IFERROR(_xlfn.IFS(Table1[[#This Row],[Total charges]]&gt;=AVERAGE(V:V)*1.1,"High risk",Table1[[#This Row],[Total charges]]&lt;=AVERAGE(V:V)*0.9,"Low risk",TRUE,"Medium risk"),"N/A")</f>
        <v>Medium risk</v>
      </c>
      <c r="AA2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7" t="str" cm="1">
        <f t="array" ref="AC287">_xlfn.IFS(
AND(Table1[[#This Row],[Customer service risk level]]="High risk", Table1[[#This Row],[Intl usage behaviour]]="Unplanned Usage"),"High Risk",
OR(Table1[[#This Row],[Customer service risk level]]="Medium risk", Table1[[#This Row],[Charges risk level]]="High risk "),"Medium Risk",
TRUE,"Low Risk"
)</f>
        <v>Low Risk</v>
      </c>
    </row>
    <row r="288" spans="1:29" x14ac:dyDescent="0.25">
      <c r="A288" t="s">
        <v>63</v>
      </c>
      <c r="B288">
        <v>31</v>
      </c>
      <c r="C288">
        <v>415</v>
      </c>
      <c r="D288" t="s">
        <v>21</v>
      </c>
      <c r="E288" t="s">
        <v>27</v>
      </c>
      <c r="F288">
        <v>28</v>
      </c>
      <c r="G288">
        <v>210.5</v>
      </c>
      <c r="H288">
        <v>101</v>
      </c>
      <c r="I288">
        <v>35.79</v>
      </c>
      <c r="J288">
        <v>250.5</v>
      </c>
      <c r="K288">
        <v>86</v>
      </c>
      <c r="L288">
        <v>21.29</v>
      </c>
      <c r="M288">
        <v>241.6</v>
      </c>
      <c r="N288">
        <v>125</v>
      </c>
      <c r="O288">
        <v>10.87</v>
      </c>
      <c r="P288">
        <v>11.5</v>
      </c>
      <c r="Q288">
        <v>2</v>
      </c>
      <c r="R288">
        <v>3.11</v>
      </c>
      <c r="S288">
        <v>1</v>
      </c>
      <c r="T288" t="b">
        <v>0</v>
      </c>
      <c r="U288">
        <f>IFERROR(SUM(Table1[[#This Row],[Total day minutes]],Table1[[#This Row],[Total eve minutes]],Table1[[#This Row],[Total night minutes]],Table1[[#This Row],[Total intl minutes]]),0)</f>
        <v>714.1</v>
      </c>
      <c r="V288">
        <f>SUM(Table1[[#This Row],[Total intl charge]],Table1[[#This Row],[Total night charge]],Table1[[#This Row],[Total eve charge]],Table1[[#This Row],[Total day charge]])</f>
        <v>71.06</v>
      </c>
      <c r="W288">
        <f>SUM(Table1[[#This Row],[Total intl calls]],Table1[[#This Row],[Total night calls]],Table1[[#This Row],[Total eve calls]],Table1[[#This Row],[Total day calls]])</f>
        <v>314</v>
      </c>
      <c r="X288" t="str" cm="1">
        <f t="array" ref="X288">_xlfn.IFS(Table1[[#This Row],[Customer service calls]]&gt;=4,"High risk",Table1[[#This Row],[Customer service calls]]&gt;=2,"Medium risk",TRUE,"Low risk")</f>
        <v>Low risk</v>
      </c>
      <c r="Y288" t="str" cm="1">
        <f t="array" ref="Y288">IFERROR(_xlfn.IFS(Table1[[#This Row],[Total usage(Min)]]&gt;=AVERAGE(U:U)*1.1,"High risk",Table1[[#This Row],[Total usage(Min)]]&lt;= AVERAGE(U:U)*0.9,"Low risk",TRUE,"Medium risk"),"N/A")</f>
        <v>High risk</v>
      </c>
      <c r="Z288" t="str" cm="1">
        <f t="array" ref="Z288">IFERROR(_xlfn.IFS(Table1[[#This Row],[Total charges]]&gt;=AVERAGE(V:V)*1.1,"High risk",Table1[[#This Row],[Total charges]]&lt;=AVERAGE(V:V)*0.9,"Low risk",TRUE,"Medium risk"),"N/A")</f>
        <v>High risk</v>
      </c>
      <c r="AA2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288" t="str" cm="1">
        <f t="array" ref="AC288">_xlfn.IFS(
AND(Table1[[#This Row],[Customer service risk level]]="High risk", Table1[[#This Row],[Intl usage behaviour]]="Unplanned Usage"),"High Risk",
OR(Table1[[#This Row],[Customer service risk level]]="Medium risk", Table1[[#This Row],[Charges risk level]]="High risk "),"Medium Risk",
TRUE,"Low Risk"
)</f>
        <v>Low Risk</v>
      </c>
    </row>
    <row r="289" spans="1:29" x14ac:dyDescent="0.25">
      <c r="A289" t="s">
        <v>35</v>
      </c>
      <c r="B289">
        <v>111</v>
      </c>
      <c r="C289">
        <v>415</v>
      </c>
      <c r="D289" t="s">
        <v>21</v>
      </c>
      <c r="E289" t="s">
        <v>21</v>
      </c>
      <c r="F289">
        <v>0</v>
      </c>
      <c r="G289">
        <v>284.39999999999998</v>
      </c>
      <c r="H289">
        <v>89</v>
      </c>
      <c r="I289">
        <v>48.35</v>
      </c>
      <c r="J289">
        <v>157</v>
      </c>
      <c r="K289">
        <v>113</v>
      </c>
      <c r="L289">
        <v>13.35</v>
      </c>
      <c r="M289">
        <v>242.8</v>
      </c>
      <c r="N289">
        <v>91</v>
      </c>
      <c r="O289">
        <v>10.93</v>
      </c>
      <c r="P289">
        <v>8.4</v>
      </c>
      <c r="Q289">
        <v>8</v>
      </c>
      <c r="R289">
        <v>2.27</v>
      </c>
      <c r="S289">
        <v>0</v>
      </c>
      <c r="T289" t="b">
        <v>1</v>
      </c>
      <c r="U289">
        <f>IFERROR(SUM(Table1[[#This Row],[Total day minutes]],Table1[[#This Row],[Total eve minutes]],Table1[[#This Row],[Total night minutes]],Table1[[#This Row],[Total intl minutes]]),0)</f>
        <v>692.6</v>
      </c>
      <c r="V289">
        <f>SUM(Table1[[#This Row],[Total intl charge]],Table1[[#This Row],[Total night charge]],Table1[[#This Row],[Total eve charge]],Table1[[#This Row],[Total day charge]])</f>
        <v>74.900000000000006</v>
      </c>
      <c r="W289">
        <f>SUM(Table1[[#This Row],[Total intl calls]],Table1[[#This Row],[Total night calls]],Table1[[#This Row],[Total eve calls]],Table1[[#This Row],[Total day calls]])</f>
        <v>301</v>
      </c>
      <c r="X289" t="str" cm="1">
        <f t="array" ref="X289">_xlfn.IFS(Table1[[#This Row],[Customer service calls]]&gt;=4,"High risk",Table1[[#This Row],[Customer service calls]]&gt;=2,"Medium risk",TRUE,"Low risk")</f>
        <v>Low risk</v>
      </c>
      <c r="Y289" t="str" cm="1">
        <f t="array" ref="Y289">IFERROR(_xlfn.IFS(Table1[[#This Row],[Total usage(Min)]]&gt;=AVERAGE(U:U)*1.1,"High risk",Table1[[#This Row],[Total usage(Min)]]&lt;= AVERAGE(U:U)*0.9,"Low risk",TRUE,"Medium risk"),"N/A")</f>
        <v>High risk</v>
      </c>
      <c r="Z289" t="str" cm="1">
        <f t="array" ref="Z289">IFERROR(_xlfn.IFS(Table1[[#This Row],[Total charges]]&gt;=AVERAGE(V:V)*1.1,"High risk",Table1[[#This Row],[Total charges]]&lt;=AVERAGE(V:V)*0.9,"Low risk",TRUE,"Medium risk"),"N/A")</f>
        <v>High risk</v>
      </c>
      <c r="AA2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8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89" t="str" cm="1">
        <f t="array" ref="AC289">_xlfn.IFS(
AND(Table1[[#This Row],[Customer service risk level]]="High risk", Table1[[#This Row],[Intl usage behaviour]]="Unplanned Usage"),"High Risk",
OR(Table1[[#This Row],[Customer service risk level]]="Medium risk", Table1[[#This Row],[Charges risk level]]="High risk "),"Medium Risk",
TRUE,"Low Risk"
)</f>
        <v>Low Risk</v>
      </c>
    </row>
    <row r="290" spans="1:29" x14ac:dyDescent="0.25">
      <c r="A290" t="s">
        <v>38</v>
      </c>
      <c r="B290">
        <v>97</v>
      </c>
      <c r="C290">
        <v>408</v>
      </c>
      <c r="D290" t="s">
        <v>21</v>
      </c>
      <c r="E290" t="s">
        <v>21</v>
      </c>
      <c r="F290">
        <v>0</v>
      </c>
      <c r="G290">
        <v>169.7</v>
      </c>
      <c r="H290">
        <v>84</v>
      </c>
      <c r="I290">
        <v>28.85</v>
      </c>
      <c r="J290">
        <v>165.9</v>
      </c>
      <c r="K290">
        <v>86</v>
      </c>
      <c r="L290">
        <v>14.1</v>
      </c>
      <c r="M290">
        <v>191.9</v>
      </c>
      <c r="N290">
        <v>83</v>
      </c>
      <c r="O290">
        <v>8.64</v>
      </c>
      <c r="P290">
        <v>12.8</v>
      </c>
      <c r="Q290">
        <v>6</v>
      </c>
      <c r="R290">
        <v>3.46</v>
      </c>
      <c r="S290">
        <v>3</v>
      </c>
      <c r="T290" t="b">
        <v>0</v>
      </c>
      <c r="U290">
        <f>IFERROR(SUM(Table1[[#This Row],[Total day minutes]],Table1[[#This Row],[Total eve minutes]],Table1[[#This Row],[Total night minutes]],Table1[[#This Row],[Total intl minutes]]),0)</f>
        <v>540.29999999999995</v>
      </c>
      <c r="V290">
        <f>SUM(Table1[[#This Row],[Total intl charge]],Table1[[#This Row],[Total night charge]],Table1[[#This Row],[Total eve charge]],Table1[[#This Row],[Total day charge]])</f>
        <v>55.050000000000004</v>
      </c>
      <c r="W290">
        <f>SUM(Table1[[#This Row],[Total intl calls]],Table1[[#This Row],[Total night calls]],Table1[[#This Row],[Total eve calls]],Table1[[#This Row],[Total day calls]])</f>
        <v>259</v>
      </c>
      <c r="X290" t="str" cm="1">
        <f t="array" ref="X290">_xlfn.IFS(Table1[[#This Row],[Customer service calls]]&gt;=4,"High risk",Table1[[#This Row],[Customer service calls]]&gt;=2,"Medium risk",TRUE,"Low risk")</f>
        <v>Medium risk</v>
      </c>
      <c r="Y290" t="str" cm="1">
        <f t="array" ref="Y290">IFERROR(_xlfn.IFS(Table1[[#This Row],[Total usage(Min)]]&gt;=AVERAGE(U:U)*1.1,"High risk",Table1[[#This Row],[Total usage(Min)]]&lt;= AVERAGE(U:U)*0.9,"Low risk",TRUE,"Medium risk"),"N/A")</f>
        <v>Medium risk</v>
      </c>
      <c r="Z290" t="str" cm="1">
        <f t="array" ref="Z290">IFERROR(_xlfn.IFS(Table1[[#This Row],[Total charges]]&gt;=AVERAGE(V:V)*1.1,"High risk",Table1[[#This Row],[Total charges]]&lt;=AVERAGE(V:V)*0.9,"Low risk",TRUE,"Medium risk"),"N/A")</f>
        <v>Medium risk</v>
      </c>
      <c r="AA2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0" t="str" cm="1">
        <f t="array" ref="AC290">_xlfn.IFS(
AND(Table1[[#This Row],[Customer service risk level]]="High risk", Table1[[#This Row],[Intl usage behaviour]]="Unplanned Usage"),"High Risk",
OR(Table1[[#This Row],[Customer service risk level]]="Medium risk", Table1[[#This Row],[Charges risk level]]="High risk "),"Medium Risk",
TRUE,"Low Risk"
)</f>
        <v>Medium Risk</v>
      </c>
    </row>
    <row r="291" spans="1:29" x14ac:dyDescent="0.25">
      <c r="A291" t="s">
        <v>68</v>
      </c>
      <c r="B291">
        <v>51</v>
      </c>
      <c r="C291">
        <v>510</v>
      </c>
      <c r="D291" t="s">
        <v>21</v>
      </c>
      <c r="E291" t="s">
        <v>21</v>
      </c>
      <c r="F291">
        <v>0</v>
      </c>
      <c r="G291">
        <v>227.2</v>
      </c>
      <c r="H291">
        <v>89</v>
      </c>
      <c r="I291">
        <v>38.619999999999997</v>
      </c>
      <c r="J291">
        <v>194.4</v>
      </c>
      <c r="K291">
        <v>106</v>
      </c>
      <c r="L291">
        <v>16.52</v>
      </c>
      <c r="M291">
        <v>243.4</v>
      </c>
      <c r="N291">
        <v>126</v>
      </c>
      <c r="O291">
        <v>10.95</v>
      </c>
      <c r="P291">
        <v>14.9</v>
      </c>
      <c r="Q291">
        <v>2</v>
      </c>
      <c r="R291">
        <v>4.0199999999999996</v>
      </c>
      <c r="S291">
        <v>0</v>
      </c>
      <c r="T291" t="b">
        <v>0</v>
      </c>
      <c r="U291">
        <f>IFERROR(SUM(Table1[[#This Row],[Total day minutes]],Table1[[#This Row],[Total eve minutes]],Table1[[#This Row],[Total night minutes]],Table1[[#This Row],[Total intl minutes]]),0)</f>
        <v>679.9</v>
      </c>
      <c r="V291">
        <f>SUM(Table1[[#This Row],[Total intl charge]],Table1[[#This Row],[Total night charge]],Table1[[#This Row],[Total eve charge]],Table1[[#This Row],[Total day charge]])</f>
        <v>70.11</v>
      </c>
      <c r="W291">
        <f>SUM(Table1[[#This Row],[Total intl calls]],Table1[[#This Row],[Total night calls]],Table1[[#This Row],[Total eve calls]],Table1[[#This Row],[Total day calls]])</f>
        <v>323</v>
      </c>
      <c r="X291" t="str" cm="1">
        <f t="array" ref="X291">_xlfn.IFS(Table1[[#This Row],[Customer service calls]]&gt;=4,"High risk",Table1[[#This Row],[Customer service calls]]&gt;=2,"Medium risk",TRUE,"Low risk")</f>
        <v>Low risk</v>
      </c>
      <c r="Y291" t="str" cm="1">
        <f t="array" ref="Y291">IFERROR(_xlfn.IFS(Table1[[#This Row],[Total usage(Min)]]&gt;=AVERAGE(U:U)*1.1,"High risk",Table1[[#This Row],[Total usage(Min)]]&lt;= AVERAGE(U:U)*0.9,"Low risk",TRUE,"Medium risk"),"N/A")</f>
        <v>High risk</v>
      </c>
      <c r="Z291" t="str" cm="1">
        <f t="array" ref="Z291">IFERROR(_xlfn.IFS(Table1[[#This Row],[Total charges]]&gt;=AVERAGE(V:V)*1.1,"High risk",Table1[[#This Row],[Total charges]]&lt;=AVERAGE(V:V)*0.9,"Low risk",TRUE,"Medium risk"),"N/A")</f>
        <v>High risk</v>
      </c>
      <c r="AA2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1" t="str" cm="1">
        <f t="array" ref="AC291">_xlfn.IFS(
AND(Table1[[#This Row],[Customer service risk level]]="High risk", Table1[[#This Row],[Intl usage behaviour]]="Unplanned Usage"),"High Risk",
OR(Table1[[#This Row],[Customer service risk level]]="Medium risk", Table1[[#This Row],[Charges risk level]]="High risk "),"Medium Risk",
TRUE,"Low Risk"
)</f>
        <v>Low Risk</v>
      </c>
    </row>
    <row r="292" spans="1:29" x14ac:dyDescent="0.25">
      <c r="A292" t="s">
        <v>54</v>
      </c>
      <c r="B292">
        <v>86</v>
      </c>
      <c r="C292">
        <v>415</v>
      </c>
      <c r="D292" t="s">
        <v>21</v>
      </c>
      <c r="E292" t="s">
        <v>21</v>
      </c>
      <c r="F292">
        <v>0</v>
      </c>
      <c r="G292">
        <v>223.9</v>
      </c>
      <c r="H292">
        <v>75</v>
      </c>
      <c r="I292">
        <v>38.06</v>
      </c>
      <c r="J292">
        <v>155.69999999999999</v>
      </c>
      <c r="K292">
        <v>109</v>
      </c>
      <c r="L292">
        <v>13.23</v>
      </c>
      <c r="M292">
        <v>150.19999999999999</v>
      </c>
      <c r="N292">
        <v>143</v>
      </c>
      <c r="O292">
        <v>6.76</v>
      </c>
      <c r="P292">
        <v>7.3</v>
      </c>
      <c r="Q292">
        <v>9</v>
      </c>
      <c r="R292">
        <v>1.97</v>
      </c>
      <c r="S292">
        <v>1</v>
      </c>
      <c r="T292" t="b">
        <v>0</v>
      </c>
      <c r="U292">
        <f>IFERROR(SUM(Table1[[#This Row],[Total day minutes]],Table1[[#This Row],[Total eve minutes]],Table1[[#This Row],[Total night minutes]],Table1[[#This Row],[Total intl minutes]]),0)</f>
        <v>537.09999999999991</v>
      </c>
      <c r="V292">
        <f>SUM(Table1[[#This Row],[Total intl charge]],Table1[[#This Row],[Total night charge]],Table1[[#This Row],[Total eve charge]],Table1[[#This Row],[Total day charge]])</f>
        <v>60.02</v>
      </c>
      <c r="W292">
        <f>SUM(Table1[[#This Row],[Total intl calls]],Table1[[#This Row],[Total night calls]],Table1[[#This Row],[Total eve calls]],Table1[[#This Row],[Total day calls]])</f>
        <v>336</v>
      </c>
      <c r="X292" t="str" cm="1">
        <f t="array" ref="X292">_xlfn.IFS(Table1[[#This Row],[Customer service calls]]&gt;=4,"High risk",Table1[[#This Row],[Customer service calls]]&gt;=2,"Medium risk",TRUE,"Low risk")</f>
        <v>Low risk</v>
      </c>
      <c r="Y292" t="str" cm="1">
        <f t="array" ref="Y292">IFERROR(_xlfn.IFS(Table1[[#This Row],[Total usage(Min)]]&gt;=AVERAGE(U:U)*1.1,"High risk",Table1[[#This Row],[Total usage(Min)]]&lt;= AVERAGE(U:U)*0.9,"Low risk",TRUE,"Medium risk"),"N/A")</f>
        <v>Medium risk</v>
      </c>
      <c r="Z292" t="str" cm="1">
        <f t="array" ref="Z292">IFERROR(_xlfn.IFS(Table1[[#This Row],[Total charges]]&gt;=AVERAGE(V:V)*1.1,"High risk",Table1[[#This Row],[Total charges]]&lt;=AVERAGE(V:V)*0.9,"Low risk",TRUE,"Medium risk"),"N/A")</f>
        <v>Medium risk</v>
      </c>
      <c r="AA2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2" t="str" cm="1">
        <f t="array" ref="AC292">_xlfn.IFS(
AND(Table1[[#This Row],[Customer service risk level]]="High risk", Table1[[#This Row],[Intl usage behaviour]]="Unplanned Usage"),"High Risk",
OR(Table1[[#This Row],[Customer service risk level]]="Medium risk", Table1[[#This Row],[Charges risk level]]="High risk "),"Medium Risk",
TRUE,"Low Risk"
)</f>
        <v>Low Risk</v>
      </c>
    </row>
    <row r="293" spans="1:29" x14ac:dyDescent="0.25">
      <c r="A293" t="s">
        <v>68</v>
      </c>
      <c r="B293">
        <v>190</v>
      </c>
      <c r="C293">
        <v>415</v>
      </c>
      <c r="D293" t="s">
        <v>21</v>
      </c>
      <c r="E293" t="s">
        <v>21</v>
      </c>
      <c r="F293">
        <v>0</v>
      </c>
      <c r="G293">
        <v>169.4</v>
      </c>
      <c r="H293">
        <v>102</v>
      </c>
      <c r="I293">
        <v>28.8</v>
      </c>
      <c r="J293">
        <v>253.5</v>
      </c>
      <c r="K293">
        <v>113</v>
      </c>
      <c r="L293">
        <v>21.55</v>
      </c>
      <c r="M293">
        <v>197.1</v>
      </c>
      <c r="N293">
        <v>93</v>
      </c>
      <c r="O293">
        <v>8.8699999999999992</v>
      </c>
      <c r="P293">
        <v>8.9</v>
      </c>
      <c r="Q293">
        <v>5</v>
      </c>
      <c r="R293">
        <v>2.4</v>
      </c>
      <c r="S293">
        <v>1</v>
      </c>
      <c r="T293" t="b">
        <v>0</v>
      </c>
      <c r="U293">
        <f>IFERROR(SUM(Table1[[#This Row],[Total day minutes]],Table1[[#This Row],[Total eve minutes]],Table1[[#This Row],[Total night minutes]],Table1[[#This Row],[Total intl minutes]]),0)</f>
        <v>628.9</v>
      </c>
      <c r="V293">
        <f>SUM(Table1[[#This Row],[Total intl charge]],Table1[[#This Row],[Total night charge]],Table1[[#This Row],[Total eve charge]],Table1[[#This Row],[Total day charge]])</f>
        <v>61.620000000000005</v>
      </c>
      <c r="W293">
        <f>SUM(Table1[[#This Row],[Total intl calls]],Table1[[#This Row],[Total night calls]],Table1[[#This Row],[Total eve calls]],Table1[[#This Row],[Total day calls]])</f>
        <v>313</v>
      </c>
      <c r="X293" t="str" cm="1">
        <f t="array" ref="X293">_xlfn.IFS(Table1[[#This Row],[Customer service calls]]&gt;=4,"High risk",Table1[[#This Row],[Customer service calls]]&gt;=2,"Medium risk",TRUE,"Low risk")</f>
        <v>Low risk</v>
      </c>
      <c r="Y293" t="str" cm="1">
        <f t="array" ref="Y293">IFERROR(_xlfn.IFS(Table1[[#This Row],[Total usage(Min)]]&gt;=AVERAGE(U:U)*1.1,"High risk",Table1[[#This Row],[Total usage(Min)]]&lt;= AVERAGE(U:U)*0.9,"Low risk",TRUE,"Medium risk"),"N/A")</f>
        <v>Medium risk</v>
      </c>
      <c r="Z293" t="str" cm="1">
        <f t="array" ref="Z293">IFERROR(_xlfn.IFS(Table1[[#This Row],[Total charges]]&gt;=AVERAGE(V:V)*1.1,"High risk",Table1[[#This Row],[Total charges]]&lt;=AVERAGE(V:V)*0.9,"Low risk",TRUE,"Medium risk"),"N/A")</f>
        <v>Medium risk</v>
      </c>
      <c r="AA2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3" t="str" cm="1">
        <f t="array" ref="AC293">_xlfn.IFS(
AND(Table1[[#This Row],[Customer service risk level]]="High risk", Table1[[#This Row],[Intl usage behaviour]]="Unplanned Usage"),"High Risk",
OR(Table1[[#This Row],[Customer service risk level]]="Medium risk", Table1[[#This Row],[Charges risk level]]="High risk "),"Medium Risk",
TRUE,"Low Risk"
)</f>
        <v>Low Risk</v>
      </c>
    </row>
    <row r="294" spans="1:29" x14ac:dyDescent="0.25">
      <c r="A294" t="s">
        <v>56</v>
      </c>
      <c r="B294">
        <v>80</v>
      </c>
      <c r="C294">
        <v>408</v>
      </c>
      <c r="D294" t="s">
        <v>21</v>
      </c>
      <c r="E294" t="s">
        <v>21</v>
      </c>
      <c r="F294">
        <v>0</v>
      </c>
      <c r="G294">
        <v>118.1</v>
      </c>
      <c r="H294">
        <v>90</v>
      </c>
      <c r="I294">
        <v>20.079999999999998</v>
      </c>
      <c r="J294">
        <v>144.30000000000001</v>
      </c>
      <c r="K294">
        <v>77</v>
      </c>
      <c r="L294">
        <v>12.27</v>
      </c>
      <c r="M294">
        <v>225.1</v>
      </c>
      <c r="N294">
        <v>86</v>
      </c>
      <c r="O294">
        <v>10.130000000000001</v>
      </c>
      <c r="P294">
        <v>8.1999999999999993</v>
      </c>
      <c r="Q294">
        <v>6</v>
      </c>
      <c r="R294">
        <v>2.21</v>
      </c>
      <c r="S294">
        <v>1</v>
      </c>
      <c r="T294" t="b">
        <v>0</v>
      </c>
      <c r="U294">
        <f>IFERROR(SUM(Table1[[#This Row],[Total day minutes]],Table1[[#This Row],[Total eve minutes]],Table1[[#This Row],[Total night minutes]],Table1[[#This Row],[Total intl minutes]]),0)</f>
        <v>495.7</v>
      </c>
      <c r="V294">
        <f>SUM(Table1[[#This Row],[Total intl charge]],Table1[[#This Row],[Total night charge]],Table1[[#This Row],[Total eve charge]],Table1[[#This Row],[Total day charge]])</f>
        <v>44.69</v>
      </c>
      <c r="W294">
        <f>SUM(Table1[[#This Row],[Total intl calls]],Table1[[#This Row],[Total night calls]],Table1[[#This Row],[Total eve calls]],Table1[[#This Row],[Total day calls]])</f>
        <v>259</v>
      </c>
      <c r="X294" t="str" cm="1">
        <f t="array" ref="X294">_xlfn.IFS(Table1[[#This Row],[Customer service calls]]&gt;=4,"High risk",Table1[[#This Row],[Customer service calls]]&gt;=2,"Medium risk",TRUE,"Low risk")</f>
        <v>Low risk</v>
      </c>
      <c r="Y294" t="str" cm="1">
        <f t="array" ref="Y294">IFERROR(_xlfn.IFS(Table1[[#This Row],[Total usage(Min)]]&gt;=AVERAGE(U:U)*1.1,"High risk",Table1[[#This Row],[Total usage(Min)]]&lt;= AVERAGE(U:U)*0.9,"Low risk",TRUE,"Medium risk"),"N/A")</f>
        <v>Low risk</v>
      </c>
      <c r="Z294" t="str" cm="1">
        <f t="array" ref="Z294">IFERROR(_xlfn.IFS(Table1[[#This Row],[Total charges]]&gt;=AVERAGE(V:V)*1.1,"High risk",Table1[[#This Row],[Total charges]]&lt;=AVERAGE(V:V)*0.9,"Low risk",TRUE,"Medium risk"),"N/A")</f>
        <v>Low risk</v>
      </c>
      <c r="AA2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4" t="str" cm="1">
        <f t="array" ref="AC294">_xlfn.IFS(
AND(Table1[[#This Row],[Customer service risk level]]="High risk", Table1[[#This Row],[Intl usage behaviour]]="Unplanned Usage"),"High Risk",
OR(Table1[[#This Row],[Customer service risk level]]="Medium risk", Table1[[#This Row],[Charges risk level]]="High risk "),"Medium Risk",
TRUE,"Low Risk"
)</f>
        <v>Low Risk</v>
      </c>
    </row>
    <row r="295" spans="1:29" x14ac:dyDescent="0.25">
      <c r="A295" t="s">
        <v>43</v>
      </c>
      <c r="B295">
        <v>36</v>
      </c>
      <c r="C295">
        <v>415</v>
      </c>
      <c r="D295" t="s">
        <v>21</v>
      </c>
      <c r="E295" t="s">
        <v>21</v>
      </c>
      <c r="F295">
        <v>0</v>
      </c>
      <c r="G295">
        <v>202.4</v>
      </c>
      <c r="H295">
        <v>115</v>
      </c>
      <c r="I295">
        <v>34.409999999999997</v>
      </c>
      <c r="J295">
        <v>230.7</v>
      </c>
      <c r="K295">
        <v>115</v>
      </c>
      <c r="L295">
        <v>19.61</v>
      </c>
      <c r="M295">
        <v>202</v>
      </c>
      <c r="N295">
        <v>127</v>
      </c>
      <c r="O295">
        <v>9.09</v>
      </c>
      <c r="P295">
        <v>10.199999999999999</v>
      </c>
      <c r="Q295">
        <v>2</v>
      </c>
      <c r="R295">
        <v>2.75</v>
      </c>
      <c r="S295">
        <v>3</v>
      </c>
      <c r="T295" t="b">
        <v>0</v>
      </c>
      <c r="U295">
        <f>IFERROR(SUM(Table1[[#This Row],[Total day minutes]],Table1[[#This Row],[Total eve minutes]],Table1[[#This Row],[Total night minutes]],Table1[[#This Row],[Total intl minutes]]),0)</f>
        <v>645.30000000000007</v>
      </c>
      <c r="V295">
        <f>SUM(Table1[[#This Row],[Total intl charge]],Table1[[#This Row],[Total night charge]],Table1[[#This Row],[Total eve charge]],Table1[[#This Row],[Total day charge]])</f>
        <v>65.86</v>
      </c>
      <c r="W295">
        <f>SUM(Table1[[#This Row],[Total intl calls]],Table1[[#This Row],[Total night calls]],Table1[[#This Row],[Total eve calls]],Table1[[#This Row],[Total day calls]])</f>
        <v>359</v>
      </c>
      <c r="X295" t="str" cm="1">
        <f t="array" ref="X295">_xlfn.IFS(Table1[[#This Row],[Customer service calls]]&gt;=4,"High risk",Table1[[#This Row],[Customer service calls]]&gt;=2,"Medium risk",TRUE,"Low risk")</f>
        <v>Medium risk</v>
      </c>
      <c r="Y295" t="str" cm="1">
        <f t="array" ref="Y295">IFERROR(_xlfn.IFS(Table1[[#This Row],[Total usage(Min)]]&gt;=AVERAGE(U:U)*1.1,"High risk",Table1[[#This Row],[Total usage(Min)]]&lt;= AVERAGE(U:U)*0.9,"Low risk",TRUE,"Medium risk"),"N/A")</f>
        <v>Medium risk</v>
      </c>
      <c r="Z295" t="str" cm="1">
        <f t="array" ref="Z295">IFERROR(_xlfn.IFS(Table1[[#This Row],[Total charges]]&gt;=AVERAGE(V:V)*1.1,"High risk",Table1[[#This Row],[Total charges]]&lt;=AVERAGE(V:V)*0.9,"Low risk",TRUE,"Medium risk"),"N/A")</f>
        <v>High risk</v>
      </c>
      <c r="AA2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5" t="str" cm="1">
        <f t="array" ref="AC295">_xlfn.IFS(
AND(Table1[[#This Row],[Customer service risk level]]="High risk", Table1[[#This Row],[Intl usage behaviour]]="Unplanned Usage"),"High Risk",
OR(Table1[[#This Row],[Customer service risk level]]="Medium risk", Table1[[#This Row],[Charges risk level]]="High risk "),"Medium Risk",
TRUE,"Low Risk"
)</f>
        <v>Medium Risk</v>
      </c>
    </row>
    <row r="296" spans="1:29" x14ac:dyDescent="0.25">
      <c r="A296" t="s">
        <v>64</v>
      </c>
      <c r="B296">
        <v>45</v>
      </c>
      <c r="C296">
        <v>510</v>
      </c>
      <c r="D296" t="s">
        <v>21</v>
      </c>
      <c r="E296" t="s">
        <v>21</v>
      </c>
      <c r="F296">
        <v>0</v>
      </c>
      <c r="G296">
        <v>155.69999999999999</v>
      </c>
      <c r="H296">
        <v>110</v>
      </c>
      <c r="I296">
        <v>26.47</v>
      </c>
      <c r="J296">
        <v>260.3</v>
      </c>
      <c r="K296">
        <v>103</v>
      </c>
      <c r="L296">
        <v>22.13</v>
      </c>
      <c r="M296">
        <v>192.2</v>
      </c>
      <c r="N296">
        <v>98</v>
      </c>
      <c r="O296">
        <v>8.65</v>
      </c>
      <c r="P296">
        <v>11</v>
      </c>
      <c r="Q296">
        <v>1</v>
      </c>
      <c r="R296">
        <v>2.97</v>
      </c>
      <c r="S296">
        <v>1</v>
      </c>
      <c r="T296" t="b">
        <v>0</v>
      </c>
      <c r="U296">
        <f>IFERROR(SUM(Table1[[#This Row],[Total day minutes]],Table1[[#This Row],[Total eve minutes]],Table1[[#This Row],[Total night minutes]],Table1[[#This Row],[Total intl minutes]]),0)</f>
        <v>619.20000000000005</v>
      </c>
      <c r="V296">
        <f>SUM(Table1[[#This Row],[Total intl charge]],Table1[[#This Row],[Total night charge]],Table1[[#This Row],[Total eve charge]],Table1[[#This Row],[Total day charge]])</f>
        <v>60.22</v>
      </c>
      <c r="W296">
        <f>SUM(Table1[[#This Row],[Total intl calls]],Table1[[#This Row],[Total night calls]],Table1[[#This Row],[Total eve calls]],Table1[[#This Row],[Total day calls]])</f>
        <v>312</v>
      </c>
      <c r="X296" t="str" cm="1">
        <f t="array" ref="X296">_xlfn.IFS(Table1[[#This Row],[Customer service calls]]&gt;=4,"High risk",Table1[[#This Row],[Customer service calls]]&gt;=2,"Medium risk",TRUE,"Low risk")</f>
        <v>Low risk</v>
      </c>
      <c r="Y296" t="str" cm="1">
        <f t="array" ref="Y296">IFERROR(_xlfn.IFS(Table1[[#This Row],[Total usage(Min)]]&gt;=AVERAGE(U:U)*1.1,"High risk",Table1[[#This Row],[Total usage(Min)]]&lt;= AVERAGE(U:U)*0.9,"Low risk",TRUE,"Medium risk"),"N/A")</f>
        <v>Medium risk</v>
      </c>
      <c r="Z296" t="str" cm="1">
        <f t="array" ref="Z296">IFERROR(_xlfn.IFS(Table1[[#This Row],[Total charges]]&gt;=AVERAGE(V:V)*1.1,"High risk",Table1[[#This Row],[Total charges]]&lt;=AVERAGE(V:V)*0.9,"Low risk",TRUE,"Medium risk"),"N/A")</f>
        <v>Medium risk</v>
      </c>
      <c r="AA2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6" t="str" cm="1">
        <f t="array" ref="AC296">_xlfn.IFS(
AND(Table1[[#This Row],[Customer service risk level]]="High risk", Table1[[#This Row],[Intl usage behaviour]]="Unplanned Usage"),"High Risk",
OR(Table1[[#This Row],[Customer service risk level]]="Medium risk", Table1[[#This Row],[Charges risk level]]="High risk "),"Medium Risk",
TRUE,"Low Risk"
)</f>
        <v>Low Risk</v>
      </c>
    </row>
    <row r="297" spans="1:29" x14ac:dyDescent="0.25">
      <c r="A297" t="s">
        <v>53</v>
      </c>
      <c r="B297">
        <v>170</v>
      </c>
      <c r="C297">
        <v>415</v>
      </c>
      <c r="D297" t="s">
        <v>21</v>
      </c>
      <c r="E297" t="s">
        <v>21</v>
      </c>
      <c r="F297">
        <v>0</v>
      </c>
      <c r="G297">
        <v>246.4</v>
      </c>
      <c r="H297">
        <v>107</v>
      </c>
      <c r="I297">
        <v>41.89</v>
      </c>
      <c r="J297">
        <v>228.1</v>
      </c>
      <c r="K297">
        <v>124</v>
      </c>
      <c r="L297">
        <v>19.39</v>
      </c>
      <c r="M297">
        <v>166.4</v>
      </c>
      <c r="N297">
        <v>95</v>
      </c>
      <c r="O297">
        <v>7.49</v>
      </c>
      <c r="P297">
        <v>9.1</v>
      </c>
      <c r="Q297">
        <v>8</v>
      </c>
      <c r="R297">
        <v>2.46</v>
      </c>
      <c r="S297">
        <v>0</v>
      </c>
      <c r="T297" t="b">
        <v>0</v>
      </c>
      <c r="U297">
        <f>IFERROR(SUM(Table1[[#This Row],[Total day minutes]],Table1[[#This Row],[Total eve minutes]],Table1[[#This Row],[Total night minutes]],Table1[[#This Row],[Total intl minutes]]),0)</f>
        <v>650</v>
      </c>
      <c r="V297">
        <f>SUM(Table1[[#This Row],[Total intl charge]],Table1[[#This Row],[Total night charge]],Table1[[#This Row],[Total eve charge]],Table1[[#This Row],[Total day charge]])</f>
        <v>71.23</v>
      </c>
      <c r="W297">
        <f>SUM(Table1[[#This Row],[Total intl calls]],Table1[[#This Row],[Total night calls]],Table1[[#This Row],[Total eve calls]],Table1[[#This Row],[Total day calls]])</f>
        <v>334</v>
      </c>
      <c r="X297" t="str" cm="1">
        <f t="array" ref="X297">_xlfn.IFS(Table1[[#This Row],[Customer service calls]]&gt;=4,"High risk",Table1[[#This Row],[Customer service calls]]&gt;=2,"Medium risk",TRUE,"Low risk")</f>
        <v>Low risk</v>
      </c>
      <c r="Y297" t="str" cm="1">
        <f t="array" ref="Y297">IFERROR(_xlfn.IFS(Table1[[#This Row],[Total usage(Min)]]&gt;=AVERAGE(U:U)*1.1,"High risk",Table1[[#This Row],[Total usage(Min)]]&lt;= AVERAGE(U:U)*0.9,"Low risk",TRUE,"Medium risk"),"N/A")</f>
        <v>Medium risk</v>
      </c>
      <c r="Z297" t="str" cm="1">
        <f t="array" ref="Z297">IFERROR(_xlfn.IFS(Table1[[#This Row],[Total charges]]&gt;=AVERAGE(V:V)*1.1,"High risk",Table1[[#This Row],[Total charges]]&lt;=AVERAGE(V:V)*0.9,"Low risk",TRUE,"Medium risk"),"N/A")</f>
        <v>High risk</v>
      </c>
      <c r="AA2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7" t="str" cm="1">
        <f t="array" ref="AC297">_xlfn.IFS(
AND(Table1[[#This Row],[Customer service risk level]]="High risk", Table1[[#This Row],[Intl usage behaviour]]="Unplanned Usage"),"High Risk",
OR(Table1[[#This Row],[Customer service risk level]]="Medium risk", Table1[[#This Row],[Charges risk level]]="High risk "),"Medium Risk",
TRUE,"Low Risk"
)</f>
        <v>Low Risk</v>
      </c>
    </row>
    <row r="298" spans="1:29" x14ac:dyDescent="0.25">
      <c r="A298" t="s">
        <v>59</v>
      </c>
      <c r="B298">
        <v>103</v>
      </c>
      <c r="C298">
        <v>415</v>
      </c>
      <c r="D298" t="s">
        <v>21</v>
      </c>
      <c r="E298" t="s">
        <v>21</v>
      </c>
      <c r="F298">
        <v>0</v>
      </c>
      <c r="G298">
        <v>189.8</v>
      </c>
      <c r="H298">
        <v>110</v>
      </c>
      <c r="I298">
        <v>32.270000000000003</v>
      </c>
      <c r="J298">
        <v>115.5</v>
      </c>
      <c r="K298">
        <v>83</v>
      </c>
      <c r="L298">
        <v>9.82</v>
      </c>
      <c r="M298">
        <v>191.3</v>
      </c>
      <c r="N298">
        <v>103</v>
      </c>
      <c r="O298">
        <v>8.61</v>
      </c>
      <c r="P298">
        <v>12.2</v>
      </c>
      <c r="Q298">
        <v>4</v>
      </c>
      <c r="R298">
        <v>3.29</v>
      </c>
      <c r="S298">
        <v>0</v>
      </c>
      <c r="T298" t="b">
        <v>0</v>
      </c>
      <c r="U298">
        <f>IFERROR(SUM(Table1[[#This Row],[Total day minutes]],Table1[[#This Row],[Total eve minutes]],Table1[[#This Row],[Total night minutes]],Table1[[#This Row],[Total intl minutes]]),0)</f>
        <v>508.8</v>
      </c>
      <c r="V298">
        <f>SUM(Table1[[#This Row],[Total intl charge]],Table1[[#This Row],[Total night charge]],Table1[[#This Row],[Total eve charge]],Table1[[#This Row],[Total day charge]])</f>
        <v>53.99</v>
      </c>
      <c r="W298">
        <f>SUM(Table1[[#This Row],[Total intl calls]],Table1[[#This Row],[Total night calls]],Table1[[#This Row],[Total eve calls]],Table1[[#This Row],[Total day calls]])</f>
        <v>300</v>
      </c>
      <c r="X298" t="str" cm="1">
        <f t="array" ref="X298">_xlfn.IFS(Table1[[#This Row],[Customer service calls]]&gt;=4,"High risk",Table1[[#This Row],[Customer service calls]]&gt;=2,"Medium risk",TRUE,"Low risk")</f>
        <v>Low risk</v>
      </c>
      <c r="Y298" t="str" cm="1">
        <f t="array" ref="Y298">IFERROR(_xlfn.IFS(Table1[[#This Row],[Total usage(Min)]]&gt;=AVERAGE(U:U)*1.1,"High risk",Table1[[#This Row],[Total usage(Min)]]&lt;= AVERAGE(U:U)*0.9,"Low risk",TRUE,"Medium risk"),"N/A")</f>
        <v>Low risk</v>
      </c>
      <c r="Z298" t="str" cm="1">
        <f t="array" ref="Z298">IFERROR(_xlfn.IFS(Table1[[#This Row],[Total charges]]&gt;=AVERAGE(V:V)*1.1,"High risk",Table1[[#This Row],[Total charges]]&lt;=AVERAGE(V:V)*0.9,"Low risk",TRUE,"Medium risk"),"N/A")</f>
        <v>Medium risk</v>
      </c>
      <c r="AA2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8" t="str" cm="1">
        <f t="array" ref="AC298">_xlfn.IFS(
AND(Table1[[#This Row],[Customer service risk level]]="High risk", Table1[[#This Row],[Intl usage behaviour]]="Unplanned Usage"),"High Risk",
OR(Table1[[#This Row],[Customer service risk level]]="Medium risk", Table1[[#This Row],[Charges risk level]]="High risk "),"Medium Risk",
TRUE,"Low Risk"
)</f>
        <v>Low Risk</v>
      </c>
    </row>
    <row r="299" spans="1:29" x14ac:dyDescent="0.25">
      <c r="A299" t="s">
        <v>31</v>
      </c>
      <c r="B299">
        <v>112</v>
      </c>
      <c r="C299">
        <v>408</v>
      </c>
      <c r="D299" t="s">
        <v>21</v>
      </c>
      <c r="E299" t="s">
        <v>21</v>
      </c>
      <c r="F299">
        <v>0</v>
      </c>
      <c r="G299">
        <v>167.8</v>
      </c>
      <c r="H299">
        <v>88</v>
      </c>
      <c r="I299">
        <v>28.53</v>
      </c>
      <c r="J299">
        <v>247.9</v>
      </c>
      <c r="K299">
        <v>81</v>
      </c>
      <c r="L299">
        <v>21.07</v>
      </c>
      <c r="M299">
        <v>155.1</v>
      </c>
      <c r="N299">
        <v>108</v>
      </c>
      <c r="O299">
        <v>6.98</v>
      </c>
      <c r="P299">
        <v>11.9</v>
      </c>
      <c r="Q299">
        <v>4</v>
      </c>
      <c r="R299">
        <v>3.21</v>
      </c>
      <c r="S299">
        <v>0</v>
      </c>
      <c r="T299" t="b">
        <v>0</v>
      </c>
      <c r="U299">
        <f>IFERROR(SUM(Table1[[#This Row],[Total day minutes]],Table1[[#This Row],[Total eve minutes]],Table1[[#This Row],[Total night minutes]],Table1[[#This Row],[Total intl minutes]]),0)</f>
        <v>582.70000000000005</v>
      </c>
      <c r="V299">
        <f>SUM(Table1[[#This Row],[Total intl charge]],Table1[[#This Row],[Total night charge]],Table1[[#This Row],[Total eve charge]],Table1[[#This Row],[Total day charge]])</f>
        <v>59.790000000000006</v>
      </c>
      <c r="W299">
        <f>SUM(Table1[[#This Row],[Total intl calls]],Table1[[#This Row],[Total night calls]],Table1[[#This Row],[Total eve calls]],Table1[[#This Row],[Total day calls]])</f>
        <v>281</v>
      </c>
      <c r="X299" t="str" cm="1">
        <f t="array" ref="X299">_xlfn.IFS(Table1[[#This Row],[Customer service calls]]&gt;=4,"High risk",Table1[[#This Row],[Customer service calls]]&gt;=2,"Medium risk",TRUE,"Low risk")</f>
        <v>Low risk</v>
      </c>
      <c r="Y299" t="str" cm="1">
        <f t="array" ref="Y299">IFERROR(_xlfn.IFS(Table1[[#This Row],[Total usage(Min)]]&gt;=AVERAGE(U:U)*1.1,"High risk",Table1[[#This Row],[Total usage(Min)]]&lt;= AVERAGE(U:U)*0.9,"Low risk",TRUE,"Medium risk"),"N/A")</f>
        <v>Medium risk</v>
      </c>
      <c r="Z299" t="str" cm="1">
        <f t="array" ref="Z299">IFERROR(_xlfn.IFS(Table1[[#This Row],[Total charges]]&gt;=AVERAGE(V:V)*1.1,"High risk",Table1[[#This Row],[Total charges]]&lt;=AVERAGE(V:V)*0.9,"Low risk",TRUE,"Medium risk"),"N/A")</f>
        <v>Medium risk</v>
      </c>
      <c r="AA2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29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299" t="str" cm="1">
        <f t="array" ref="AC299">_xlfn.IFS(
AND(Table1[[#This Row],[Customer service risk level]]="High risk", Table1[[#This Row],[Intl usage behaviour]]="Unplanned Usage"),"High Risk",
OR(Table1[[#This Row],[Customer service risk level]]="Medium risk", Table1[[#This Row],[Charges risk level]]="High risk "),"Medium Risk",
TRUE,"Low Risk"
)</f>
        <v>Low Risk</v>
      </c>
    </row>
    <row r="300" spans="1:29" x14ac:dyDescent="0.25">
      <c r="A300" t="s">
        <v>34</v>
      </c>
      <c r="B300">
        <v>125</v>
      </c>
      <c r="C300">
        <v>510</v>
      </c>
      <c r="D300" t="s">
        <v>21</v>
      </c>
      <c r="E300" t="s">
        <v>21</v>
      </c>
      <c r="F300">
        <v>0</v>
      </c>
      <c r="G300">
        <v>143.19999999999999</v>
      </c>
      <c r="H300">
        <v>80</v>
      </c>
      <c r="I300">
        <v>24.34</v>
      </c>
      <c r="J300">
        <v>88.1</v>
      </c>
      <c r="K300">
        <v>94</v>
      </c>
      <c r="L300">
        <v>7.49</v>
      </c>
      <c r="M300">
        <v>233.2</v>
      </c>
      <c r="N300">
        <v>135</v>
      </c>
      <c r="O300">
        <v>10.49</v>
      </c>
      <c r="P300">
        <v>8.8000000000000007</v>
      </c>
      <c r="Q300">
        <v>7</v>
      </c>
      <c r="R300">
        <v>2.38</v>
      </c>
      <c r="S300">
        <v>4</v>
      </c>
      <c r="T300" t="b">
        <v>1</v>
      </c>
      <c r="U300">
        <f>IFERROR(SUM(Table1[[#This Row],[Total day minutes]],Table1[[#This Row],[Total eve minutes]],Table1[[#This Row],[Total night minutes]],Table1[[#This Row],[Total intl minutes]]),0)</f>
        <v>473.3</v>
      </c>
      <c r="V300">
        <f>SUM(Table1[[#This Row],[Total intl charge]],Table1[[#This Row],[Total night charge]],Table1[[#This Row],[Total eve charge]],Table1[[#This Row],[Total day charge]])</f>
        <v>44.7</v>
      </c>
      <c r="W300">
        <f>SUM(Table1[[#This Row],[Total intl calls]],Table1[[#This Row],[Total night calls]],Table1[[#This Row],[Total eve calls]],Table1[[#This Row],[Total day calls]])</f>
        <v>316</v>
      </c>
      <c r="X300" t="str" cm="1">
        <f t="array" ref="X300">_xlfn.IFS(Table1[[#This Row],[Customer service calls]]&gt;=4,"High risk",Table1[[#This Row],[Customer service calls]]&gt;=2,"Medium risk",TRUE,"Low risk")</f>
        <v>High risk</v>
      </c>
      <c r="Y300" t="str" cm="1">
        <f t="array" ref="Y300">IFERROR(_xlfn.IFS(Table1[[#This Row],[Total usage(Min)]]&gt;=AVERAGE(U:U)*1.1,"High risk",Table1[[#This Row],[Total usage(Min)]]&lt;= AVERAGE(U:U)*0.9,"Low risk",TRUE,"Medium risk"),"N/A")</f>
        <v>Low risk</v>
      </c>
      <c r="Z300" t="str" cm="1">
        <f t="array" ref="Z300">IFERROR(_xlfn.IFS(Table1[[#This Row],[Total charges]]&gt;=AVERAGE(V:V)*1.1,"High risk",Table1[[#This Row],[Total charges]]&lt;=AVERAGE(V:V)*0.9,"Low risk",TRUE,"Medium risk"),"N/A")</f>
        <v>Low risk</v>
      </c>
      <c r="AA3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0" t="str" cm="1">
        <f t="array" ref="AC300">_xlfn.IFS(
AND(Table1[[#This Row],[Customer service risk level]]="High risk", Table1[[#This Row],[Intl usage behaviour]]="Unplanned Usage"),"High Risk",
OR(Table1[[#This Row],[Customer service risk level]]="Medium risk", Table1[[#This Row],[Charges risk level]]="High risk "),"Medium Risk",
TRUE,"Low Risk"
)</f>
        <v>High Risk</v>
      </c>
    </row>
    <row r="301" spans="1:29" x14ac:dyDescent="0.25">
      <c r="A301" t="s">
        <v>49</v>
      </c>
      <c r="B301">
        <v>73</v>
      </c>
      <c r="C301">
        <v>415</v>
      </c>
      <c r="D301" t="s">
        <v>21</v>
      </c>
      <c r="E301" t="s">
        <v>27</v>
      </c>
      <c r="F301">
        <v>31</v>
      </c>
      <c r="G301">
        <v>82.3</v>
      </c>
      <c r="H301">
        <v>105</v>
      </c>
      <c r="I301">
        <v>13.99</v>
      </c>
      <c r="J301">
        <v>256.10000000000002</v>
      </c>
      <c r="K301">
        <v>91</v>
      </c>
      <c r="L301">
        <v>21.77</v>
      </c>
      <c r="M301">
        <v>229.6</v>
      </c>
      <c r="N301">
        <v>98</v>
      </c>
      <c r="O301">
        <v>10.33</v>
      </c>
      <c r="P301">
        <v>11.8</v>
      </c>
      <c r="Q301">
        <v>2</v>
      </c>
      <c r="R301">
        <v>3.19</v>
      </c>
      <c r="S301">
        <v>6</v>
      </c>
      <c r="T301" t="b">
        <v>1</v>
      </c>
      <c r="U301">
        <f>IFERROR(SUM(Table1[[#This Row],[Total day minutes]],Table1[[#This Row],[Total eve minutes]],Table1[[#This Row],[Total night minutes]],Table1[[#This Row],[Total intl minutes]]),0)</f>
        <v>579.79999999999995</v>
      </c>
      <c r="V301">
        <f>SUM(Table1[[#This Row],[Total intl charge]],Table1[[#This Row],[Total night charge]],Table1[[#This Row],[Total eve charge]],Table1[[#This Row],[Total day charge]])</f>
        <v>49.28</v>
      </c>
      <c r="W301">
        <f>SUM(Table1[[#This Row],[Total intl calls]],Table1[[#This Row],[Total night calls]],Table1[[#This Row],[Total eve calls]],Table1[[#This Row],[Total day calls]])</f>
        <v>296</v>
      </c>
      <c r="X301" t="str" cm="1">
        <f t="array" ref="X301">_xlfn.IFS(Table1[[#This Row],[Customer service calls]]&gt;=4,"High risk",Table1[[#This Row],[Customer service calls]]&gt;=2,"Medium risk",TRUE,"Low risk")</f>
        <v>High risk</v>
      </c>
      <c r="Y301" t="str" cm="1">
        <f t="array" ref="Y301">IFERROR(_xlfn.IFS(Table1[[#This Row],[Total usage(Min)]]&gt;=AVERAGE(U:U)*1.1,"High risk",Table1[[#This Row],[Total usage(Min)]]&lt;= AVERAGE(U:U)*0.9,"Low risk",TRUE,"Medium risk"),"N/A")</f>
        <v>Medium risk</v>
      </c>
      <c r="Z301" t="str" cm="1">
        <f t="array" ref="Z301">IFERROR(_xlfn.IFS(Table1[[#This Row],[Total charges]]&gt;=AVERAGE(V:V)*1.1,"High risk",Table1[[#This Row],[Total charges]]&lt;=AVERAGE(V:V)*0.9,"Low risk",TRUE,"Medium risk"),"N/A")</f>
        <v>Low risk</v>
      </c>
      <c r="AA3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01" t="str" cm="1">
        <f t="array" ref="AC301">_xlfn.IFS(
AND(Table1[[#This Row],[Customer service risk level]]="High risk", Table1[[#This Row],[Intl usage behaviour]]="Unplanned Usage"),"High Risk",
OR(Table1[[#This Row],[Customer service risk level]]="Medium risk", Table1[[#This Row],[Charges risk level]]="High risk "),"Medium Risk",
TRUE,"Low Risk"
)</f>
        <v>High Risk</v>
      </c>
    </row>
    <row r="302" spans="1:29" x14ac:dyDescent="0.25">
      <c r="A302" t="s">
        <v>46</v>
      </c>
      <c r="B302">
        <v>232</v>
      </c>
      <c r="C302">
        <v>408</v>
      </c>
      <c r="D302" t="s">
        <v>21</v>
      </c>
      <c r="E302" t="s">
        <v>21</v>
      </c>
      <c r="F302">
        <v>0</v>
      </c>
      <c r="G302">
        <v>165.6</v>
      </c>
      <c r="H302">
        <v>104</v>
      </c>
      <c r="I302">
        <v>28.15</v>
      </c>
      <c r="J302">
        <v>195.9</v>
      </c>
      <c r="K302">
        <v>115</v>
      </c>
      <c r="L302">
        <v>16.649999999999999</v>
      </c>
      <c r="M302">
        <v>118.3</v>
      </c>
      <c r="N302">
        <v>77</v>
      </c>
      <c r="O302">
        <v>5.32</v>
      </c>
      <c r="P302">
        <v>11.8</v>
      </c>
      <c r="Q302">
        <v>3</v>
      </c>
      <c r="R302">
        <v>3.19</v>
      </c>
      <c r="S302">
        <v>1</v>
      </c>
      <c r="T302" t="b">
        <v>0</v>
      </c>
      <c r="U302">
        <f>IFERROR(SUM(Table1[[#This Row],[Total day minutes]],Table1[[#This Row],[Total eve minutes]],Table1[[#This Row],[Total night minutes]],Table1[[#This Row],[Total intl minutes]]),0)</f>
        <v>491.6</v>
      </c>
      <c r="V302">
        <f>SUM(Table1[[#This Row],[Total intl charge]],Table1[[#This Row],[Total night charge]],Table1[[#This Row],[Total eve charge]],Table1[[#This Row],[Total day charge]])</f>
        <v>53.309999999999995</v>
      </c>
      <c r="W302">
        <f>SUM(Table1[[#This Row],[Total intl calls]],Table1[[#This Row],[Total night calls]],Table1[[#This Row],[Total eve calls]],Table1[[#This Row],[Total day calls]])</f>
        <v>299</v>
      </c>
      <c r="X302" t="str" cm="1">
        <f t="array" ref="X302">_xlfn.IFS(Table1[[#This Row],[Customer service calls]]&gt;=4,"High risk",Table1[[#This Row],[Customer service calls]]&gt;=2,"Medium risk",TRUE,"Low risk")</f>
        <v>Low risk</v>
      </c>
      <c r="Y302" t="str" cm="1">
        <f t="array" ref="Y302">IFERROR(_xlfn.IFS(Table1[[#This Row],[Total usage(Min)]]&gt;=AVERAGE(U:U)*1.1,"High risk",Table1[[#This Row],[Total usage(Min)]]&lt;= AVERAGE(U:U)*0.9,"Low risk",TRUE,"Medium risk"),"N/A")</f>
        <v>Low risk</v>
      </c>
      <c r="Z302" t="str" cm="1">
        <f t="array" ref="Z302">IFERROR(_xlfn.IFS(Table1[[#This Row],[Total charges]]&gt;=AVERAGE(V:V)*1.1,"High risk",Table1[[#This Row],[Total charges]]&lt;=AVERAGE(V:V)*0.9,"Low risk",TRUE,"Medium risk"),"N/A")</f>
        <v>Low risk</v>
      </c>
      <c r="AA3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2" t="str" cm="1">
        <f t="array" ref="AC302">_xlfn.IFS(
AND(Table1[[#This Row],[Customer service risk level]]="High risk", Table1[[#This Row],[Intl usage behaviour]]="Unplanned Usage"),"High Risk",
OR(Table1[[#This Row],[Customer service risk level]]="Medium risk", Table1[[#This Row],[Charges risk level]]="High risk "),"Medium Risk",
TRUE,"Low Risk"
)</f>
        <v>Low Risk</v>
      </c>
    </row>
    <row r="303" spans="1:29" x14ac:dyDescent="0.25">
      <c r="A303" t="s">
        <v>54</v>
      </c>
      <c r="B303">
        <v>95</v>
      </c>
      <c r="C303">
        <v>408</v>
      </c>
      <c r="D303" t="s">
        <v>21</v>
      </c>
      <c r="E303" t="s">
        <v>27</v>
      </c>
      <c r="F303">
        <v>20</v>
      </c>
      <c r="G303">
        <v>165.7</v>
      </c>
      <c r="H303">
        <v>78</v>
      </c>
      <c r="I303">
        <v>28.17</v>
      </c>
      <c r="J303">
        <v>215.6</v>
      </c>
      <c r="K303">
        <v>94</v>
      </c>
      <c r="L303">
        <v>18.329999999999998</v>
      </c>
      <c r="M303">
        <v>243.3</v>
      </c>
      <c r="N303">
        <v>91</v>
      </c>
      <c r="O303">
        <v>10.95</v>
      </c>
      <c r="P303">
        <v>9.8000000000000007</v>
      </c>
      <c r="Q303">
        <v>6</v>
      </c>
      <c r="R303">
        <v>2.65</v>
      </c>
      <c r="S303">
        <v>0</v>
      </c>
      <c r="T303" t="b">
        <v>0</v>
      </c>
      <c r="U303">
        <f>IFERROR(SUM(Table1[[#This Row],[Total day minutes]],Table1[[#This Row],[Total eve minutes]],Table1[[#This Row],[Total night minutes]],Table1[[#This Row],[Total intl minutes]]),0)</f>
        <v>634.39999999999986</v>
      </c>
      <c r="V303">
        <f>SUM(Table1[[#This Row],[Total intl charge]],Table1[[#This Row],[Total night charge]],Table1[[#This Row],[Total eve charge]],Table1[[#This Row],[Total day charge]])</f>
        <v>60.1</v>
      </c>
      <c r="W303">
        <f>SUM(Table1[[#This Row],[Total intl calls]],Table1[[#This Row],[Total night calls]],Table1[[#This Row],[Total eve calls]],Table1[[#This Row],[Total day calls]])</f>
        <v>269</v>
      </c>
      <c r="X303" t="str" cm="1">
        <f t="array" ref="X303">_xlfn.IFS(Table1[[#This Row],[Customer service calls]]&gt;=4,"High risk",Table1[[#This Row],[Customer service calls]]&gt;=2,"Medium risk",TRUE,"Low risk")</f>
        <v>Low risk</v>
      </c>
      <c r="Y303" t="str" cm="1">
        <f t="array" ref="Y303">IFERROR(_xlfn.IFS(Table1[[#This Row],[Total usage(Min)]]&gt;=AVERAGE(U:U)*1.1,"High risk",Table1[[#This Row],[Total usage(Min)]]&lt;= AVERAGE(U:U)*0.9,"Low risk",TRUE,"Medium risk"),"N/A")</f>
        <v>Medium risk</v>
      </c>
      <c r="Z303" t="str" cm="1">
        <f t="array" ref="Z303">IFERROR(_xlfn.IFS(Table1[[#This Row],[Total charges]]&gt;=AVERAGE(V:V)*1.1,"High risk",Table1[[#This Row],[Total charges]]&lt;=AVERAGE(V:V)*0.9,"Low risk",TRUE,"Medium risk"),"N/A")</f>
        <v>Medium risk</v>
      </c>
      <c r="AA3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03" t="str" cm="1">
        <f t="array" ref="AC303">_xlfn.IFS(
AND(Table1[[#This Row],[Customer service risk level]]="High risk", Table1[[#This Row],[Intl usage behaviour]]="Unplanned Usage"),"High Risk",
OR(Table1[[#This Row],[Customer service risk level]]="Medium risk", Table1[[#This Row],[Charges risk level]]="High risk "),"Medium Risk",
TRUE,"Low Risk"
)</f>
        <v>Low Risk</v>
      </c>
    </row>
    <row r="304" spans="1:29" x14ac:dyDescent="0.25">
      <c r="A304" t="s">
        <v>30</v>
      </c>
      <c r="B304">
        <v>182</v>
      </c>
      <c r="C304">
        <v>415</v>
      </c>
      <c r="D304" t="s">
        <v>21</v>
      </c>
      <c r="E304" t="s">
        <v>21</v>
      </c>
      <c r="F304">
        <v>0</v>
      </c>
      <c r="G304">
        <v>176.1</v>
      </c>
      <c r="H304">
        <v>90</v>
      </c>
      <c r="I304">
        <v>29.94</v>
      </c>
      <c r="J304">
        <v>174.9</v>
      </c>
      <c r="K304">
        <v>106</v>
      </c>
      <c r="L304">
        <v>14.87</v>
      </c>
      <c r="M304">
        <v>234.7</v>
      </c>
      <c r="N304">
        <v>134</v>
      </c>
      <c r="O304">
        <v>10.56</v>
      </c>
      <c r="P304">
        <v>9.6999999999999993</v>
      </c>
      <c r="Q304">
        <v>4</v>
      </c>
      <c r="R304">
        <v>2.62</v>
      </c>
      <c r="S304">
        <v>1</v>
      </c>
      <c r="T304" t="b">
        <v>0</v>
      </c>
      <c r="U304">
        <f>IFERROR(SUM(Table1[[#This Row],[Total day minutes]],Table1[[#This Row],[Total eve minutes]],Table1[[#This Row],[Total night minutes]],Table1[[#This Row],[Total intl minutes]]),0)</f>
        <v>595.40000000000009</v>
      </c>
      <c r="V304">
        <f>SUM(Table1[[#This Row],[Total intl charge]],Table1[[#This Row],[Total night charge]],Table1[[#This Row],[Total eve charge]],Table1[[#This Row],[Total day charge]])</f>
        <v>57.989999999999995</v>
      </c>
      <c r="W304">
        <f>SUM(Table1[[#This Row],[Total intl calls]],Table1[[#This Row],[Total night calls]],Table1[[#This Row],[Total eve calls]],Table1[[#This Row],[Total day calls]])</f>
        <v>334</v>
      </c>
      <c r="X304" t="str" cm="1">
        <f t="array" ref="X304">_xlfn.IFS(Table1[[#This Row],[Customer service calls]]&gt;=4,"High risk",Table1[[#This Row],[Customer service calls]]&gt;=2,"Medium risk",TRUE,"Low risk")</f>
        <v>Low risk</v>
      </c>
      <c r="Y304" t="str" cm="1">
        <f t="array" ref="Y304">IFERROR(_xlfn.IFS(Table1[[#This Row],[Total usage(Min)]]&gt;=AVERAGE(U:U)*1.1,"High risk",Table1[[#This Row],[Total usage(Min)]]&lt;= AVERAGE(U:U)*0.9,"Low risk",TRUE,"Medium risk"),"N/A")</f>
        <v>Medium risk</v>
      </c>
      <c r="Z304" t="str" cm="1">
        <f t="array" ref="Z304">IFERROR(_xlfn.IFS(Table1[[#This Row],[Total charges]]&gt;=AVERAGE(V:V)*1.1,"High risk",Table1[[#This Row],[Total charges]]&lt;=AVERAGE(V:V)*0.9,"Low risk",TRUE,"Medium risk"),"N/A")</f>
        <v>Medium risk</v>
      </c>
      <c r="AA3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4" t="str" cm="1">
        <f t="array" ref="AC304">_xlfn.IFS(
AND(Table1[[#This Row],[Customer service risk level]]="High risk", Table1[[#This Row],[Intl usage behaviour]]="Unplanned Usage"),"High Risk",
OR(Table1[[#This Row],[Customer service risk level]]="Medium risk", Table1[[#This Row],[Charges risk level]]="High risk "),"Medium Risk",
TRUE,"Low Risk"
)</f>
        <v>Low Risk</v>
      </c>
    </row>
    <row r="305" spans="1:29" x14ac:dyDescent="0.25">
      <c r="A305" t="s">
        <v>46</v>
      </c>
      <c r="B305">
        <v>55</v>
      </c>
      <c r="C305">
        <v>510</v>
      </c>
      <c r="D305" t="s">
        <v>21</v>
      </c>
      <c r="E305" t="s">
        <v>21</v>
      </c>
      <c r="F305">
        <v>0</v>
      </c>
      <c r="G305">
        <v>119.7</v>
      </c>
      <c r="H305">
        <v>148</v>
      </c>
      <c r="I305">
        <v>20.350000000000001</v>
      </c>
      <c r="J305">
        <v>231.8</v>
      </c>
      <c r="K305">
        <v>96</v>
      </c>
      <c r="L305">
        <v>19.7</v>
      </c>
      <c r="M305">
        <v>222.3</v>
      </c>
      <c r="N305">
        <v>113</v>
      </c>
      <c r="O305">
        <v>10</v>
      </c>
      <c r="P305">
        <v>4.5999999999999996</v>
      </c>
      <c r="Q305">
        <v>2</v>
      </c>
      <c r="R305">
        <v>1.24</v>
      </c>
      <c r="S305">
        <v>2</v>
      </c>
      <c r="T305" t="b">
        <v>0</v>
      </c>
      <c r="U305">
        <f>IFERROR(SUM(Table1[[#This Row],[Total day minutes]],Table1[[#This Row],[Total eve minutes]],Table1[[#This Row],[Total night minutes]],Table1[[#This Row],[Total intl minutes]]),0)</f>
        <v>578.4</v>
      </c>
      <c r="V305">
        <f>SUM(Table1[[#This Row],[Total intl charge]],Table1[[#This Row],[Total night charge]],Table1[[#This Row],[Total eve charge]],Table1[[#This Row],[Total day charge]])</f>
        <v>51.29</v>
      </c>
      <c r="W305">
        <f>SUM(Table1[[#This Row],[Total intl calls]],Table1[[#This Row],[Total night calls]],Table1[[#This Row],[Total eve calls]],Table1[[#This Row],[Total day calls]])</f>
        <v>359</v>
      </c>
      <c r="X305" t="str" cm="1">
        <f t="array" ref="X305">_xlfn.IFS(Table1[[#This Row],[Customer service calls]]&gt;=4,"High risk",Table1[[#This Row],[Customer service calls]]&gt;=2,"Medium risk",TRUE,"Low risk")</f>
        <v>Medium risk</v>
      </c>
      <c r="Y305" t="str" cm="1">
        <f t="array" ref="Y305">IFERROR(_xlfn.IFS(Table1[[#This Row],[Total usage(Min)]]&gt;=AVERAGE(U:U)*1.1,"High risk",Table1[[#This Row],[Total usage(Min)]]&lt;= AVERAGE(U:U)*0.9,"Low risk",TRUE,"Medium risk"),"N/A")</f>
        <v>Medium risk</v>
      </c>
      <c r="Z305" t="str" cm="1">
        <f t="array" ref="Z305">IFERROR(_xlfn.IFS(Table1[[#This Row],[Total charges]]&gt;=AVERAGE(V:V)*1.1,"High risk",Table1[[#This Row],[Total charges]]&lt;=AVERAGE(V:V)*0.9,"Low risk",TRUE,"Medium risk"),"N/A")</f>
        <v>Low risk</v>
      </c>
      <c r="AA3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5" t="str" cm="1">
        <f t="array" ref="AC305">_xlfn.IFS(
AND(Table1[[#This Row],[Customer service risk level]]="High risk", Table1[[#This Row],[Intl usage behaviour]]="Unplanned Usage"),"High Risk",
OR(Table1[[#This Row],[Customer service risk level]]="Medium risk", Table1[[#This Row],[Charges risk level]]="High risk "),"Medium Risk",
TRUE,"Low Risk"
)</f>
        <v>Medium Risk</v>
      </c>
    </row>
    <row r="306" spans="1:29" x14ac:dyDescent="0.25">
      <c r="A306" t="s">
        <v>30</v>
      </c>
      <c r="B306">
        <v>86</v>
      </c>
      <c r="C306">
        <v>415</v>
      </c>
      <c r="D306" t="s">
        <v>21</v>
      </c>
      <c r="E306" t="s">
        <v>27</v>
      </c>
      <c r="F306">
        <v>30</v>
      </c>
      <c r="G306">
        <v>99.9</v>
      </c>
      <c r="H306">
        <v>84</v>
      </c>
      <c r="I306">
        <v>16.98</v>
      </c>
      <c r="J306">
        <v>263.5</v>
      </c>
      <c r="K306">
        <v>125</v>
      </c>
      <c r="L306">
        <v>22.4</v>
      </c>
      <c r="M306">
        <v>254.7</v>
      </c>
      <c r="N306">
        <v>90</v>
      </c>
      <c r="O306">
        <v>11.46</v>
      </c>
      <c r="P306">
        <v>9.8000000000000007</v>
      </c>
      <c r="Q306">
        <v>7</v>
      </c>
      <c r="R306">
        <v>2.65</v>
      </c>
      <c r="S306">
        <v>2</v>
      </c>
      <c r="T306" t="b">
        <v>0</v>
      </c>
      <c r="U306">
        <f>IFERROR(SUM(Table1[[#This Row],[Total day minutes]],Table1[[#This Row],[Total eve minutes]],Table1[[#This Row],[Total night minutes]],Table1[[#This Row],[Total intl minutes]]),0)</f>
        <v>627.89999999999986</v>
      </c>
      <c r="V306">
        <f>SUM(Table1[[#This Row],[Total intl charge]],Table1[[#This Row],[Total night charge]],Table1[[#This Row],[Total eve charge]],Table1[[#This Row],[Total day charge]])</f>
        <v>53.489999999999995</v>
      </c>
      <c r="W306">
        <f>SUM(Table1[[#This Row],[Total intl calls]],Table1[[#This Row],[Total night calls]],Table1[[#This Row],[Total eve calls]],Table1[[#This Row],[Total day calls]])</f>
        <v>306</v>
      </c>
      <c r="X306" t="str" cm="1">
        <f t="array" ref="X306">_xlfn.IFS(Table1[[#This Row],[Customer service calls]]&gt;=4,"High risk",Table1[[#This Row],[Customer service calls]]&gt;=2,"Medium risk",TRUE,"Low risk")</f>
        <v>Medium risk</v>
      </c>
      <c r="Y306" t="str" cm="1">
        <f t="array" ref="Y306">IFERROR(_xlfn.IFS(Table1[[#This Row],[Total usage(Min)]]&gt;=AVERAGE(U:U)*1.1,"High risk",Table1[[#This Row],[Total usage(Min)]]&lt;= AVERAGE(U:U)*0.9,"Low risk",TRUE,"Medium risk"),"N/A")</f>
        <v>Medium risk</v>
      </c>
      <c r="Z306" t="str" cm="1">
        <f t="array" ref="Z306">IFERROR(_xlfn.IFS(Table1[[#This Row],[Total charges]]&gt;=AVERAGE(V:V)*1.1,"High risk",Table1[[#This Row],[Total charges]]&lt;=AVERAGE(V:V)*0.9,"Low risk",TRUE,"Medium risk"),"N/A")</f>
        <v>Low risk</v>
      </c>
      <c r="AA3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06" t="str" cm="1">
        <f t="array" ref="AC306">_xlfn.IFS(
AND(Table1[[#This Row],[Customer service risk level]]="High risk", Table1[[#This Row],[Intl usage behaviour]]="Unplanned Usage"),"High Risk",
OR(Table1[[#This Row],[Customer service risk level]]="Medium risk", Table1[[#This Row],[Charges risk level]]="High risk "),"Medium Risk",
TRUE,"Low Risk"
)</f>
        <v>Medium Risk</v>
      </c>
    </row>
    <row r="307" spans="1:29" x14ac:dyDescent="0.25">
      <c r="A307" t="s">
        <v>64</v>
      </c>
      <c r="B307">
        <v>127</v>
      </c>
      <c r="C307">
        <v>510</v>
      </c>
      <c r="D307" t="s">
        <v>21</v>
      </c>
      <c r="E307" t="s">
        <v>21</v>
      </c>
      <c r="F307">
        <v>0</v>
      </c>
      <c r="G307">
        <v>239.8</v>
      </c>
      <c r="H307">
        <v>107</v>
      </c>
      <c r="I307">
        <v>40.770000000000003</v>
      </c>
      <c r="J307">
        <v>128.9</v>
      </c>
      <c r="K307">
        <v>121</v>
      </c>
      <c r="L307">
        <v>10.96</v>
      </c>
      <c r="M307">
        <v>249.9</v>
      </c>
      <c r="N307">
        <v>110</v>
      </c>
      <c r="O307">
        <v>11.25</v>
      </c>
      <c r="P307">
        <v>11.3</v>
      </c>
      <c r="Q307">
        <v>5</v>
      </c>
      <c r="R307">
        <v>3.05</v>
      </c>
      <c r="S307">
        <v>1</v>
      </c>
      <c r="T307" t="b">
        <v>0</v>
      </c>
      <c r="U307">
        <f>IFERROR(SUM(Table1[[#This Row],[Total day minutes]],Table1[[#This Row],[Total eve minutes]],Table1[[#This Row],[Total night minutes]],Table1[[#This Row],[Total intl minutes]]),0)</f>
        <v>629.9</v>
      </c>
      <c r="V307">
        <f>SUM(Table1[[#This Row],[Total intl charge]],Table1[[#This Row],[Total night charge]],Table1[[#This Row],[Total eve charge]],Table1[[#This Row],[Total day charge]])</f>
        <v>66.03</v>
      </c>
      <c r="W307">
        <f>SUM(Table1[[#This Row],[Total intl calls]],Table1[[#This Row],[Total night calls]],Table1[[#This Row],[Total eve calls]],Table1[[#This Row],[Total day calls]])</f>
        <v>343</v>
      </c>
      <c r="X307" t="str" cm="1">
        <f t="array" ref="X307">_xlfn.IFS(Table1[[#This Row],[Customer service calls]]&gt;=4,"High risk",Table1[[#This Row],[Customer service calls]]&gt;=2,"Medium risk",TRUE,"Low risk")</f>
        <v>Low risk</v>
      </c>
      <c r="Y307" t="str" cm="1">
        <f t="array" ref="Y307">IFERROR(_xlfn.IFS(Table1[[#This Row],[Total usage(Min)]]&gt;=AVERAGE(U:U)*1.1,"High risk",Table1[[#This Row],[Total usage(Min)]]&lt;= AVERAGE(U:U)*0.9,"Low risk",TRUE,"Medium risk"),"N/A")</f>
        <v>Medium risk</v>
      </c>
      <c r="Z307" t="str" cm="1">
        <f t="array" ref="Z307">IFERROR(_xlfn.IFS(Table1[[#This Row],[Total charges]]&gt;=AVERAGE(V:V)*1.1,"High risk",Table1[[#This Row],[Total charges]]&lt;=AVERAGE(V:V)*0.9,"Low risk",TRUE,"Medium risk"),"N/A")</f>
        <v>High risk</v>
      </c>
      <c r="AA3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7" t="str" cm="1">
        <f t="array" ref="AC307">_xlfn.IFS(
AND(Table1[[#This Row],[Customer service risk level]]="High risk", Table1[[#This Row],[Intl usage behaviour]]="Unplanned Usage"),"High Risk",
OR(Table1[[#This Row],[Customer service risk level]]="Medium risk", Table1[[#This Row],[Charges risk level]]="High risk "),"Medium Risk",
TRUE,"Low Risk"
)</f>
        <v>Low Risk</v>
      </c>
    </row>
    <row r="308" spans="1:29" x14ac:dyDescent="0.25">
      <c r="A308" t="s">
        <v>70</v>
      </c>
      <c r="B308">
        <v>63</v>
      </c>
      <c r="C308">
        <v>415</v>
      </c>
      <c r="D308" t="s">
        <v>21</v>
      </c>
      <c r="E308" t="s">
        <v>21</v>
      </c>
      <c r="F308">
        <v>0</v>
      </c>
      <c r="G308">
        <v>164.5</v>
      </c>
      <c r="H308">
        <v>75</v>
      </c>
      <c r="I308">
        <v>27.97</v>
      </c>
      <c r="J308">
        <v>147.9</v>
      </c>
      <c r="K308">
        <v>118</v>
      </c>
      <c r="L308">
        <v>12.57</v>
      </c>
      <c r="M308">
        <v>252.7</v>
      </c>
      <c r="N308">
        <v>97</v>
      </c>
      <c r="O308">
        <v>11.37</v>
      </c>
      <c r="P308">
        <v>11.2</v>
      </c>
      <c r="Q308">
        <v>2</v>
      </c>
      <c r="R308">
        <v>3.02</v>
      </c>
      <c r="S308">
        <v>0</v>
      </c>
      <c r="T308" t="b">
        <v>0</v>
      </c>
      <c r="U308">
        <f>IFERROR(SUM(Table1[[#This Row],[Total day minutes]],Table1[[#This Row],[Total eve minutes]],Table1[[#This Row],[Total night minutes]],Table1[[#This Row],[Total intl minutes]]),0)</f>
        <v>576.29999999999995</v>
      </c>
      <c r="V308">
        <f>SUM(Table1[[#This Row],[Total intl charge]],Table1[[#This Row],[Total night charge]],Table1[[#This Row],[Total eve charge]],Table1[[#This Row],[Total day charge]])</f>
        <v>54.93</v>
      </c>
      <c r="W308">
        <f>SUM(Table1[[#This Row],[Total intl calls]],Table1[[#This Row],[Total night calls]],Table1[[#This Row],[Total eve calls]],Table1[[#This Row],[Total day calls]])</f>
        <v>292</v>
      </c>
      <c r="X308" t="str" cm="1">
        <f t="array" ref="X308">_xlfn.IFS(Table1[[#This Row],[Customer service calls]]&gt;=4,"High risk",Table1[[#This Row],[Customer service calls]]&gt;=2,"Medium risk",TRUE,"Low risk")</f>
        <v>Low risk</v>
      </c>
      <c r="Y308" t="str" cm="1">
        <f t="array" ref="Y308">IFERROR(_xlfn.IFS(Table1[[#This Row],[Total usage(Min)]]&gt;=AVERAGE(U:U)*1.1,"High risk",Table1[[#This Row],[Total usage(Min)]]&lt;= AVERAGE(U:U)*0.9,"Low risk",TRUE,"Medium risk"),"N/A")</f>
        <v>Medium risk</v>
      </c>
      <c r="Z308" t="str" cm="1">
        <f t="array" ref="Z308">IFERROR(_xlfn.IFS(Table1[[#This Row],[Total charges]]&gt;=AVERAGE(V:V)*1.1,"High risk",Table1[[#This Row],[Total charges]]&lt;=AVERAGE(V:V)*0.9,"Low risk",TRUE,"Medium risk"),"N/A")</f>
        <v>Medium risk</v>
      </c>
      <c r="AA3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8" t="str" cm="1">
        <f t="array" ref="AC308">_xlfn.IFS(
AND(Table1[[#This Row],[Customer service risk level]]="High risk", Table1[[#This Row],[Intl usage behaviour]]="Unplanned Usage"),"High Risk",
OR(Table1[[#This Row],[Customer service risk level]]="Medium risk", Table1[[#This Row],[Charges risk level]]="High risk "),"Medium Risk",
TRUE,"Low Risk"
)</f>
        <v>Low Risk</v>
      </c>
    </row>
    <row r="309" spans="1:29" x14ac:dyDescent="0.25">
      <c r="A309" t="s">
        <v>28</v>
      </c>
      <c r="B309">
        <v>79</v>
      </c>
      <c r="C309">
        <v>510</v>
      </c>
      <c r="D309" t="s">
        <v>21</v>
      </c>
      <c r="E309" t="s">
        <v>21</v>
      </c>
      <c r="F309">
        <v>0</v>
      </c>
      <c r="G309">
        <v>220.9</v>
      </c>
      <c r="H309">
        <v>107</v>
      </c>
      <c r="I309">
        <v>37.549999999999997</v>
      </c>
      <c r="J309">
        <v>192.2</v>
      </c>
      <c r="K309">
        <v>97</v>
      </c>
      <c r="L309">
        <v>16.34</v>
      </c>
      <c r="M309">
        <v>161</v>
      </c>
      <c r="N309">
        <v>74</v>
      </c>
      <c r="O309">
        <v>7.25</v>
      </c>
      <c r="P309">
        <v>12.2</v>
      </c>
      <c r="Q309">
        <v>2</v>
      </c>
      <c r="R309">
        <v>3.29</v>
      </c>
      <c r="S309">
        <v>1</v>
      </c>
      <c r="T309" t="b">
        <v>0</v>
      </c>
      <c r="U309">
        <f>IFERROR(SUM(Table1[[#This Row],[Total day minutes]],Table1[[#This Row],[Total eve minutes]],Table1[[#This Row],[Total night minutes]],Table1[[#This Row],[Total intl minutes]]),0)</f>
        <v>586.30000000000007</v>
      </c>
      <c r="V309">
        <f>SUM(Table1[[#This Row],[Total intl charge]],Table1[[#This Row],[Total night charge]],Table1[[#This Row],[Total eve charge]],Table1[[#This Row],[Total day charge]])</f>
        <v>64.429999999999993</v>
      </c>
      <c r="W309">
        <f>SUM(Table1[[#This Row],[Total intl calls]],Table1[[#This Row],[Total night calls]],Table1[[#This Row],[Total eve calls]],Table1[[#This Row],[Total day calls]])</f>
        <v>280</v>
      </c>
      <c r="X309" t="str" cm="1">
        <f t="array" ref="X309">_xlfn.IFS(Table1[[#This Row],[Customer service calls]]&gt;=4,"High risk",Table1[[#This Row],[Customer service calls]]&gt;=2,"Medium risk",TRUE,"Low risk")</f>
        <v>Low risk</v>
      </c>
      <c r="Y309" t="str" cm="1">
        <f t="array" ref="Y309">IFERROR(_xlfn.IFS(Table1[[#This Row],[Total usage(Min)]]&gt;=AVERAGE(U:U)*1.1,"High risk",Table1[[#This Row],[Total usage(Min)]]&lt;= AVERAGE(U:U)*0.9,"Low risk",TRUE,"Medium risk"),"N/A")</f>
        <v>Medium risk</v>
      </c>
      <c r="Z309" t="str" cm="1">
        <f t="array" ref="Z309">IFERROR(_xlfn.IFS(Table1[[#This Row],[Total charges]]&gt;=AVERAGE(V:V)*1.1,"High risk",Table1[[#This Row],[Total charges]]&lt;=AVERAGE(V:V)*0.9,"Low risk",TRUE,"Medium risk"),"N/A")</f>
        <v>Medium risk</v>
      </c>
      <c r="AA3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0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09" t="str" cm="1">
        <f t="array" ref="AC309">_xlfn.IFS(
AND(Table1[[#This Row],[Customer service risk level]]="High risk", Table1[[#This Row],[Intl usage behaviour]]="Unplanned Usage"),"High Risk",
OR(Table1[[#This Row],[Customer service risk level]]="Medium risk", Table1[[#This Row],[Charges risk level]]="High risk "),"Medium Risk",
TRUE,"Low Risk"
)</f>
        <v>Low Risk</v>
      </c>
    </row>
    <row r="310" spans="1:29" x14ac:dyDescent="0.25">
      <c r="A310" t="s">
        <v>20</v>
      </c>
      <c r="B310">
        <v>111</v>
      </c>
      <c r="C310">
        <v>415</v>
      </c>
      <c r="D310" t="s">
        <v>21</v>
      </c>
      <c r="E310" t="s">
        <v>27</v>
      </c>
      <c r="F310">
        <v>28</v>
      </c>
      <c r="G310">
        <v>128.80000000000001</v>
      </c>
      <c r="H310">
        <v>104</v>
      </c>
      <c r="I310">
        <v>21.9</v>
      </c>
      <c r="J310">
        <v>157.30000000000001</v>
      </c>
      <c r="K310">
        <v>52</v>
      </c>
      <c r="L310">
        <v>13.37</v>
      </c>
      <c r="M310">
        <v>147.4</v>
      </c>
      <c r="N310">
        <v>76</v>
      </c>
      <c r="O310">
        <v>6.63</v>
      </c>
      <c r="P310">
        <v>10.3</v>
      </c>
      <c r="Q310">
        <v>2</v>
      </c>
      <c r="R310">
        <v>2.78</v>
      </c>
      <c r="S310">
        <v>2</v>
      </c>
      <c r="T310" t="b">
        <v>0</v>
      </c>
      <c r="U310">
        <f>IFERROR(SUM(Table1[[#This Row],[Total day minutes]],Table1[[#This Row],[Total eve minutes]],Table1[[#This Row],[Total night minutes]],Table1[[#This Row],[Total intl minutes]]),0)</f>
        <v>443.8</v>
      </c>
      <c r="V310">
        <f>SUM(Table1[[#This Row],[Total intl charge]],Table1[[#This Row],[Total night charge]],Table1[[#This Row],[Total eve charge]],Table1[[#This Row],[Total day charge]])</f>
        <v>44.68</v>
      </c>
      <c r="W310">
        <f>SUM(Table1[[#This Row],[Total intl calls]],Table1[[#This Row],[Total night calls]],Table1[[#This Row],[Total eve calls]],Table1[[#This Row],[Total day calls]])</f>
        <v>234</v>
      </c>
      <c r="X310" t="str" cm="1">
        <f t="array" ref="X310">_xlfn.IFS(Table1[[#This Row],[Customer service calls]]&gt;=4,"High risk",Table1[[#This Row],[Customer service calls]]&gt;=2,"Medium risk",TRUE,"Low risk")</f>
        <v>Medium risk</v>
      </c>
      <c r="Y310" t="str" cm="1">
        <f t="array" ref="Y310">IFERROR(_xlfn.IFS(Table1[[#This Row],[Total usage(Min)]]&gt;=AVERAGE(U:U)*1.1,"High risk",Table1[[#This Row],[Total usage(Min)]]&lt;= AVERAGE(U:U)*0.9,"Low risk",TRUE,"Medium risk"),"N/A")</f>
        <v>Low risk</v>
      </c>
      <c r="Z310" t="str" cm="1">
        <f t="array" ref="Z310">IFERROR(_xlfn.IFS(Table1[[#This Row],[Total charges]]&gt;=AVERAGE(V:V)*1.1,"High risk",Table1[[#This Row],[Total charges]]&lt;=AVERAGE(V:V)*0.9,"Low risk",TRUE,"Medium risk"),"N/A")</f>
        <v>Low risk</v>
      </c>
      <c r="AA3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10" t="str" cm="1">
        <f t="array" ref="AC310">_xlfn.IFS(
AND(Table1[[#This Row],[Customer service risk level]]="High risk", Table1[[#This Row],[Intl usage behaviour]]="Unplanned Usage"),"High Risk",
OR(Table1[[#This Row],[Customer service risk level]]="Medium risk", Table1[[#This Row],[Charges risk level]]="High risk "),"Medium Risk",
TRUE,"Low Risk"
)</f>
        <v>Medium Risk</v>
      </c>
    </row>
    <row r="311" spans="1:29" x14ac:dyDescent="0.25">
      <c r="A311" t="s">
        <v>45</v>
      </c>
      <c r="B311">
        <v>121</v>
      </c>
      <c r="C311">
        <v>510</v>
      </c>
      <c r="D311" t="s">
        <v>21</v>
      </c>
      <c r="E311" t="s">
        <v>27</v>
      </c>
      <c r="F311">
        <v>35</v>
      </c>
      <c r="G311">
        <v>193.8</v>
      </c>
      <c r="H311">
        <v>62</v>
      </c>
      <c r="I311">
        <v>32.950000000000003</v>
      </c>
      <c r="J311">
        <v>197.6</v>
      </c>
      <c r="K311">
        <v>97</v>
      </c>
      <c r="L311">
        <v>16.8</v>
      </c>
      <c r="M311">
        <v>218.8</v>
      </c>
      <c r="N311">
        <v>95</v>
      </c>
      <c r="O311">
        <v>9.85</v>
      </c>
      <c r="P311">
        <v>5.9</v>
      </c>
      <c r="Q311">
        <v>4</v>
      </c>
      <c r="R311">
        <v>1.59</v>
      </c>
      <c r="S311">
        <v>0</v>
      </c>
      <c r="T311" t="b">
        <v>0</v>
      </c>
      <c r="U311">
        <f>IFERROR(SUM(Table1[[#This Row],[Total day minutes]],Table1[[#This Row],[Total eve minutes]],Table1[[#This Row],[Total night minutes]],Table1[[#This Row],[Total intl minutes]]),0)</f>
        <v>616.1</v>
      </c>
      <c r="V311">
        <f>SUM(Table1[[#This Row],[Total intl charge]],Table1[[#This Row],[Total night charge]],Table1[[#This Row],[Total eve charge]],Table1[[#This Row],[Total day charge]])</f>
        <v>61.190000000000005</v>
      </c>
      <c r="W311">
        <f>SUM(Table1[[#This Row],[Total intl calls]],Table1[[#This Row],[Total night calls]],Table1[[#This Row],[Total eve calls]],Table1[[#This Row],[Total day calls]])</f>
        <v>258</v>
      </c>
      <c r="X311" t="str" cm="1">
        <f t="array" ref="X311">_xlfn.IFS(Table1[[#This Row],[Customer service calls]]&gt;=4,"High risk",Table1[[#This Row],[Customer service calls]]&gt;=2,"Medium risk",TRUE,"Low risk")</f>
        <v>Low risk</v>
      </c>
      <c r="Y311" t="str" cm="1">
        <f t="array" ref="Y311">IFERROR(_xlfn.IFS(Table1[[#This Row],[Total usage(Min)]]&gt;=AVERAGE(U:U)*1.1,"High risk",Table1[[#This Row],[Total usage(Min)]]&lt;= AVERAGE(U:U)*0.9,"Low risk",TRUE,"Medium risk"),"N/A")</f>
        <v>Medium risk</v>
      </c>
      <c r="Z311" t="str" cm="1">
        <f t="array" ref="Z311">IFERROR(_xlfn.IFS(Table1[[#This Row],[Total charges]]&gt;=AVERAGE(V:V)*1.1,"High risk",Table1[[#This Row],[Total charges]]&lt;=AVERAGE(V:V)*0.9,"Low risk",TRUE,"Medium risk"),"N/A")</f>
        <v>Medium risk</v>
      </c>
      <c r="AA3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11" t="str" cm="1">
        <f t="array" ref="AC311">_xlfn.IFS(
AND(Table1[[#This Row],[Customer service risk level]]="High risk", Table1[[#This Row],[Intl usage behaviour]]="Unplanned Usage"),"High Risk",
OR(Table1[[#This Row],[Customer service risk level]]="Medium risk", Table1[[#This Row],[Charges risk level]]="High risk "),"Medium Risk",
TRUE,"Low Risk"
)</f>
        <v>Low Risk</v>
      </c>
    </row>
    <row r="312" spans="1:29" x14ac:dyDescent="0.25">
      <c r="A312" t="s">
        <v>57</v>
      </c>
      <c r="B312">
        <v>112</v>
      </c>
      <c r="C312">
        <v>415</v>
      </c>
      <c r="D312" t="s">
        <v>21</v>
      </c>
      <c r="E312" t="s">
        <v>21</v>
      </c>
      <c r="F312">
        <v>0</v>
      </c>
      <c r="G312">
        <v>168.6</v>
      </c>
      <c r="H312">
        <v>102</v>
      </c>
      <c r="I312">
        <v>28.66</v>
      </c>
      <c r="J312">
        <v>298</v>
      </c>
      <c r="K312">
        <v>117</v>
      </c>
      <c r="L312">
        <v>25.33</v>
      </c>
      <c r="M312">
        <v>194.7</v>
      </c>
      <c r="N312">
        <v>110</v>
      </c>
      <c r="O312">
        <v>8.76</v>
      </c>
      <c r="P312">
        <v>9.8000000000000007</v>
      </c>
      <c r="Q312">
        <v>5</v>
      </c>
      <c r="R312">
        <v>2.65</v>
      </c>
      <c r="S312">
        <v>1</v>
      </c>
      <c r="T312" t="b">
        <v>0</v>
      </c>
      <c r="U312">
        <f>IFERROR(SUM(Table1[[#This Row],[Total day minutes]],Table1[[#This Row],[Total eve minutes]],Table1[[#This Row],[Total night minutes]],Table1[[#This Row],[Total intl minutes]]),0)</f>
        <v>671.09999999999991</v>
      </c>
      <c r="V312">
        <f>SUM(Table1[[#This Row],[Total intl charge]],Table1[[#This Row],[Total night charge]],Table1[[#This Row],[Total eve charge]],Table1[[#This Row],[Total day charge]])</f>
        <v>65.399999999999991</v>
      </c>
      <c r="W312">
        <f>SUM(Table1[[#This Row],[Total intl calls]],Table1[[#This Row],[Total night calls]],Table1[[#This Row],[Total eve calls]],Table1[[#This Row],[Total day calls]])</f>
        <v>334</v>
      </c>
      <c r="X312" t="str" cm="1">
        <f t="array" ref="X312">_xlfn.IFS(Table1[[#This Row],[Customer service calls]]&gt;=4,"High risk",Table1[[#This Row],[Customer service calls]]&gt;=2,"Medium risk",TRUE,"Low risk")</f>
        <v>Low risk</v>
      </c>
      <c r="Y312" t="str" cm="1">
        <f t="array" ref="Y312">IFERROR(_xlfn.IFS(Table1[[#This Row],[Total usage(Min)]]&gt;=AVERAGE(U:U)*1.1,"High risk",Table1[[#This Row],[Total usage(Min)]]&lt;= AVERAGE(U:U)*0.9,"Low risk",TRUE,"Medium risk"),"N/A")</f>
        <v>High risk</v>
      </c>
      <c r="Z312" t="str" cm="1">
        <f t="array" ref="Z312">IFERROR(_xlfn.IFS(Table1[[#This Row],[Total charges]]&gt;=AVERAGE(V:V)*1.1,"High risk",Table1[[#This Row],[Total charges]]&lt;=AVERAGE(V:V)*0.9,"Low risk",TRUE,"Medium risk"),"N/A")</f>
        <v>Medium risk</v>
      </c>
      <c r="AA3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2" t="str" cm="1">
        <f t="array" ref="AC312">_xlfn.IFS(
AND(Table1[[#This Row],[Customer service risk level]]="High risk", Table1[[#This Row],[Intl usage behaviour]]="Unplanned Usage"),"High Risk",
OR(Table1[[#This Row],[Customer service risk level]]="Medium risk", Table1[[#This Row],[Charges risk level]]="High risk "),"Medium Risk",
TRUE,"Low Risk"
)</f>
        <v>Low Risk</v>
      </c>
    </row>
    <row r="313" spans="1:29" x14ac:dyDescent="0.25">
      <c r="A313" t="s">
        <v>20</v>
      </c>
      <c r="B313">
        <v>81</v>
      </c>
      <c r="C313">
        <v>415</v>
      </c>
      <c r="D313" t="s">
        <v>21</v>
      </c>
      <c r="E313" t="s">
        <v>27</v>
      </c>
      <c r="F313">
        <v>36</v>
      </c>
      <c r="G313">
        <v>115.9</v>
      </c>
      <c r="H313">
        <v>120</v>
      </c>
      <c r="I313">
        <v>19.7</v>
      </c>
      <c r="J313">
        <v>236.6</v>
      </c>
      <c r="K313">
        <v>95</v>
      </c>
      <c r="L313">
        <v>20.11</v>
      </c>
      <c r="M313">
        <v>255</v>
      </c>
      <c r="N313">
        <v>90</v>
      </c>
      <c r="O313">
        <v>11.48</v>
      </c>
      <c r="P313">
        <v>11.7</v>
      </c>
      <c r="Q313">
        <v>6</v>
      </c>
      <c r="R313">
        <v>3.16</v>
      </c>
      <c r="S313">
        <v>3</v>
      </c>
      <c r="T313" t="b">
        <v>0</v>
      </c>
      <c r="U313">
        <f>IFERROR(SUM(Table1[[#This Row],[Total day minutes]],Table1[[#This Row],[Total eve minutes]],Table1[[#This Row],[Total night minutes]],Table1[[#This Row],[Total intl minutes]]),0)</f>
        <v>619.20000000000005</v>
      </c>
      <c r="V313">
        <f>SUM(Table1[[#This Row],[Total intl charge]],Table1[[#This Row],[Total night charge]],Table1[[#This Row],[Total eve charge]],Table1[[#This Row],[Total day charge]])</f>
        <v>54.45</v>
      </c>
      <c r="W313">
        <f>SUM(Table1[[#This Row],[Total intl calls]],Table1[[#This Row],[Total night calls]],Table1[[#This Row],[Total eve calls]],Table1[[#This Row],[Total day calls]])</f>
        <v>311</v>
      </c>
      <c r="X313" t="str" cm="1">
        <f t="array" ref="X313">_xlfn.IFS(Table1[[#This Row],[Customer service calls]]&gt;=4,"High risk",Table1[[#This Row],[Customer service calls]]&gt;=2,"Medium risk",TRUE,"Low risk")</f>
        <v>Medium risk</v>
      </c>
      <c r="Y313" t="str" cm="1">
        <f t="array" ref="Y313">IFERROR(_xlfn.IFS(Table1[[#This Row],[Total usage(Min)]]&gt;=AVERAGE(U:U)*1.1,"High risk",Table1[[#This Row],[Total usage(Min)]]&lt;= AVERAGE(U:U)*0.9,"Low risk",TRUE,"Medium risk"),"N/A")</f>
        <v>Medium risk</v>
      </c>
      <c r="Z313" t="str" cm="1">
        <f t="array" ref="Z313">IFERROR(_xlfn.IFS(Table1[[#This Row],[Total charges]]&gt;=AVERAGE(V:V)*1.1,"High risk",Table1[[#This Row],[Total charges]]&lt;=AVERAGE(V:V)*0.9,"Low risk",TRUE,"Medium risk"),"N/A")</f>
        <v>Medium risk</v>
      </c>
      <c r="AA3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13" t="str" cm="1">
        <f t="array" ref="AC313">_xlfn.IFS(
AND(Table1[[#This Row],[Customer service risk level]]="High risk", Table1[[#This Row],[Intl usage behaviour]]="Unplanned Usage"),"High Risk",
OR(Table1[[#This Row],[Customer service risk level]]="Medium risk", Table1[[#This Row],[Charges risk level]]="High risk "),"Medium Risk",
TRUE,"Low Risk"
)</f>
        <v>Medium Risk</v>
      </c>
    </row>
    <row r="314" spans="1:29" x14ac:dyDescent="0.25">
      <c r="A314" t="s">
        <v>38</v>
      </c>
      <c r="B314">
        <v>72</v>
      </c>
      <c r="C314">
        <v>510</v>
      </c>
      <c r="D314" t="s">
        <v>21</v>
      </c>
      <c r="E314" t="s">
        <v>21</v>
      </c>
      <c r="F314">
        <v>0</v>
      </c>
      <c r="G314">
        <v>272.39999999999998</v>
      </c>
      <c r="H314">
        <v>88</v>
      </c>
      <c r="I314">
        <v>46.31</v>
      </c>
      <c r="J314">
        <v>107.9</v>
      </c>
      <c r="K314">
        <v>125</v>
      </c>
      <c r="L314">
        <v>9.17</v>
      </c>
      <c r="M314">
        <v>185.5</v>
      </c>
      <c r="N314">
        <v>81</v>
      </c>
      <c r="O314">
        <v>8.35</v>
      </c>
      <c r="P314">
        <v>12.7</v>
      </c>
      <c r="Q314">
        <v>2</v>
      </c>
      <c r="R314">
        <v>3.43</v>
      </c>
      <c r="S314">
        <v>0</v>
      </c>
      <c r="T314" t="b">
        <v>0</v>
      </c>
      <c r="U314">
        <f>IFERROR(SUM(Table1[[#This Row],[Total day minutes]],Table1[[#This Row],[Total eve minutes]],Table1[[#This Row],[Total night minutes]],Table1[[#This Row],[Total intl minutes]]),0)</f>
        <v>578.5</v>
      </c>
      <c r="V314">
        <f>SUM(Table1[[#This Row],[Total intl charge]],Table1[[#This Row],[Total night charge]],Table1[[#This Row],[Total eve charge]],Table1[[#This Row],[Total day charge]])</f>
        <v>67.260000000000005</v>
      </c>
      <c r="W314">
        <f>SUM(Table1[[#This Row],[Total intl calls]],Table1[[#This Row],[Total night calls]],Table1[[#This Row],[Total eve calls]],Table1[[#This Row],[Total day calls]])</f>
        <v>296</v>
      </c>
      <c r="X314" t="str" cm="1">
        <f t="array" ref="X314">_xlfn.IFS(Table1[[#This Row],[Customer service calls]]&gt;=4,"High risk",Table1[[#This Row],[Customer service calls]]&gt;=2,"Medium risk",TRUE,"Low risk")</f>
        <v>Low risk</v>
      </c>
      <c r="Y314" t="str" cm="1">
        <f t="array" ref="Y314">IFERROR(_xlfn.IFS(Table1[[#This Row],[Total usage(Min)]]&gt;=AVERAGE(U:U)*1.1,"High risk",Table1[[#This Row],[Total usage(Min)]]&lt;= AVERAGE(U:U)*0.9,"Low risk",TRUE,"Medium risk"),"N/A")</f>
        <v>Medium risk</v>
      </c>
      <c r="Z314" t="str" cm="1">
        <f t="array" ref="Z314">IFERROR(_xlfn.IFS(Table1[[#This Row],[Total charges]]&gt;=AVERAGE(V:V)*1.1,"High risk",Table1[[#This Row],[Total charges]]&lt;=AVERAGE(V:V)*0.9,"Low risk",TRUE,"Medium risk"),"N/A")</f>
        <v>High risk</v>
      </c>
      <c r="AA3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4" t="str" cm="1">
        <f t="array" ref="AC314">_xlfn.IFS(
AND(Table1[[#This Row],[Customer service risk level]]="High risk", Table1[[#This Row],[Intl usage behaviour]]="Unplanned Usage"),"High Risk",
OR(Table1[[#This Row],[Customer service risk level]]="Medium risk", Table1[[#This Row],[Charges risk level]]="High risk "),"Medium Risk",
TRUE,"Low Risk"
)</f>
        <v>Low Risk</v>
      </c>
    </row>
    <row r="315" spans="1:29" x14ac:dyDescent="0.25">
      <c r="A315" t="s">
        <v>24</v>
      </c>
      <c r="B315">
        <v>64</v>
      </c>
      <c r="C315">
        <v>510</v>
      </c>
      <c r="D315" t="s">
        <v>21</v>
      </c>
      <c r="E315" t="s">
        <v>27</v>
      </c>
      <c r="F315">
        <v>40</v>
      </c>
      <c r="G315">
        <v>210</v>
      </c>
      <c r="H315">
        <v>116</v>
      </c>
      <c r="I315">
        <v>35.700000000000003</v>
      </c>
      <c r="J315">
        <v>232.7</v>
      </c>
      <c r="K315">
        <v>89</v>
      </c>
      <c r="L315">
        <v>19.78</v>
      </c>
      <c r="M315">
        <v>168.8</v>
      </c>
      <c r="N315">
        <v>94</v>
      </c>
      <c r="O315">
        <v>7.6</v>
      </c>
      <c r="P315">
        <v>5.9</v>
      </c>
      <c r="Q315">
        <v>4</v>
      </c>
      <c r="R315">
        <v>1.59</v>
      </c>
      <c r="S315">
        <v>8</v>
      </c>
      <c r="T315" t="b">
        <v>0</v>
      </c>
      <c r="U315">
        <f>IFERROR(SUM(Table1[[#This Row],[Total day minutes]],Table1[[#This Row],[Total eve minutes]],Table1[[#This Row],[Total night minutes]],Table1[[#This Row],[Total intl minutes]]),0)</f>
        <v>617.4</v>
      </c>
      <c r="V315">
        <f>SUM(Table1[[#This Row],[Total intl charge]],Table1[[#This Row],[Total night charge]],Table1[[#This Row],[Total eve charge]],Table1[[#This Row],[Total day charge]])</f>
        <v>64.67</v>
      </c>
      <c r="W315">
        <f>SUM(Table1[[#This Row],[Total intl calls]],Table1[[#This Row],[Total night calls]],Table1[[#This Row],[Total eve calls]],Table1[[#This Row],[Total day calls]])</f>
        <v>303</v>
      </c>
      <c r="X315" t="str" cm="1">
        <f t="array" ref="X315">_xlfn.IFS(Table1[[#This Row],[Customer service calls]]&gt;=4,"High risk",Table1[[#This Row],[Customer service calls]]&gt;=2,"Medium risk",TRUE,"Low risk")</f>
        <v>High risk</v>
      </c>
      <c r="Y315" t="str" cm="1">
        <f t="array" ref="Y315">IFERROR(_xlfn.IFS(Table1[[#This Row],[Total usage(Min)]]&gt;=AVERAGE(U:U)*1.1,"High risk",Table1[[#This Row],[Total usage(Min)]]&lt;= AVERAGE(U:U)*0.9,"Low risk",TRUE,"Medium risk"),"N/A")</f>
        <v>Medium risk</v>
      </c>
      <c r="Z315" t="str" cm="1">
        <f t="array" ref="Z315">IFERROR(_xlfn.IFS(Table1[[#This Row],[Total charges]]&gt;=AVERAGE(V:V)*1.1,"High risk",Table1[[#This Row],[Total charges]]&lt;=AVERAGE(V:V)*0.9,"Low risk",TRUE,"Medium risk"),"N/A")</f>
        <v>Medium risk</v>
      </c>
      <c r="AA3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15" t="str" cm="1">
        <f t="array" ref="AC315">_xlfn.IFS(
AND(Table1[[#This Row],[Customer service risk level]]="High risk", Table1[[#This Row],[Intl usage behaviour]]="Unplanned Usage"),"High Risk",
OR(Table1[[#This Row],[Customer service risk level]]="Medium risk", Table1[[#This Row],[Charges risk level]]="High risk "),"Medium Risk",
TRUE,"Low Risk"
)</f>
        <v>High Risk</v>
      </c>
    </row>
    <row r="316" spans="1:29" x14ac:dyDescent="0.25">
      <c r="A316" t="s">
        <v>65</v>
      </c>
      <c r="B316">
        <v>163</v>
      </c>
      <c r="C316">
        <v>408</v>
      </c>
      <c r="D316" t="s">
        <v>21</v>
      </c>
      <c r="E316" t="s">
        <v>21</v>
      </c>
      <c r="F316">
        <v>0</v>
      </c>
      <c r="G316">
        <v>223</v>
      </c>
      <c r="H316">
        <v>120</v>
      </c>
      <c r="I316">
        <v>37.909999999999997</v>
      </c>
      <c r="J316">
        <v>227</v>
      </c>
      <c r="K316">
        <v>98</v>
      </c>
      <c r="L316">
        <v>19.3</v>
      </c>
      <c r="M316">
        <v>188.3</v>
      </c>
      <c r="N316">
        <v>125</v>
      </c>
      <c r="O316">
        <v>8.4700000000000006</v>
      </c>
      <c r="P316">
        <v>8.8000000000000007</v>
      </c>
      <c r="Q316">
        <v>5</v>
      </c>
      <c r="R316">
        <v>2.38</v>
      </c>
      <c r="S316">
        <v>1</v>
      </c>
      <c r="T316" t="b">
        <v>0</v>
      </c>
      <c r="U316">
        <f>IFERROR(SUM(Table1[[#This Row],[Total day minutes]],Table1[[#This Row],[Total eve minutes]],Table1[[#This Row],[Total night minutes]],Table1[[#This Row],[Total intl minutes]]),0)</f>
        <v>647.09999999999991</v>
      </c>
      <c r="V316">
        <f>SUM(Table1[[#This Row],[Total intl charge]],Table1[[#This Row],[Total night charge]],Table1[[#This Row],[Total eve charge]],Table1[[#This Row],[Total day charge]])</f>
        <v>68.06</v>
      </c>
      <c r="W316">
        <f>SUM(Table1[[#This Row],[Total intl calls]],Table1[[#This Row],[Total night calls]],Table1[[#This Row],[Total eve calls]],Table1[[#This Row],[Total day calls]])</f>
        <v>348</v>
      </c>
      <c r="X316" t="str" cm="1">
        <f t="array" ref="X316">_xlfn.IFS(Table1[[#This Row],[Customer service calls]]&gt;=4,"High risk",Table1[[#This Row],[Customer service calls]]&gt;=2,"Medium risk",TRUE,"Low risk")</f>
        <v>Low risk</v>
      </c>
      <c r="Y316" t="str" cm="1">
        <f t="array" ref="Y316">IFERROR(_xlfn.IFS(Table1[[#This Row],[Total usage(Min)]]&gt;=AVERAGE(U:U)*1.1,"High risk",Table1[[#This Row],[Total usage(Min)]]&lt;= AVERAGE(U:U)*0.9,"Low risk",TRUE,"Medium risk"),"N/A")</f>
        <v>Medium risk</v>
      </c>
      <c r="Z316" t="str" cm="1">
        <f t="array" ref="Z316">IFERROR(_xlfn.IFS(Table1[[#This Row],[Total charges]]&gt;=AVERAGE(V:V)*1.1,"High risk",Table1[[#This Row],[Total charges]]&lt;=AVERAGE(V:V)*0.9,"Low risk",TRUE,"Medium risk"),"N/A")</f>
        <v>High risk</v>
      </c>
      <c r="AA3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6" t="str" cm="1">
        <f t="array" ref="AC316">_xlfn.IFS(
AND(Table1[[#This Row],[Customer service risk level]]="High risk", Table1[[#This Row],[Intl usage behaviour]]="Unplanned Usage"),"High Risk",
OR(Table1[[#This Row],[Customer service risk level]]="Medium risk", Table1[[#This Row],[Charges risk level]]="High risk "),"Medium Risk",
TRUE,"Low Risk"
)</f>
        <v>Low Risk</v>
      </c>
    </row>
    <row r="317" spans="1:29" x14ac:dyDescent="0.25">
      <c r="A317" t="s">
        <v>40</v>
      </c>
      <c r="B317">
        <v>104</v>
      </c>
      <c r="C317">
        <v>415</v>
      </c>
      <c r="D317" t="s">
        <v>21</v>
      </c>
      <c r="E317" t="s">
        <v>21</v>
      </c>
      <c r="F317">
        <v>0</v>
      </c>
      <c r="G317">
        <v>139.69999999999999</v>
      </c>
      <c r="H317">
        <v>78</v>
      </c>
      <c r="I317">
        <v>23.75</v>
      </c>
      <c r="J317">
        <v>202.6</v>
      </c>
      <c r="K317">
        <v>119</v>
      </c>
      <c r="L317">
        <v>17.22</v>
      </c>
      <c r="M317">
        <v>203.6</v>
      </c>
      <c r="N317">
        <v>102</v>
      </c>
      <c r="O317">
        <v>9.16</v>
      </c>
      <c r="P317">
        <v>11.3</v>
      </c>
      <c r="Q317">
        <v>5</v>
      </c>
      <c r="R317">
        <v>3.05</v>
      </c>
      <c r="S317">
        <v>2</v>
      </c>
      <c r="T317" t="b">
        <v>0</v>
      </c>
      <c r="U317">
        <f>IFERROR(SUM(Table1[[#This Row],[Total day minutes]],Table1[[#This Row],[Total eve minutes]],Table1[[#This Row],[Total night minutes]],Table1[[#This Row],[Total intl minutes]]),0)</f>
        <v>557.19999999999993</v>
      </c>
      <c r="V317">
        <f>SUM(Table1[[#This Row],[Total intl charge]],Table1[[#This Row],[Total night charge]],Table1[[#This Row],[Total eve charge]],Table1[[#This Row],[Total day charge]])</f>
        <v>53.18</v>
      </c>
      <c r="W317">
        <f>SUM(Table1[[#This Row],[Total intl calls]],Table1[[#This Row],[Total night calls]],Table1[[#This Row],[Total eve calls]],Table1[[#This Row],[Total day calls]])</f>
        <v>304</v>
      </c>
      <c r="X317" t="str" cm="1">
        <f t="array" ref="X317">_xlfn.IFS(Table1[[#This Row],[Customer service calls]]&gt;=4,"High risk",Table1[[#This Row],[Customer service calls]]&gt;=2,"Medium risk",TRUE,"Low risk")</f>
        <v>Medium risk</v>
      </c>
      <c r="Y317" t="str" cm="1">
        <f t="array" ref="Y317">IFERROR(_xlfn.IFS(Table1[[#This Row],[Total usage(Min)]]&gt;=AVERAGE(U:U)*1.1,"High risk",Table1[[#This Row],[Total usage(Min)]]&lt;= AVERAGE(U:U)*0.9,"Low risk",TRUE,"Medium risk"),"N/A")</f>
        <v>Medium risk</v>
      </c>
      <c r="Z317" t="str" cm="1">
        <f t="array" ref="Z317">IFERROR(_xlfn.IFS(Table1[[#This Row],[Total charges]]&gt;=AVERAGE(V:V)*1.1,"High risk",Table1[[#This Row],[Total charges]]&lt;=AVERAGE(V:V)*0.9,"Low risk",TRUE,"Medium risk"),"N/A")</f>
        <v>Low risk</v>
      </c>
      <c r="AA3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7" t="str" cm="1">
        <f t="array" ref="AC317">_xlfn.IFS(
AND(Table1[[#This Row],[Customer service risk level]]="High risk", Table1[[#This Row],[Intl usage behaviour]]="Unplanned Usage"),"High Risk",
OR(Table1[[#This Row],[Customer service risk level]]="Medium risk", Table1[[#This Row],[Charges risk level]]="High risk "),"Medium Risk",
TRUE,"Low Risk"
)</f>
        <v>Medium Risk</v>
      </c>
    </row>
    <row r="318" spans="1:29" x14ac:dyDescent="0.25">
      <c r="A318" t="s">
        <v>39</v>
      </c>
      <c r="B318">
        <v>93</v>
      </c>
      <c r="C318">
        <v>510</v>
      </c>
      <c r="D318" t="s">
        <v>21</v>
      </c>
      <c r="E318" t="s">
        <v>27</v>
      </c>
      <c r="F318">
        <v>19</v>
      </c>
      <c r="G318">
        <v>136.80000000000001</v>
      </c>
      <c r="H318">
        <v>113</v>
      </c>
      <c r="I318">
        <v>23.26</v>
      </c>
      <c r="J318">
        <v>179.5</v>
      </c>
      <c r="K318">
        <v>105</v>
      </c>
      <c r="L318">
        <v>15.26</v>
      </c>
      <c r="M318">
        <v>71.099999999999994</v>
      </c>
      <c r="N318">
        <v>95</v>
      </c>
      <c r="O318">
        <v>3.2</v>
      </c>
      <c r="P318">
        <v>12.5</v>
      </c>
      <c r="Q318">
        <v>3</v>
      </c>
      <c r="R318">
        <v>3.38</v>
      </c>
      <c r="S318">
        <v>2</v>
      </c>
      <c r="T318" t="b">
        <v>0</v>
      </c>
      <c r="U318">
        <f>IFERROR(SUM(Table1[[#This Row],[Total day minutes]],Table1[[#This Row],[Total eve minutes]],Table1[[#This Row],[Total night minutes]],Table1[[#This Row],[Total intl minutes]]),0)</f>
        <v>399.9</v>
      </c>
      <c r="V318">
        <f>SUM(Table1[[#This Row],[Total intl charge]],Table1[[#This Row],[Total night charge]],Table1[[#This Row],[Total eve charge]],Table1[[#This Row],[Total day charge]])</f>
        <v>45.1</v>
      </c>
      <c r="W318">
        <f>SUM(Table1[[#This Row],[Total intl calls]],Table1[[#This Row],[Total night calls]],Table1[[#This Row],[Total eve calls]],Table1[[#This Row],[Total day calls]])</f>
        <v>316</v>
      </c>
      <c r="X318" t="str" cm="1">
        <f t="array" ref="X318">_xlfn.IFS(Table1[[#This Row],[Customer service calls]]&gt;=4,"High risk",Table1[[#This Row],[Customer service calls]]&gt;=2,"Medium risk",TRUE,"Low risk")</f>
        <v>Medium risk</v>
      </c>
      <c r="Y318" t="str" cm="1">
        <f t="array" ref="Y318">IFERROR(_xlfn.IFS(Table1[[#This Row],[Total usage(Min)]]&gt;=AVERAGE(U:U)*1.1,"High risk",Table1[[#This Row],[Total usage(Min)]]&lt;= AVERAGE(U:U)*0.9,"Low risk",TRUE,"Medium risk"),"N/A")</f>
        <v>Low risk</v>
      </c>
      <c r="Z318" t="str" cm="1">
        <f t="array" ref="Z318">IFERROR(_xlfn.IFS(Table1[[#This Row],[Total charges]]&gt;=AVERAGE(V:V)*1.1,"High risk",Table1[[#This Row],[Total charges]]&lt;=AVERAGE(V:V)*0.9,"Low risk",TRUE,"Medium risk"),"N/A")</f>
        <v>Low risk</v>
      </c>
      <c r="AA3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18" t="str" cm="1">
        <f t="array" ref="AC318">_xlfn.IFS(
AND(Table1[[#This Row],[Customer service risk level]]="High risk", Table1[[#This Row],[Intl usage behaviour]]="Unplanned Usage"),"High Risk",
OR(Table1[[#This Row],[Customer service risk level]]="Medium risk", Table1[[#This Row],[Charges risk level]]="High risk "),"Medium Risk",
TRUE,"Low Risk"
)</f>
        <v>Medium Risk</v>
      </c>
    </row>
    <row r="319" spans="1:29" x14ac:dyDescent="0.25">
      <c r="A319" t="s">
        <v>64</v>
      </c>
      <c r="B319">
        <v>197</v>
      </c>
      <c r="C319">
        <v>510</v>
      </c>
      <c r="D319" t="s">
        <v>21</v>
      </c>
      <c r="E319" t="s">
        <v>21</v>
      </c>
      <c r="F319">
        <v>0</v>
      </c>
      <c r="G319">
        <v>154.80000000000001</v>
      </c>
      <c r="H319">
        <v>111</v>
      </c>
      <c r="I319">
        <v>26.32</v>
      </c>
      <c r="J319">
        <v>171.5</v>
      </c>
      <c r="K319">
        <v>102</v>
      </c>
      <c r="L319">
        <v>14.58</v>
      </c>
      <c r="M319">
        <v>227.3</v>
      </c>
      <c r="N319">
        <v>86</v>
      </c>
      <c r="O319">
        <v>10.23</v>
      </c>
      <c r="P319">
        <v>10.6</v>
      </c>
      <c r="Q319">
        <v>2</v>
      </c>
      <c r="R319">
        <v>2.86</v>
      </c>
      <c r="S319">
        <v>3</v>
      </c>
      <c r="T319" t="b">
        <v>0</v>
      </c>
      <c r="U319">
        <f>IFERROR(SUM(Table1[[#This Row],[Total day minutes]],Table1[[#This Row],[Total eve minutes]],Table1[[#This Row],[Total night minutes]],Table1[[#This Row],[Total intl minutes]]),0)</f>
        <v>564.20000000000005</v>
      </c>
      <c r="V319">
        <f>SUM(Table1[[#This Row],[Total intl charge]],Table1[[#This Row],[Total night charge]],Table1[[#This Row],[Total eve charge]],Table1[[#This Row],[Total day charge]])</f>
        <v>53.99</v>
      </c>
      <c r="W319">
        <f>SUM(Table1[[#This Row],[Total intl calls]],Table1[[#This Row],[Total night calls]],Table1[[#This Row],[Total eve calls]],Table1[[#This Row],[Total day calls]])</f>
        <v>301</v>
      </c>
      <c r="X319" t="str" cm="1">
        <f t="array" ref="X319">_xlfn.IFS(Table1[[#This Row],[Customer service calls]]&gt;=4,"High risk",Table1[[#This Row],[Customer service calls]]&gt;=2,"Medium risk",TRUE,"Low risk")</f>
        <v>Medium risk</v>
      </c>
      <c r="Y319" t="str" cm="1">
        <f t="array" ref="Y319">IFERROR(_xlfn.IFS(Table1[[#This Row],[Total usage(Min)]]&gt;=AVERAGE(U:U)*1.1,"High risk",Table1[[#This Row],[Total usage(Min)]]&lt;= AVERAGE(U:U)*0.9,"Low risk",TRUE,"Medium risk"),"N/A")</f>
        <v>Medium risk</v>
      </c>
      <c r="Z319" t="str" cm="1">
        <f t="array" ref="Z319">IFERROR(_xlfn.IFS(Table1[[#This Row],[Total charges]]&gt;=AVERAGE(V:V)*1.1,"High risk",Table1[[#This Row],[Total charges]]&lt;=AVERAGE(V:V)*0.9,"Low risk",TRUE,"Medium risk"),"N/A")</f>
        <v>Medium risk</v>
      </c>
      <c r="AA3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19" t="str" cm="1">
        <f t="array" ref="AC319">_xlfn.IFS(
AND(Table1[[#This Row],[Customer service risk level]]="High risk", Table1[[#This Row],[Intl usage behaviour]]="Unplanned Usage"),"High Risk",
OR(Table1[[#This Row],[Customer service risk level]]="Medium risk", Table1[[#This Row],[Charges risk level]]="High risk "),"Medium Risk",
TRUE,"Low Risk"
)</f>
        <v>Medium Risk</v>
      </c>
    </row>
    <row r="320" spans="1:29" x14ac:dyDescent="0.25">
      <c r="A320" t="s">
        <v>69</v>
      </c>
      <c r="B320">
        <v>57</v>
      </c>
      <c r="C320">
        <v>510</v>
      </c>
      <c r="D320" t="s">
        <v>21</v>
      </c>
      <c r="E320" t="s">
        <v>21</v>
      </c>
      <c r="F320">
        <v>0</v>
      </c>
      <c r="G320">
        <v>192.8</v>
      </c>
      <c r="H320">
        <v>68</v>
      </c>
      <c r="I320">
        <v>32.78</v>
      </c>
      <c r="J320">
        <v>158</v>
      </c>
      <c r="K320">
        <v>86</v>
      </c>
      <c r="L320">
        <v>13.43</v>
      </c>
      <c r="M320">
        <v>235.5</v>
      </c>
      <c r="N320">
        <v>105</v>
      </c>
      <c r="O320">
        <v>10.6</v>
      </c>
      <c r="P320">
        <v>12.7</v>
      </c>
      <c r="Q320">
        <v>6</v>
      </c>
      <c r="R320">
        <v>3.43</v>
      </c>
      <c r="S320">
        <v>1</v>
      </c>
      <c r="T320" t="b">
        <v>0</v>
      </c>
      <c r="U320">
        <f>IFERROR(SUM(Table1[[#This Row],[Total day minutes]],Table1[[#This Row],[Total eve minutes]],Table1[[#This Row],[Total night minutes]],Table1[[#This Row],[Total intl minutes]]),0)</f>
        <v>599</v>
      </c>
      <c r="V320">
        <f>SUM(Table1[[#This Row],[Total intl charge]],Table1[[#This Row],[Total night charge]],Table1[[#This Row],[Total eve charge]],Table1[[#This Row],[Total day charge]])</f>
        <v>60.24</v>
      </c>
      <c r="W320">
        <f>SUM(Table1[[#This Row],[Total intl calls]],Table1[[#This Row],[Total night calls]],Table1[[#This Row],[Total eve calls]],Table1[[#This Row],[Total day calls]])</f>
        <v>265</v>
      </c>
      <c r="X320" t="str" cm="1">
        <f t="array" ref="X320">_xlfn.IFS(Table1[[#This Row],[Customer service calls]]&gt;=4,"High risk",Table1[[#This Row],[Customer service calls]]&gt;=2,"Medium risk",TRUE,"Low risk")</f>
        <v>Low risk</v>
      </c>
      <c r="Y320" t="str" cm="1">
        <f t="array" ref="Y320">IFERROR(_xlfn.IFS(Table1[[#This Row],[Total usage(Min)]]&gt;=AVERAGE(U:U)*1.1,"High risk",Table1[[#This Row],[Total usage(Min)]]&lt;= AVERAGE(U:U)*0.9,"Low risk",TRUE,"Medium risk"),"N/A")</f>
        <v>Medium risk</v>
      </c>
      <c r="Z320" t="str" cm="1">
        <f t="array" ref="Z320">IFERROR(_xlfn.IFS(Table1[[#This Row],[Total charges]]&gt;=AVERAGE(V:V)*1.1,"High risk",Table1[[#This Row],[Total charges]]&lt;=AVERAGE(V:V)*0.9,"Low risk",TRUE,"Medium risk"),"N/A")</f>
        <v>Medium risk</v>
      </c>
      <c r="AA3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0" t="str" cm="1">
        <f t="array" ref="AC320">_xlfn.IFS(
AND(Table1[[#This Row],[Customer service risk level]]="High risk", Table1[[#This Row],[Intl usage behaviour]]="Unplanned Usage"),"High Risk",
OR(Table1[[#This Row],[Customer service risk level]]="Medium risk", Table1[[#This Row],[Charges risk level]]="High risk "),"Medium Risk",
TRUE,"Low Risk"
)</f>
        <v>Low Risk</v>
      </c>
    </row>
    <row r="321" spans="1:29" x14ac:dyDescent="0.25">
      <c r="A321" t="s">
        <v>56</v>
      </c>
      <c r="B321">
        <v>107</v>
      </c>
      <c r="C321">
        <v>408</v>
      </c>
      <c r="D321" t="s">
        <v>21</v>
      </c>
      <c r="E321" t="s">
        <v>21</v>
      </c>
      <c r="F321">
        <v>0</v>
      </c>
      <c r="G321">
        <v>103.4</v>
      </c>
      <c r="H321">
        <v>94</v>
      </c>
      <c r="I321">
        <v>17.579999999999998</v>
      </c>
      <c r="J321">
        <v>189.3</v>
      </c>
      <c r="K321">
        <v>125</v>
      </c>
      <c r="L321">
        <v>16.09</v>
      </c>
      <c r="M321">
        <v>227.2</v>
      </c>
      <c r="N321">
        <v>125</v>
      </c>
      <c r="O321">
        <v>10.220000000000001</v>
      </c>
      <c r="P321">
        <v>14.4</v>
      </c>
      <c r="Q321">
        <v>3</v>
      </c>
      <c r="R321">
        <v>3.89</v>
      </c>
      <c r="S321">
        <v>1</v>
      </c>
      <c r="T321" t="b">
        <v>0</v>
      </c>
      <c r="U321">
        <f>IFERROR(SUM(Table1[[#This Row],[Total day minutes]],Table1[[#This Row],[Total eve minutes]],Table1[[#This Row],[Total night minutes]],Table1[[#This Row],[Total intl minutes]]),0)</f>
        <v>534.30000000000007</v>
      </c>
      <c r="V321">
        <f>SUM(Table1[[#This Row],[Total intl charge]],Table1[[#This Row],[Total night charge]],Table1[[#This Row],[Total eve charge]],Table1[[#This Row],[Total day charge]])</f>
        <v>47.78</v>
      </c>
      <c r="W321">
        <f>SUM(Table1[[#This Row],[Total intl calls]],Table1[[#This Row],[Total night calls]],Table1[[#This Row],[Total eve calls]],Table1[[#This Row],[Total day calls]])</f>
        <v>347</v>
      </c>
      <c r="X321" t="str" cm="1">
        <f t="array" ref="X321">_xlfn.IFS(Table1[[#This Row],[Customer service calls]]&gt;=4,"High risk",Table1[[#This Row],[Customer service calls]]&gt;=2,"Medium risk",TRUE,"Low risk")</f>
        <v>Low risk</v>
      </c>
      <c r="Y321" t="str" cm="1">
        <f t="array" ref="Y321">IFERROR(_xlfn.IFS(Table1[[#This Row],[Total usage(Min)]]&gt;=AVERAGE(U:U)*1.1,"High risk",Table1[[#This Row],[Total usage(Min)]]&lt;= AVERAGE(U:U)*0.9,"Low risk",TRUE,"Medium risk"),"N/A")</f>
        <v>Low risk</v>
      </c>
      <c r="Z321" t="str" cm="1">
        <f t="array" ref="Z321">IFERROR(_xlfn.IFS(Table1[[#This Row],[Total charges]]&gt;=AVERAGE(V:V)*1.1,"High risk",Table1[[#This Row],[Total charges]]&lt;=AVERAGE(V:V)*0.9,"Low risk",TRUE,"Medium risk"),"N/A")</f>
        <v>Low risk</v>
      </c>
      <c r="AA3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1" t="str" cm="1">
        <f t="array" ref="AC321">_xlfn.IFS(
AND(Table1[[#This Row],[Customer service risk level]]="High risk", Table1[[#This Row],[Intl usage behaviour]]="Unplanned Usage"),"High Risk",
OR(Table1[[#This Row],[Customer service risk level]]="Medium risk", Table1[[#This Row],[Charges risk level]]="High risk "),"Medium Risk",
TRUE,"Low Risk"
)</f>
        <v>Low Risk</v>
      </c>
    </row>
    <row r="322" spans="1:29" x14ac:dyDescent="0.25">
      <c r="A322" t="s">
        <v>54</v>
      </c>
      <c r="B322">
        <v>75</v>
      </c>
      <c r="C322">
        <v>408</v>
      </c>
      <c r="D322" t="s">
        <v>21</v>
      </c>
      <c r="E322" t="s">
        <v>21</v>
      </c>
      <c r="F322">
        <v>0</v>
      </c>
      <c r="G322">
        <v>147.5</v>
      </c>
      <c r="H322">
        <v>110</v>
      </c>
      <c r="I322">
        <v>25.08</v>
      </c>
      <c r="J322">
        <v>191.7</v>
      </c>
      <c r="K322">
        <v>97</v>
      </c>
      <c r="L322">
        <v>16.29</v>
      </c>
      <c r="M322">
        <v>135</v>
      </c>
      <c r="N322">
        <v>68</v>
      </c>
      <c r="O322">
        <v>6.08</v>
      </c>
      <c r="P322">
        <v>16.399999999999999</v>
      </c>
      <c r="Q322">
        <v>3</v>
      </c>
      <c r="R322">
        <v>4.43</v>
      </c>
      <c r="S322">
        <v>2</v>
      </c>
      <c r="T322" t="b">
        <v>0</v>
      </c>
      <c r="U322">
        <f>IFERROR(SUM(Table1[[#This Row],[Total day minutes]],Table1[[#This Row],[Total eve minutes]],Table1[[#This Row],[Total night minutes]],Table1[[#This Row],[Total intl minutes]]),0)</f>
        <v>490.59999999999997</v>
      </c>
      <c r="V322">
        <f>SUM(Table1[[#This Row],[Total intl charge]],Table1[[#This Row],[Total night charge]],Table1[[#This Row],[Total eve charge]],Table1[[#This Row],[Total day charge]])</f>
        <v>51.879999999999995</v>
      </c>
      <c r="W322">
        <f>SUM(Table1[[#This Row],[Total intl calls]],Table1[[#This Row],[Total night calls]],Table1[[#This Row],[Total eve calls]],Table1[[#This Row],[Total day calls]])</f>
        <v>278</v>
      </c>
      <c r="X322" t="str" cm="1">
        <f t="array" ref="X322">_xlfn.IFS(Table1[[#This Row],[Customer service calls]]&gt;=4,"High risk",Table1[[#This Row],[Customer service calls]]&gt;=2,"Medium risk",TRUE,"Low risk")</f>
        <v>Medium risk</v>
      </c>
      <c r="Y322" t="str" cm="1">
        <f t="array" ref="Y322">IFERROR(_xlfn.IFS(Table1[[#This Row],[Total usage(Min)]]&gt;=AVERAGE(U:U)*1.1,"High risk",Table1[[#This Row],[Total usage(Min)]]&lt;= AVERAGE(U:U)*0.9,"Low risk",TRUE,"Medium risk"),"N/A")</f>
        <v>Low risk</v>
      </c>
      <c r="Z322" t="str" cm="1">
        <f t="array" ref="Z322">IFERROR(_xlfn.IFS(Table1[[#This Row],[Total charges]]&gt;=AVERAGE(V:V)*1.1,"High risk",Table1[[#This Row],[Total charges]]&lt;=AVERAGE(V:V)*0.9,"Low risk",TRUE,"Medium risk"),"N/A")</f>
        <v>Low risk</v>
      </c>
      <c r="AA3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2" t="str" cm="1">
        <f t="array" ref="AC322">_xlfn.IFS(
AND(Table1[[#This Row],[Customer service risk level]]="High risk", Table1[[#This Row],[Intl usage behaviour]]="Unplanned Usage"),"High Risk",
OR(Table1[[#This Row],[Customer service risk level]]="Medium risk", Table1[[#This Row],[Charges risk level]]="High risk "),"Medium Risk",
TRUE,"Low Risk"
)</f>
        <v>Medium Risk</v>
      </c>
    </row>
    <row r="323" spans="1:29" x14ac:dyDescent="0.25">
      <c r="A323" t="s">
        <v>51</v>
      </c>
      <c r="B323">
        <v>106</v>
      </c>
      <c r="C323">
        <v>408</v>
      </c>
      <c r="D323" t="s">
        <v>21</v>
      </c>
      <c r="E323" t="s">
        <v>21</v>
      </c>
      <c r="F323">
        <v>0</v>
      </c>
      <c r="G323">
        <v>178.4</v>
      </c>
      <c r="H323">
        <v>143</v>
      </c>
      <c r="I323">
        <v>30.33</v>
      </c>
      <c r="J323">
        <v>247</v>
      </c>
      <c r="K323">
        <v>123</v>
      </c>
      <c r="L323">
        <v>21</v>
      </c>
      <c r="M323">
        <v>259.89999999999998</v>
      </c>
      <c r="N323">
        <v>105</v>
      </c>
      <c r="O323">
        <v>11.7</v>
      </c>
      <c r="P323">
        <v>9.6</v>
      </c>
      <c r="Q323">
        <v>2</v>
      </c>
      <c r="R323">
        <v>2.59</v>
      </c>
      <c r="S323">
        <v>0</v>
      </c>
      <c r="T323" t="b">
        <v>0</v>
      </c>
      <c r="U323">
        <f>IFERROR(SUM(Table1[[#This Row],[Total day minutes]],Table1[[#This Row],[Total eve minutes]],Table1[[#This Row],[Total night minutes]],Table1[[#This Row],[Total intl minutes]]),0)</f>
        <v>694.9</v>
      </c>
      <c r="V323">
        <f>SUM(Table1[[#This Row],[Total intl charge]],Table1[[#This Row],[Total night charge]],Table1[[#This Row],[Total eve charge]],Table1[[#This Row],[Total day charge]])</f>
        <v>65.62</v>
      </c>
      <c r="W323">
        <f>SUM(Table1[[#This Row],[Total intl calls]],Table1[[#This Row],[Total night calls]],Table1[[#This Row],[Total eve calls]],Table1[[#This Row],[Total day calls]])</f>
        <v>373</v>
      </c>
      <c r="X323" t="str" cm="1">
        <f t="array" ref="X323">_xlfn.IFS(Table1[[#This Row],[Customer service calls]]&gt;=4,"High risk",Table1[[#This Row],[Customer service calls]]&gt;=2,"Medium risk",TRUE,"Low risk")</f>
        <v>Low risk</v>
      </c>
      <c r="Y323" t="str" cm="1">
        <f t="array" ref="Y323">IFERROR(_xlfn.IFS(Table1[[#This Row],[Total usage(Min)]]&gt;=AVERAGE(U:U)*1.1,"High risk",Table1[[#This Row],[Total usage(Min)]]&lt;= AVERAGE(U:U)*0.9,"Low risk",TRUE,"Medium risk"),"N/A")</f>
        <v>High risk</v>
      </c>
      <c r="Z323" t="str" cm="1">
        <f t="array" ref="Z323">IFERROR(_xlfn.IFS(Table1[[#This Row],[Total charges]]&gt;=AVERAGE(V:V)*1.1,"High risk",Table1[[#This Row],[Total charges]]&lt;=AVERAGE(V:V)*0.9,"Low risk",TRUE,"Medium risk"),"N/A")</f>
        <v>Medium risk</v>
      </c>
      <c r="AA3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3" t="str" cm="1">
        <f t="array" ref="AC323">_xlfn.IFS(
AND(Table1[[#This Row],[Customer service risk level]]="High risk", Table1[[#This Row],[Intl usage behaviour]]="Unplanned Usage"),"High Risk",
OR(Table1[[#This Row],[Customer service risk level]]="Medium risk", Table1[[#This Row],[Charges risk level]]="High risk "),"Medium Risk",
TRUE,"Low Risk"
)</f>
        <v>Low Risk</v>
      </c>
    </row>
    <row r="324" spans="1:29" x14ac:dyDescent="0.25">
      <c r="A324" t="s">
        <v>49</v>
      </c>
      <c r="B324">
        <v>70</v>
      </c>
      <c r="C324">
        <v>408</v>
      </c>
      <c r="D324" t="s">
        <v>21</v>
      </c>
      <c r="E324" t="s">
        <v>21</v>
      </c>
      <c r="F324">
        <v>0</v>
      </c>
      <c r="G324">
        <v>148.4</v>
      </c>
      <c r="H324">
        <v>110</v>
      </c>
      <c r="I324">
        <v>25.23</v>
      </c>
      <c r="J324">
        <v>267.10000000000002</v>
      </c>
      <c r="K324">
        <v>90</v>
      </c>
      <c r="L324">
        <v>22.7</v>
      </c>
      <c r="M324">
        <v>151.5</v>
      </c>
      <c r="N324">
        <v>101</v>
      </c>
      <c r="O324">
        <v>6.82</v>
      </c>
      <c r="P324">
        <v>8.9</v>
      </c>
      <c r="Q324">
        <v>4</v>
      </c>
      <c r="R324">
        <v>2.4</v>
      </c>
      <c r="S324">
        <v>0</v>
      </c>
      <c r="T324" t="b">
        <v>0</v>
      </c>
      <c r="U324">
        <f>IFERROR(SUM(Table1[[#This Row],[Total day minutes]],Table1[[#This Row],[Total eve minutes]],Table1[[#This Row],[Total night minutes]],Table1[[#This Row],[Total intl minutes]]),0)</f>
        <v>575.9</v>
      </c>
      <c r="V324">
        <f>SUM(Table1[[#This Row],[Total intl charge]],Table1[[#This Row],[Total night charge]],Table1[[#This Row],[Total eve charge]],Table1[[#This Row],[Total day charge]])</f>
        <v>57.150000000000006</v>
      </c>
      <c r="W324">
        <f>SUM(Table1[[#This Row],[Total intl calls]],Table1[[#This Row],[Total night calls]],Table1[[#This Row],[Total eve calls]],Table1[[#This Row],[Total day calls]])</f>
        <v>305</v>
      </c>
      <c r="X324" t="str" cm="1">
        <f t="array" ref="X324">_xlfn.IFS(Table1[[#This Row],[Customer service calls]]&gt;=4,"High risk",Table1[[#This Row],[Customer service calls]]&gt;=2,"Medium risk",TRUE,"Low risk")</f>
        <v>Low risk</v>
      </c>
      <c r="Y324" t="str" cm="1">
        <f t="array" ref="Y324">IFERROR(_xlfn.IFS(Table1[[#This Row],[Total usage(Min)]]&gt;=AVERAGE(U:U)*1.1,"High risk",Table1[[#This Row],[Total usage(Min)]]&lt;= AVERAGE(U:U)*0.9,"Low risk",TRUE,"Medium risk"),"N/A")</f>
        <v>Medium risk</v>
      </c>
      <c r="Z324" t="str" cm="1">
        <f t="array" ref="Z324">IFERROR(_xlfn.IFS(Table1[[#This Row],[Total charges]]&gt;=AVERAGE(V:V)*1.1,"High risk",Table1[[#This Row],[Total charges]]&lt;=AVERAGE(V:V)*0.9,"Low risk",TRUE,"Medium risk"),"N/A")</f>
        <v>Medium risk</v>
      </c>
      <c r="AA3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4" t="str" cm="1">
        <f t="array" ref="AC324">_xlfn.IFS(
AND(Table1[[#This Row],[Customer service risk level]]="High risk", Table1[[#This Row],[Intl usage behaviour]]="Unplanned Usage"),"High Risk",
OR(Table1[[#This Row],[Customer service risk level]]="Medium risk", Table1[[#This Row],[Charges risk level]]="High risk "),"Medium Risk",
TRUE,"Low Risk"
)</f>
        <v>Low Risk</v>
      </c>
    </row>
    <row r="325" spans="1:29" x14ac:dyDescent="0.25">
      <c r="A325" t="s">
        <v>35</v>
      </c>
      <c r="B325">
        <v>80</v>
      </c>
      <c r="C325">
        <v>408</v>
      </c>
      <c r="D325" t="s">
        <v>21</v>
      </c>
      <c r="E325" t="s">
        <v>21</v>
      </c>
      <c r="F325">
        <v>0</v>
      </c>
      <c r="G325">
        <v>148.6</v>
      </c>
      <c r="H325">
        <v>106</v>
      </c>
      <c r="I325">
        <v>25.26</v>
      </c>
      <c r="J325">
        <v>210.8</v>
      </c>
      <c r="K325">
        <v>65</v>
      </c>
      <c r="L325">
        <v>17.920000000000002</v>
      </c>
      <c r="M325">
        <v>203.7</v>
      </c>
      <c r="N325">
        <v>86</v>
      </c>
      <c r="O325">
        <v>9.17</v>
      </c>
      <c r="P325">
        <v>10</v>
      </c>
      <c r="Q325">
        <v>2</v>
      </c>
      <c r="R325">
        <v>2.7</v>
      </c>
      <c r="S325">
        <v>2</v>
      </c>
      <c r="T325" t="b">
        <v>0</v>
      </c>
      <c r="U325">
        <f>IFERROR(SUM(Table1[[#This Row],[Total day minutes]],Table1[[#This Row],[Total eve minutes]],Table1[[#This Row],[Total night minutes]],Table1[[#This Row],[Total intl minutes]]),0)</f>
        <v>573.09999999999991</v>
      </c>
      <c r="V325">
        <f>SUM(Table1[[#This Row],[Total intl charge]],Table1[[#This Row],[Total night charge]],Table1[[#This Row],[Total eve charge]],Table1[[#This Row],[Total day charge]])</f>
        <v>55.050000000000004</v>
      </c>
      <c r="W325">
        <f>SUM(Table1[[#This Row],[Total intl calls]],Table1[[#This Row],[Total night calls]],Table1[[#This Row],[Total eve calls]],Table1[[#This Row],[Total day calls]])</f>
        <v>259</v>
      </c>
      <c r="X325" t="str" cm="1">
        <f t="array" ref="X325">_xlfn.IFS(Table1[[#This Row],[Customer service calls]]&gt;=4,"High risk",Table1[[#This Row],[Customer service calls]]&gt;=2,"Medium risk",TRUE,"Low risk")</f>
        <v>Medium risk</v>
      </c>
      <c r="Y325" t="str" cm="1">
        <f t="array" ref="Y325">IFERROR(_xlfn.IFS(Table1[[#This Row],[Total usage(Min)]]&gt;=AVERAGE(U:U)*1.1,"High risk",Table1[[#This Row],[Total usage(Min)]]&lt;= AVERAGE(U:U)*0.9,"Low risk",TRUE,"Medium risk"),"N/A")</f>
        <v>Medium risk</v>
      </c>
      <c r="Z325" t="str" cm="1">
        <f t="array" ref="Z325">IFERROR(_xlfn.IFS(Table1[[#This Row],[Total charges]]&gt;=AVERAGE(V:V)*1.1,"High risk",Table1[[#This Row],[Total charges]]&lt;=AVERAGE(V:V)*0.9,"Low risk",TRUE,"Medium risk"),"N/A")</f>
        <v>Medium risk</v>
      </c>
      <c r="AA3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5" t="str" cm="1">
        <f t="array" ref="AC325">_xlfn.IFS(
AND(Table1[[#This Row],[Customer service risk level]]="High risk", Table1[[#This Row],[Intl usage behaviour]]="Unplanned Usage"),"High Risk",
OR(Table1[[#This Row],[Customer service risk level]]="Medium risk", Table1[[#This Row],[Charges risk level]]="High risk "),"Medium Risk",
TRUE,"Low Risk"
)</f>
        <v>Medium Risk</v>
      </c>
    </row>
    <row r="326" spans="1:29" x14ac:dyDescent="0.25">
      <c r="A326" t="s">
        <v>33</v>
      </c>
      <c r="B326">
        <v>137</v>
      </c>
      <c r="C326">
        <v>510</v>
      </c>
      <c r="D326" t="s">
        <v>21</v>
      </c>
      <c r="E326" t="s">
        <v>21</v>
      </c>
      <c r="F326">
        <v>0</v>
      </c>
      <c r="G326">
        <v>97.5</v>
      </c>
      <c r="H326">
        <v>95</v>
      </c>
      <c r="I326">
        <v>16.579999999999998</v>
      </c>
      <c r="J326">
        <v>195.8</v>
      </c>
      <c r="K326">
        <v>82</v>
      </c>
      <c r="L326">
        <v>16.64</v>
      </c>
      <c r="M326">
        <v>288.8</v>
      </c>
      <c r="N326">
        <v>78</v>
      </c>
      <c r="O326">
        <v>13</v>
      </c>
      <c r="P326">
        <v>0</v>
      </c>
      <c r="Q326">
        <v>0</v>
      </c>
      <c r="R326">
        <v>0</v>
      </c>
      <c r="S326">
        <v>1</v>
      </c>
      <c r="T326" t="b">
        <v>0</v>
      </c>
      <c r="U326">
        <f>IFERROR(SUM(Table1[[#This Row],[Total day minutes]],Table1[[#This Row],[Total eve minutes]],Table1[[#This Row],[Total night minutes]],Table1[[#This Row],[Total intl minutes]]),0)</f>
        <v>582.1</v>
      </c>
      <c r="V326">
        <f>SUM(Table1[[#This Row],[Total intl charge]],Table1[[#This Row],[Total night charge]],Table1[[#This Row],[Total eve charge]],Table1[[#This Row],[Total day charge]])</f>
        <v>46.22</v>
      </c>
      <c r="W326">
        <f>SUM(Table1[[#This Row],[Total intl calls]],Table1[[#This Row],[Total night calls]],Table1[[#This Row],[Total eve calls]],Table1[[#This Row],[Total day calls]])</f>
        <v>255</v>
      </c>
      <c r="X326" t="str" cm="1">
        <f t="array" ref="X326">_xlfn.IFS(Table1[[#This Row],[Customer service calls]]&gt;=4,"High risk",Table1[[#This Row],[Customer service calls]]&gt;=2,"Medium risk",TRUE,"Low risk")</f>
        <v>Low risk</v>
      </c>
      <c r="Y326" t="str" cm="1">
        <f t="array" ref="Y326">IFERROR(_xlfn.IFS(Table1[[#This Row],[Total usage(Min)]]&gt;=AVERAGE(U:U)*1.1,"High risk",Table1[[#This Row],[Total usage(Min)]]&lt;= AVERAGE(U:U)*0.9,"Low risk",TRUE,"Medium risk"),"N/A")</f>
        <v>Medium risk</v>
      </c>
      <c r="Z326" t="str" cm="1">
        <f t="array" ref="Z326">IFERROR(_xlfn.IFS(Table1[[#This Row],[Total charges]]&gt;=AVERAGE(V:V)*1.1,"High risk",Table1[[#This Row],[Total charges]]&lt;=AVERAGE(V:V)*0.9,"Low risk",TRUE,"Medium risk"),"N/A")</f>
        <v>Low risk</v>
      </c>
      <c r="AA3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Inactive</v>
      </c>
      <c r="AB32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6" t="str" cm="1">
        <f t="array" ref="AC326">_xlfn.IFS(
AND(Table1[[#This Row],[Customer service risk level]]="High risk", Table1[[#This Row],[Intl usage behaviour]]="Unplanned Usage"),"High Risk",
OR(Table1[[#This Row],[Customer service risk level]]="Medium risk", Table1[[#This Row],[Charges risk level]]="High risk "),"Medium Risk",
TRUE,"Low Risk"
)</f>
        <v>Low Risk</v>
      </c>
    </row>
    <row r="327" spans="1:29" x14ac:dyDescent="0.25">
      <c r="A327" t="s">
        <v>63</v>
      </c>
      <c r="B327">
        <v>90</v>
      </c>
      <c r="C327">
        <v>415</v>
      </c>
      <c r="D327" t="s">
        <v>21</v>
      </c>
      <c r="E327" t="s">
        <v>27</v>
      </c>
      <c r="F327">
        <v>29</v>
      </c>
      <c r="G327">
        <v>185.6</v>
      </c>
      <c r="H327">
        <v>106</v>
      </c>
      <c r="I327">
        <v>31.55</v>
      </c>
      <c r="J327">
        <v>219.7</v>
      </c>
      <c r="K327">
        <v>113</v>
      </c>
      <c r="L327">
        <v>18.670000000000002</v>
      </c>
      <c r="M327">
        <v>152.1</v>
      </c>
      <c r="N327">
        <v>120</v>
      </c>
      <c r="O327">
        <v>6.84</v>
      </c>
      <c r="P327">
        <v>11.1</v>
      </c>
      <c r="Q327">
        <v>5</v>
      </c>
      <c r="R327">
        <v>3</v>
      </c>
      <c r="S327">
        <v>2</v>
      </c>
      <c r="T327" t="b">
        <v>0</v>
      </c>
      <c r="U327">
        <f>IFERROR(SUM(Table1[[#This Row],[Total day minutes]],Table1[[#This Row],[Total eve minutes]],Table1[[#This Row],[Total night minutes]],Table1[[#This Row],[Total intl minutes]]),0)</f>
        <v>568.5</v>
      </c>
      <c r="V327">
        <f>SUM(Table1[[#This Row],[Total intl charge]],Table1[[#This Row],[Total night charge]],Table1[[#This Row],[Total eve charge]],Table1[[#This Row],[Total day charge]])</f>
        <v>60.06</v>
      </c>
      <c r="W327">
        <f>SUM(Table1[[#This Row],[Total intl calls]],Table1[[#This Row],[Total night calls]],Table1[[#This Row],[Total eve calls]],Table1[[#This Row],[Total day calls]])</f>
        <v>344</v>
      </c>
      <c r="X327" t="str" cm="1">
        <f t="array" ref="X327">_xlfn.IFS(Table1[[#This Row],[Customer service calls]]&gt;=4,"High risk",Table1[[#This Row],[Customer service calls]]&gt;=2,"Medium risk",TRUE,"Low risk")</f>
        <v>Medium risk</v>
      </c>
      <c r="Y327" t="str" cm="1">
        <f t="array" ref="Y327">IFERROR(_xlfn.IFS(Table1[[#This Row],[Total usage(Min)]]&gt;=AVERAGE(U:U)*1.1,"High risk",Table1[[#This Row],[Total usage(Min)]]&lt;= AVERAGE(U:U)*0.9,"Low risk",TRUE,"Medium risk"),"N/A")</f>
        <v>Medium risk</v>
      </c>
      <c r="Z327" t="str" cm="1">
        <f t="array" ref="Z327">IFERROR(_xlfn.IFS(Table1[[#This Row],[Total charges]]&gt;=AVERAGE(V:V)*1.1,"High risk",Table1[[#This Row],[Total charges]]&lt;=AVERAGE(V:V)*0.9,"Low risk",TRUE,"Medium risk"),"N/A")</f>
        <v>Medium risk</v>
      </c>
      <c r="AA3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27" t="str" cm="1">
        <f t="array" ref="AC327">_xlfn.IFS(
AND(Table1[[#This Row],[Customer service risk level]]="High risk", Table1[[#This Row],[Intl usage behaviour]]="Unplanned Usage"),"High Risk",
OR(Table1[[#This Row],[Customer service risk level]]="Medium risk", Table1[[#This Row],[Charges risk level]]="High risk "),"Medium Risk",
TRUE,"Low Risk"
)</f>
        <v>Medium Risk</v>
      </c>
    </row>
    <row r="328" spans="1:29" x14ac:dyDescent="0.25">
      <c r="A328" t="s">
        <v>56</v>
      </c>
      <c r="B328">
        <v>30</v>
      </c>
      <c r="C328">
        <v>408</v>
      </c>
      <c r="D328" t="s">
        <v>21</v>
      </c>
      <c r="E328" t="s">
        <v>21</v>
      </c>
      <c r="F328">
        <v>0</v>
      </c>
      <c r="G328">
        <v>137.6</v>
      </c>
      <c r="H328">
        <v>108</v>
      </c>
      <c r="I328">
        <v>23.39</v>
      </c>
      <c r="J328">
        <v>162</v>
      </c>
      <c r="K328">
        <v>80</v>
      </c>
      <c r="L328">
        <v>13.77</v>
      </c>
      <c r="M328">
        <v>187.7</v>
      </c>
      <c r="N328">
        <v>126</v>
      </c>
      <c r="O328">
        <v>8.4499999999999993</v>
      </c>
      <c r="P328">
        <v>5.8</v>
      </c>
      <c r="Q328">
        <v>10</v>
      </c>
      <c r="R328">
        <v>1.57</v>
      </c>
      <c r="S328">
        <v>3</v>
      </c>
      <c r="T328" t="b">
        <v>0</v>
      </c>
      <c r="U328">
        <f>IFERROR(SUM(Table1[[#This Row],[Total day minutes]],Table1[[#This Row],[Total eve minutes]],Table1[[#This Row],[Total night minutes]],Table1[[#This Row],[Total intl minutes]]),0)</f>
        <v>493.1</v>
      </c>
      <c r="V328">
        <f>SUM(Table1[[#This Row],[Total intl charge]],Table1[[#This Row],[Total night charge]],Table1[[#This Row],[Total eve charge]],Table1[[#This Row],[Total day charge]])</f>
        <v>47.18</v>
      </c>
      <c r="W328">
        <f>SUM(Table1[[#This Row],[Total intl calls]],Table1[[#This Row],[Total night calls]],Table1[[#This Row],[Total eve calls]],Table1[[#This Row],[Total day calls]])</f>
        <v>324</v>
      </c>
      <c r="X328" t="str" cm="1">
        <f t="array" ref="X328">_xlfn.IFS(Table1[[#This Row],[Customer service calls]]&gt;=4,"High risk",Table1[[#This Row],[Customer service calls]]&gt;=2,"Medium risk",TRUE,"Low risk")</f>
        <v>Medium risk</v>
      </c>
      <c r="Y328" t="str" cm="1">
        <f t="array" ref="Y328">IFERROR(_xlfn.IFS(Table1[[#This Row],[Total usage(Min)]]&gt;=AVERAGE(U:U)*1.1,"High risk",Table1[[#This Row],[Total usage(Min)]]&lt;= AVERAGE(U:U)*0.9,"Low risk",TRUE,"Medium risk"),"N/A")</f>
        <v>Low risk</v>
      </c>
      <c r="Z328" t="str" cm="1">
        <f t="array" ref="Z328">IFERROR(_xlfn.IFS(Table1[[#This Row],[Total charges]]&gt;=AVERAGE(V:V)*1.1,"High risk",Table1[[#This Row],[Total charges]]&lt;=AVERAGE(V:V)*0.9,"Low risk",TRUE,"Medium risk"),"N/A")</f>
        <v>Low risk</v>
      </c>
      <c r="AA3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2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8" t="str" cm="1">
        <f t="array" ref="AC328">_xlfn.IFS(
AND(Table1[[#This Row],[Customer service risk level]]="High risk", Table1[[#This Row],[Intl usage behaviour]]="Unplanned Usage"),"High Risk",
OR(Table1[[#This Row],[Customer service risk level]]="Medium risk", Table1[[#This Row],[Charges risk level]]="High risk "),"Medium Risk",
TRUE,"Low Risk"
)</f>
        <v>Medium Risk</v>
      </c>
    </row>
    <row r="329" spans="1:29" x14ac:dyDescent="0.25">
      <c r="A329" t="s">
        <v>52</v>
      </c>
      <c r="B329">
        <v>105</v>
      </c>
      <c r="C329">
        <v>415</v>
      </c>
      <c r="D329" t="s">
        <v>27</v>
      </c>
      <c r="E329" t="s">
        <v>21</v>
      </c>
      <c r="F329">
        <v>0</v>
      </c>
      <c r="G329">
        <v>273.89999999999998</v>
      </c>
      <c r="H329">
        <v>119</v>
      </c>
      <c r="I329">
        <v>46.56</v>
      </c>
      <c r="J329">
        <v>278.60000000000002</v>
      </c>
      <c r="K329">
        <v>103</v>
      </c>
      <c r="L329">
        <v>23.68</v>
      </c>
      <c r="M329">
        <v>255.3</v>
      </c>
      <c r="N329">
        <v>90</v>
      </c>
      <c r="O329">
        <v>11.49</v>
      </c>
      <c r="P329">
        <v>10.9</v>
      </c>
      <c r="Q329">
        <v>7</v>
      </c>
      <c r="R329">
        <v>2.94</v>
      </c>
      <c r="S329">
        <v>1</v>
      </c>
      <c r="T329" t="b">
        <v>1</v>
      </c>
      <c r="U329">
        <f>IFERROR(SUM(Table1[[#This Row],[Total day minutes]],Table1[[#This Row],[Total eve minutes]],Table1[[#This Row],[Total night minutes]],Table1[[#This Row],[Total intl minutes]]),0)</f>
        <v>818.69999999999993</v>
      </c>
      <c r="V329">
        <f>SUM(Table1[[#This Row],[Total intl charge]],Table1[[#This Row],[Total night charge]],Table1[[#This Row],[Total eve charge]],Table1[[#This Row],[Total day charge]])</f>
        <v>84.67</v>
      </c>
      <c r="W329">
        <f>SUM(Table1[[#This Row],[Total intl calls]],Table1[[#This Row],[Total night calls]],Table1[[#This Row],[Total eve calls]],Table1[[#This Row],[Total day calls]])</f>
        <v>319</v>
      </c>
      <c r="X329" t="str" cm="1">
        <f t="array" ref="X329">_xlfn.IFS(Table1[[#This Row],[Customer service calls]]&gt;=4,"High risk",Table1[[#This Row],[Customer service calls]]&gt;=2,"Medium risk",TRUE,"Low risk")</f>
        <v>Low risk</v>
      </c>
      <c r="Y329" t="str" cm="1">
        <f t="array" ref="Y329">IFERROR(_xlfn.IFS(Table1[[#This Row],[Total usage(Min)]]&gt;=AVERAGE(U:U)*1.1,"High risk",Table1[[#This Row],[Total usage(Min)]]&lt;= AVERAGE(U:U)*0.9,"Low risk",TRUE,"Medium risk"),"N/A")</f>
        <v>High risk</v>
      </c>
      <c r="Z329" t="str" cm="1">
        <f t="array" ref="Z329">IFERROR(_xlfn.IFS(Table1[[#This Row],[Total charges]]&gt;=AVERAGE(V:V)*1.1,"High risk",Table1[[#This Row],[Total charges]]&lt;=AVERAGE(V:V)*0.9,"Low risk",TRUE,"Medium risk"),"N/A")</f>
        <v>High risk</v>
      </c>
      <c r="AA3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3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29" t="str" cm="1">
        <f t="array" ref="AC329">_xlfn.IFS(
AND(Table1[[#This Row],[Customer service risk level]]="High risk", Table1[[#This Row],[Intl usage behaviour]]="Unplanned Usage"),"High Risk",
OR(Table1[[#This Row],[Customer service risk level]]="Medium risk", Table1[[#This Row],[Charges risk level]]="High risk "),"Medium Risk",
TRUE,"Low Risk"
)</f>
        <v>Low Risk</v>
      </c>
    </row>
    <row r="330" spans="1:29" x14ac:dyDescent="0.25">
      <c r="A330" t="s">
        <v>35</v>
      </c>
      <c r="B330">
        <v>102</v>
      </c>
      <c r="C330">
        <v>415</v>
      </c>
      <c r="D330" t="s">
        <v>21</v>
      </c>
      <c r="E330" t="s">
        <v>27</v>
      </c>
      <c r="F330">
        <v>31</v>
      </c>
      <c r="G330">
        <v>125.3</v>
      </c>
      <c r="H330">
        <v>92</v>
      </c>
      <c r="I330">
        <v>21.3</v>
      </c>
      <c r="J330">
        <v>141.19999999999999</v>
      </c>
      <c r="K330">
        <v>108</v>
      </c>
      <c r="L330">
        <v>12</v>
      </c>
      <c r="M330">
        <v>168.2</v>
      </c>
      <c r="N330">
        <v>68</v>
      </c>
      <c r="O330">
        <v>7.57</v>
      </c>
      <c r="P330">
        <v>6.3</v>
      </c>
      <c r="Q330">
        <v>2</v>
      </c>
      <c r="R330">
        <v>1.7</v>
      </c>
      <c r="S330">
        <v>3</v>
      </c>
      <c r="T330" t="b">
        <v>0</v>
      </c>
      <c r="U330">
        <f>IFERROR(SUM(Table1[[#This Row],[Total day minutes]],Table1[[#This Row],[Total eve minutes]],Table1[[#This Row],[Total night minutes]],Table1[[#This Row],[Total intl minutes]]),0)</f>
        <v>441</v>
      </c>
      <c r="V330">
        <f>SUM(Table1[[#This Row],[Total intl charge]],Table1[[#This Row],[Total night charge]],Table1[[#This Row],[Total eve charge]],Table1[[#This Row],[Total day charge]])</f>
        <v>42.57</v>
      </c>
      <c r="W330">
        <f>SUM(Table1[[#This Row],[Total intl calls]],Table1[[#This Row],[Total night calls]],Table1[[#This Row],[Total eve calls]],Table1[[#This Row],[Total day calls]])</f>
        <v>270</v>
      </c>
      <c r="X330" t="str" cm="1">
        <f t="array" ref="X330">_xlfn.IFS(Table1[[#This Row],[Customer service calls]]&gt;=4,"High risk",Table1[[#This Row],[Customer service calls]]&gt;=2,"Medium risk",TRUE,"Low risk")</f>
        <v>Medium risk</v>
      </c>
      <c r="Y330" t="str" cm="1">
        <f t="array" ref="Y330">IFERROR(_xlfn.IFS(Table1[[#This Row],[Total usage(Min)]]&gt;=AVERAGE(U:U)*1.1,"High risk",Table1[[#This Row],[Total usage(Min)]]&lt;= AVERAGE(U:U)*0.9,"Low risk",TRUE,"Medium risk"),"N/A")</f>
        <v>Low risk</v>
      </c>
      <c r="Z330" t="str" cm="1">
        <f t="array" ref="Z330">IFERROR(_xlfn.IFS(Table1[[#This Row],[Total charges]]&gt;=AVERAGE(V:V)*1.1,"High risk",Table1[[#This Row],[Total charges]]&lt;=AVERAGE(V:V)*0.9,"Low risk",TRUE,"Medium risk"),"N/A")</f>
        <v>Low risk</v>
      </c>
      <c r="AA3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30" t="str" cm="1">
        <f t="array" ref="AC330">_xlfn.IFS(
AND(Table1[[#This Row],[Customer service risk level]]="High risk", Table1[[#This Row],[Intl usage behaviour]]="Unplanned Usage"),"High Risk",
OR(Table1[[#This Row],[Customer service risk level]]="Medium risk", Table1[[#This Row],[Charges risk level]]="High risk "),"Medium Risk",
TRUE,"Low Risk"
)</f>
        <v>Medium Risk</v>
      </c>
    </row>
    <row r="331" spans="1:29" x14ac:dyDescent="0.25">
      <c r="A331" t="s">
        <v>64</v>
      </c>
      <c r="B331">
        <v>83</v>
      </c>
      <c r="C331">
        <v>415</v>
      </c>
      <c r="D331" t="s">
        <v>21</v>
      </c>
      <c r="E331" t="s">
        <v>21</v>
      </c>
      <c r="F331">
        <v>0</v>
      </c>
      <c r="G331">
        <v>178.8</v>
      </c>
      <c r="H331">
        <v>102</v>
      </c>
      <c r="I331">
        <v>30.4</v>
      </c>
      <c r="J331">
        <v>167.9</v>
      </c>
      <c r="K331">
        <v>84</v>
      </c>
      <c r="L331">
        <v>14.27</v>
      </c>
      <c r="M331">
        <v>178.9</v>
      </c>
      <c r="N331">
        <v>65</v>
      </c>
      <c r="O331">
        <v>8.0500000000000007</v>
      </c>
      <c r="P331">
        <v>8.6</v>
      </c>
      <c r="Q331">
        <v>4</v>
      </c>
      <c r="R331">
        <v>2.3199999999999998</v>
      </c>
      <c r="S331">
        <v>3</v>
      </c>
      <c r="T331" t="b">
        <v>0</v>
      </c>
      <c r="U331">
        <f>IFERROR(SUM(Table1[[#This Row],[Total day minutes]],Table1[[#This Row],[Total eve minutes]],Table1[[#This Row],[Total night minutes]],Table1[[#This Row],[Total intl minutes]]),0)</f>
        <v>534.20000000000005</v>
      </c>
      <c r="V331">
        <f>SUM(Table1[[#This Row],[Total intl charge]],Table1[[#This Row],[Total night charge]],Table1[[#This Row],[Total eve charge]],Table1[[#This Row],[Total day charge]])</f>
        <v>55.04</v>
      </c>
      <c r="W331">
        <f>SUM(Table1[[#This Row],[Total intl calls]],Table1[[#This Row],[Total night calls]],Table1[[#This Row],[Total eve calls]],Table1[[#This Row],[Total day calls]])</f>
        <v>255</v>
      </c>
      <c r="X331" t="str" cm="1">
        <f t="array" ref="X331">_xlfn.IFS(Table1[[#This Row],[Customer service calls]]&gt;=4,"High risk",Table1[[#This Row],[Customer service calls]]&gt;=2,"Medium risk",TRUE,"Low risk")</f>
        <v>Medium risk</v>
      </c>
      <c r="Y331" t="str" cm="1">
        <f t="array" ref="Y331">IFERROR(_xlfn.IFS(Table1[[#This Row],[Total usage(Min)]]&gt;=AVERAGE(U:U)*1.1,"High risk",Table1[[#This Row],[Total usage(Min)]]&lt;= AVERAGE(U:U)*0.9,"Low risk",TRUE,"Medium risk"),"N/A")</f>
        <v>Low risk</v>
      </c>
      <c r="Z331" t="str" cm="1">
        <f t="array" ref="Z331">IFERROR(_xlfn.IFS(Table1[[#This Row],[Total charges]]&gt;=AVERAGE(V:V)*1.1,"High risk",Table1[[#This Row],[Total charges]]&lt;=AVERAGE(V:V)*0.9,"Low risk",TRUE,"Medium risk"),"N/A")</f>
        <v>Medium risk</v>
      </c>
      <c r="AA3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1" t="str" cm="1">
        <f t="array" ref="AC331">_xlfn.IFS(
AND(Table1[[#This Row],[Customer service risk level]]="High risk", Table1[[#This Row],[Intl usage behaviour]]="Unplanned Usage"),"High Risk",
OR(Table1[[#This Row],[Customer service risk level]]="Medium risk", Table1[[#This Row],[Charges risk level]]="High risk "),"Medium Risk",
TRUE,"Low Risk"
)</f>
        <v>Medium Risk</v>
      </c>
    </row>
    <row r="332" spans="1:29" x14ac:dyDescent="0.25">
      <c r="A332" t="s">
        <v>69</v>
      </c>
      <c r="B332">
        <v>63</v>
      </c>
      <c r="C332">
        <v>510</v>
      </c>
      <c r="D332" t="s">
        <v>21</v>
      </c>
      <c r="E332" t="s">
        <v>27</v>
      </c>
      <c r="F332">
        <v>49</v>
      </c>
      <c r="G332">
        <v>214.9</v>
      </c>
      <c r="H332">
        <v>86</v>
      </c>
      <c r="I332">
        <v>36.53</v>
      </c>
      <c r="J332">
        <v>198.2</v>
      </c>
      <c r="K332">
        <v>89</v>
      </c>
      <c r="L332">
        <v>16.850000000000001</v>
      </c>
      <c r="M332">
        <v>170.8</v>
      </c>
      <c r="N332">
        <v>139</v>
      </c>
      <c r="O332">
        <v>7.69</v>
      </c>
      <c r="P332">
        <v>8.1999999999999993</v>
      </c>
      <c r="Q332">
        <v>5</v>
      </c>
      <c r="R332">
        <v>2.21</v>
      </c>
      <c r="S332">
        <v>0</v>
      </c>
      <c r="T332" t="b">
        <v>0</v>
      </c>
      <c r="U332">
        <f>IFERROR(SUM(Table1[[#This Row],[Total day minutes]],Table1[[#This Row],[Total eve minutes]],Table1[[#This Row],[Total night minutes]],Table1[[#This Row],[Total intl minutes]]),0)</f>
        <v>592.10000000000014</v>
      </c>
      <c r="V332">
        <f>SUM(Table1[[#This Row],[Total intl charge]],Table1[[#This Row],[Total night charge]],Table1[[#This Row],[Total eve charge]],Table1[[#This Row],[Total day charge]])</f>
        <v>63.28</v>
      </c>
      <c r="W332">
        <f>SUM(Table1[[#This Row],[Total intl calls]],Table1[[#This Row],[Total night calls]],Table1[[#This Row],[Total eve calls]],Table1[[#This Row],[Total day calls]])</f>
        <v>319</v>
      </c>
      <c r="X332" t="str" cm="1">
        <f t="array" ref="X332">_xlfn.IFS(Table1[[#This Row],[Customer service calls]]&gt;=4,"High risk",Table1[[#This Row],[Customer service calls]]&gt;=2,"Medium risk",TRUE,"Low risk")</f>
        <v>Low risk</v>
      </c>
      <c r="Y332" t="str" cm="1">
        <f t="array" ref="Y332">IFERROR(_xlfn.IFS(Table1[[#This Row],[Total usage(Min)]]&gt;=AVERAGE(U:U)*1.1,"High risk",Table1[[#This Row],[Total usage(Min)]]&lt;= AVERAGE(U:U)*0.9,"Low risk",TRUE,"Medium risk"),"N/A")</f>
        <v>Medium risk</v>
      </c>
      <c r="Z332" t="str" cm="1">
        <f t="array" ref="Z332">IFERROR(_xlfn.IFS(Table1[[#This Row],[Total charges]]&gt;=AVERAGE(V:V)*1.1,"High risk",Table1[[#This Row],[Total charges]]&lt;=AVERAGE(V:V)*0.9,"Low risk",TRUE,"Medium risk"),"N/A")</f>
        <v>Medium risk</v>
      </c>
      <c r="AA3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32" t="str" cm="1">
        <f t="array" ref="AC332">_xlfn.IFS(
AND(Table1[[#This Row],[Customer service risk level]]="High risk", Table1[[#This Row],[Intl usage behaviour]]="Unplanned Usage"),"High Risk",
OR(Table1[[#This Row],[Customer service risk level]]="Medium risk", Table1[[#This Row],[Charges risk level]]="High risk "),"Medium Risk",
TRUE,"Low Risk"
)</f>
        <v>Low Risk</v>
      </c>
    </row>
    <row r="333" spans="1:29" x14ac:dyDescent="0.25">
      <c r="A333" t="s">
        <v>49</v>
      </c>
      <c r="B333">
        <v>155</v>
      </c>
      <c r="C333">
        <v>408</v>
      </c>
      <c r="D333" t="s">
        <v>21</v>
      </c>
      <c r="E333" t="s">
        <v>21</v>
      </c>
      <c r="F333">
        <v>0</v>
      </c>
      <c r="G333">
        <v>163</v>
      </c>
      <c r="H333">
        <v>93</v>
      </c>
      <c r="I333">
        <v>27.71</v>
      </c>
      <c r="J333">
        <v>203.9</v>
      </c>
      <c r="K333">
        <v>102</v>
      </c>
      <c r="L333">
        <v>17.329999999999998</v>
      </c>
      <c r="M333">
        <v>159</v>
      </c>
      <c r="N333">
        <v>109</v>
      </c>
      <c r="O333">
        <v>7.15</v>
      </c>
      <c r="P333">
        <v>15.1</v>
      </c>
      <c r="Q333">
        <v>4</v>
      </c>
      <c r="R333">
        <v>4.08</v>
      </c>
      <c r="S333">
        <v>2</v>
      </c>
      <c r="T333" t="b">
        <v>0</v>
      </c>
      <c r="U333">
        <f>IFERROR(SUM(Table1[[#This Row],[Total day minutes]],Table1[[#This Row],[Total eve minutes]],Table1[[#This Row],[Total night minutes]],Table1[[#This Row],[Total intl minutes]]),0)</f>
        <v>541</v>
      </c>
      <c r="V333">
        <f>SUM(Table1[[#This Row],[Total intl charge]],Table1[[#This Row],[Total night charge]],Table1[[#This Row],[Total eve charge]],Table1[[#This Row],[Total day charge]])</f>
        <v>56.269999999999996</v>
      </c>
      <c r="W333">
        <f>SUM(Table1[[#This Row],[Total intl calls]],Table1[[#This Row],[Total night calls]],Table1[[#This Row],[Total eve calls]],Table1[[#This Row],[Total day calls]])</f>
        <v>308</v>
      </c>
      <c r="X333" t="str" cm="1">
        <f t="array" ref="X333">_xlfn.IFS(Table1[[#This Row],[Customer service calls]]&gt;=4,"High risk",Table1[[#This Row],[Customer service calls]]&gt;=2,"Medium risk",TRUE,"Low risk")</f>
        <v>Medium risk</v>
      </c>
      <c r="Y333" t="str" cm="1">
        <f t="array" ref="Y333">IFERROR(_xlfn.IFS(Table1[[#This Row],[Total usage(Min)]]&gt;=AVERAGE(U:U)*1.1,"High risk",Table1[[#This Row],[Total usage(Min)]]&lt;= AVERAGE(U:U)*0.9,"Low risk",TRUE,"Medium risk"),"N/A")</f>
        <v>Medium risk</v>
      </c>
      <c r="Z333" t="str" cm="1">
        <f t="array" ref="Z333">IFERROR(_xlfn.IFS(Table1[[#This Row],[Total charges]]&gt;=AVERAGE(V:V)*1.1,"High risk",Table1[[#This Row],[Total charges]]&lt;=AVERAGE(V:V)*0.9,"Low risk",TRUE,"Medium risk"),"N/A")</f>
        <v>Medium risk</v>
      </c>
      <c r="AA3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3" t="str" cm="1">
        <f t="array" ref="AC333">_xlfn.IFS(
AND(Table1[[#This Row],[Customer service risk level]]="High risk", Table1[[#This Row],[Intl usage behaviour]]="Unplanned Usage"),"High Risk",
OR(Table1[[#This Row],[Customer service risk level]]="Medium risk", Table1[[#This Row],[Charges risk level]]="High risk "),"Medium Risk",
TRUE,"Low Risk"
)</f>
        <v>Medium Risk</v>
      </c>
    </row>
    <row r="334" spans="1:29" x14ac:dyDescent="0.25">
      <c r="A334" t="s">
        <v>62</v>
      </c>
      <c r="B334">
        <v>105</v>
      </c>
      <c r="C334">
        <v>408</v>
      </c>
      <c r="D334" t="s">
        <v>21</v>
      </c>
      <c r="E334" t="s">
        <v>21</v>
      </c>
      <c r="F334">
        <v>0</v>
      </c>
      <c r="G334">
        <v>115.5</v>
      </c>
      <c r="H334">
        <v>73</v>
      </c>
      <c r="I334">
        <v>19.64</v>
      </c>
      <c r="J334">
        <v>267.3</v>
      </c>
      <c r="K334">
        <v>83</v>
      </c>
      <c r="L334">
        <v>22.72</v>
      </c>
      <c r="M334">
        <v>114.2</v>
      </c>
      <c r="N334">
        <v>90</v>
      </c>
      <c r="O334">
        <v>5.14</v>
      </c>
      <c r="P334">
        <v>13.3</v>
      </c>
      <c r="Q334">
        <v>5</v>
      </c>
      <c r="R334">
        <v>3.59</v>
      </c>
      <c r="S334">
        <v>3</v>
      </c>
      <c r="T334" t="b">
        <v>0</v>
      </c>
      <c r="U334">
        <f>IFERROR(SUM(Table1[[#This Row],[Total day minutes]],Table1[[#This Row],[Total eve minutes]],Table1[[#This Row],[Total night minutes]],Table1[[#This Row],[Total intl minutes]]),0)</f>
        <v>510.3</v>
      </c>
      <c r="V334">
        <f>SUM(Table1[[#This Row],[Total intl charge]],Table1[[#This Row],[Total night charge]],Table1[[#This Row],[Total eve charge]],Table1[[#This Row],[Total day charge]])</f>
        <v>51.09</v>
      </c>
      <c r="W334">
        <f>SUM(Table1[[#This Row],[Total intl calls]],Table1[[#This Row],[Total night calls]],Table1[[#This Row],[Total eve calls]],Table1[[#This Row],[Total day calls]])</f>
        <v>251</v>
      </c>
      <c r="X334" t="str" cm="1">
        <f t="array" ref="X334">_xlfn.IFS(Table1[[#This Row],[Customer service calls]]&gt;=4,"High risk",Table1[[#This Row],[Customer service calls]]&gt;=2,"Medium risk",TRUE,"Low risk")</f>
        <v>Medium risk</v>
      </c>
      <c r="Y334" t="str" cm="1">
        <f t="array" ref="Y334">IFERROR(_xlfn.IFS(Table1[[#This Row],[Total usage(Min)]]&gt;=AVERAGE(U:U)*1.1,"High risk",Table1[[#This Row],[Total usage(Min)]]&lt;= AVERAGE(U:U)*0.9,"Low risk",TRUE,"Medium risk"),"N/A")</f>
        <v>Low risk</v>
      </c>
      <c r="Z334" t="str" cm="1">
        <f t="array" ref="Z334">IFERROR(_xlfn.IFS(Table1[[#This Row],[Total charges]]&gt;=AVERAGE(V:V)*1.1,"High risk",Table1[[#This Row],[Total charges]]&lt;=AVERAGE(V:V)*0.9,"Low risk",TRUE,"Medium risk"),"N/A")</f>
        <v>Low risk</v>
      </c>
      <c r="AA3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4" t="str" cm="1">
        <f t="array" ref="AC334">_xlfn.IFS(
AND(Table1[[#This Row],[Customer service risk level]]="High risk", Table1[[#This Row],[Intl usage behaviour]]="Unplanned Usage"),"High Risk",
OR(Table1[[#This Row],[Customer service risk level]]="Medium risk", Table1[[#This Row],[Charges risk level]]="High risk "),"Medium Risk",
TRUE,"Low Risk"
)</f>
        <v>Medium Risk</v>
      </c>
    </row>
    <row r="335" spans="1:29" x14ac:dyDescent="0.25">
      <c r="A335" t="s">
        <v>71</v>
      </c>
      <c r="B335">
        <v>73</v>
      </c>
      <c r="C335">
        <v>415</v>
      </c>
      <c r="D335" t="s">
        <v>21</v>
      </c>
      <c r="E335" t="s">
        <v>21</v>
      </c>
      <c r="F335">
        <v>0</v>
      </c>
      <c r="G335">
        <v>137.1</v>
      </c>
      <c r="H335">
        <v>102</v>
      </c>
      <c r="I335">
        <v>23.31</v>
      </c>
      <c r="J335">
        <v>210.8</v>
      </c>
      <c r="K335">
        <v>114</v>
      </c>
      <c r="L335">
        <v>17.920000000000002</v>
      </c>
      <c r="M335">
        <v>191.4</v>
      </c>
      <c r="N335">
        <v>120</v>
      </c>
      <c r="O335">
        <v>8.61</v>
      </c>
      <c r="P335">
        <v>11.1</v>
      </c>
      <c r="Q335">
        <v>4</v>
      </c>
      <c r="R335">
        <v>3</v>
      </c>
      <c r="S335">
        <v>1</v>
      </c>
      <c r="T335" t="b">
        <v>0</v>
      </c>
      <c r="U335">
        <f>IFERROR(SUM(Table1[[#This Row],[Total day minutes]],Table1[[#This Row],[Total eve minutes]],Table1[[#This Row],[Total night minutes]],Table1[[#This Row],[Total intl minutes]]),0)</f>
        <v>550.4</v>
      </c>
      <c r="V335">
        <f>SUM(Table1[[#This Row],[Total intl charge]],Table1[[#This Row],[Total night charge]],Table1[[#This Row],[Total eve charge]],Table1[[#This Row],[Total day charge]])</f>
        <v>52.84</v>
      </c>
      <c r="W335">
        <f>SUM(Table1[[#This Row],[Total intl calls]],Table1[[#This Row],[Total night calls]],Table1[[#This Row],[Total eve calls]],Table1[[#This Row],[Total day calls]])</f>
        <v>340</v>
      </c>
      <c r="X335" t="str" cm="1">
        <f t="array" ref="X335">_xlfn.IFS(Table1[[#This Row],[Customer service calls]]&gt;=4,"High risk",Table1[[#This Row],[Customer service calls]]&gt;=2,"Medium risk",TRUE,"Low risk")</f>
        <v>Low risk</v>
      </c>
      <c r="Y335" t="str" cm="1">
        <f t="array" ref="Y335">IFERROR(_xlfn.IFS(Table1[[#This Row],[Total usage(Min)]]&gt;=AVERAGE(U:U)*1.1,"High risk",Table1[[#This Row],[Total usage(Min)]]&lt;= AVERAGE(U:U)*0.9,"Low risk",TRUE,"Medium risk"),"N/A")</f>
        <v>Medium risk</v>
      </c>
      <c r="Z335" t="str" cm="1">
        <f t="array" ref="Z335">IFERROR(_xlfn.IFS(Table1[[#This Row],[Total charges]]&gt;=AVERAGE(V:V)*1.1,"High risk",Table1[[#This Row],[Total charges]]&lt;=AVERAGE(V:V)*0.9,"Low risk",TRUE,"Medium risk"),"N/A")</f>
        <v>Low risk</v>
      </c>
      <c r="AA3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5" t="str" cm="1">
        <f t="array" ref="AC335">_xlfn.IFS(
AND(Table1[[#This Row],[Customer service risk level]]="High risk", Table1[[#This Row],[Intl usage behaviour]]="Unplanned Usage"),"High Risk",
OR(Table1[[#This Row],[Customer service risk level]]="Medium risk", Table1[[#This Row],[Charges risk level]]="High risk "),"Medium Risk",
TRUE,"Low Risk"
)</f>
        <v>Low Risk</v>
      </c>
    </row>
    <row r="336" spans="1:29" x14ac:dyDescent="0.25">
      <c r="A336" t="s">
        <v>46</v>
      </c>
      <c r="B336">
        <v>21</v>
      </c>
      <c r="C336">
        <v>415</v>
      </c>
      <c r="D336" t="s">
        <v>21</v>
      </c>
      <c r="E336" t="s">
        <v>27</v>
      </c>
      <c r="F336">
        <v>19</v>
      </c>
      <c r="G336">
        <v>132.69999999999999</v>
      </c>
      <c r="H336">
        <v>94</v>
      </c>
      <c r="I336">
        <v>22.56</v>
      </c>
      <c r="J336">
        <v>204.6</v>
      </c>
      <c r="K336">
        <v>101</v>
      </c>
      <c r="L336">
        <v>17.39</v>
      </c>
      <c r="M336">
        <v>154.69999999999999</v>
      </c>
      <c r="N336">
        <v>78</v>
      </c>
      <c r="O336">
        <v>6.96</v>
      </c>
      <c r="P336">
        <v>12.9</v>
      </c>
      <c r="Q336">
        <v>7</v>
      </c>
      <c r="R336">
        <v>3.48</v>
      </c>
      <c r="S336">
        <v>3</v>
      </c>
      <c r="T336" t="b">
        <v>0</v>
      </c>
      <c r="U336">
        <f>IFERROR(SUM(Table1[[#This Row],[Total day minutes]],Table1[[#This Row],[Total eve minutes]],Table1[[#This Row],[Total night minutes]],Table1[[#This Row],[Total intl minutes]]),0)</f>
        <v>504.89999999999992</v>
      </c>
      <c r="V336">
        <f>SUM(Table1[[#This Row],[Total intl charge]],Table1[[#This Row],[Total night charge]],Table1[[#This Row],[Total eve charge]],Table1[[#This Row],[Total day charge]])</f>
        <v>50.39</v>
      </c>
      <c r="W336">
        <f>SUM(Table1[[#This Row],[Total intl calls]],Table1[[#This Row],[Total night calls]],Table1[[#This Row],[Total eve calls]],Table1[[#This Row],[Total day calls]])</f>
        <v>280</v>
      </c>
      <c r="X336" t="str" cm="1">
        <f t="array" ref="X336">_xlfn.IFS(Table1[[#This Row],[Customer service calls]]&gt;=4,"High risk",Table1[[#This Row],[Customer service calls]]&gt;=2,"Medium risk",TRUE,"Low risk")</f>
        <v>Medium risk</v>
      </c>
      <c r="Y336" t="str" cm="1">
        <f t="array" ref="Y336">IFERROR(_xlfn.IFS(Table1[[#This Row],[Total usage(Min)]]&gt;=AVERAGE(U:U)*1.1,"High risk",Table1[[#This Row],[Total usage(Min)]]&lt;= AVERAGE(U:U)*0.9,"Low risk",TRUE,"Medium risk"),"N/A")</f>
        <v>Low risk</v>
      </c>
      <c r="Z336" t="str" cm="1">
        <f t="array" ref="Z336">IFERROR(_xlfn.IFS(Table1[[#This Row],[Total charges]]&gt;=AVERAGE(V:V)*1.1,"High risk",Table1[[#This Row],[Total charges]]&lt;=AVERAGE(V:V)*0.9,"Low risk",TRUE,"Medium risk"),"N/A")</f>
        <v>Low risk</v>
      </c>
      <c r="AA3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36" t="str" cm="1">
        <f t="array" ref="AC336">_xlfn.IFS(
AND(Table1[[#This Row],[Customer service risk level]]="High risk", Table1[[#This Row],[Intl usage behaviour]]="Unplanned Usage"),"High Risk",
OR(Table1[[#This Row],[Customer service risk level]]="Medium risk", Table1[[#This Row],[Charges risk level]]="High risk "),"Medium Risk",
TRUE,"Low Risk"
)</f>
        <v>Medium Risk</v>
      </c>
    </row>
    <row r="337" spans="1:29" x14ac:dyDescent="0.25">
      <c r="A337" t="s">
        <v>48</v>
      </c>
      <c r="B337">
        <v>71</v>
      </c>
      <c r="C337">
        <v>415</v>
      </c>
      <c r="D337" t="s">
        <v>21</v>
      </c>
      <c r="E337" t="s">
        <v>27</v>
      </c>
      <c r="F337">
        <v>39</v>
      </c>
      <c r="G337">
        <v>183.2</v>
      </c>
      <c r="H337">
        <v>103</v>
      </c>
      <c r="I337">
        <v>31.14</v>
      </c>
      <c r="J337">
        <v>209.4</v>
      </c>
      <c r="K337">
        <v>111</v>
      </c>
      <c r="L337">
        <v>17.8</v>
      </c>
      <c r="M337">
        <v>172.4</v>
      </c>
      <c r="N337">
        <v>109</v>
      </c>
      <c r="O337">
        <v>7.76</v>
      </c>
      <c r="P337">
        <v>11.9</v>
      </c>
      <c r="Q337">
        <v>6</v>
      </c>
      <c r="R337">
        <v>3.21</v>
      </c>
      <c r="S337">
        <v>1</v>
      </c>
      <c r="T337" t="b">
        <v>0</v>
      </c>
      <c r="U337">
        <f>IFERROR(SUM(Table1[[#This Row],[Total day minutes]],Table1[[#This Row],[Total eve minutes]],Table1[[#This Row],[Total night minutes]],Table1[[#This Row],[Total intl minutes]]),0)</f>
        <v>576.9</v>
      </c>
      <c r="V337">
        <f>SUM(Table1[[#This Row],[Total intl charge]],Table1[[#This Row],[Total night charge]],Table1[[#This Row],[Total eve charge]],Table1[[#This Row],[Total day charge]])</f>
        <v>59.91</v>
      </c>
      <c r="W337">
        <f>SUM(Table1[[#This Row],[Total intl calls]],Table1[[#This Row],[Total night calls]],Table1[[#This Row],[Total eve calls]],Table1[[#This Row],[Total day calls]])</f>
        <v>329</v>
      </c>
      <c r="X337" t="str" cm="1">
        <f t="array" ref="X337">_xlfn.IFS(Table1[[#This Row],[Customer service calls]]&gt;=4,"High risk",Table1[[#This Row],[Customer service calls]]&gt;=2,"Medium risk",TRUE,"Low risk")</f>
        <v>Low risk</v>
      </c>
      <c r="Y337" t="str" cm="1">
        <f t="array" ref="Y337">IFERROR(_xlfn.IFS(Table1[[#This Row],[Total usage(Min)]]&gt;=AVERAGE(U:U)*1.1,"High risk",Table1[[#This Row],[Total usage(Min)]]&lt;= AVERAGE(U:U)*0.9,"Low risk",TRUE,"Medium risk"),"N/A")</f>
        <v>Medium risk</v>
      </c>
      <c r="Z337" t="str" cm="1">
        <f t="array" ref="Z337">IFERROR(_xlfn.IFS(Table1[[#This Row],[Total charges]]&gt;=AVERAGE(V:V)*1.1,"High risk",Table1[[#This Row],[Total charges]]&lt;=AVERAGE(V:V)*0.9,"Low risk",TRUE,"Medium risk"),"N/A")</f>
        <v>Medium risk</v>
      </c>
      <c r="AA3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37" t="str" cm="1">
        <f t="array" ref="AC337">_xlfn.IFS(
AND(Table1[[#This Row],[Customer service risk level]]="High risk", Table1[[#This Row],[Intl usage behaviour]]="Unplanned Usage"),"High Risk",
OR(Table1[[#This Row],[Customer service risk level]]="Medium risk", Table1[[#This Row],[Charges risk level]]="High risk "),"Medium Risk",
TRUE,"Low Risk"
)</f>
        <v>Low Risk</v>
      </c>
    </row>
    <row r="338" spans="1:29" x14ac:dyDescent="0.25">
      <c r="A338" t="s">
        <v>36</v>
      </c>
      <c r="B338">
        <v>112</v>
      </c>
      <c r="C338">
        <v>415</v>
      </c>
      <c r="D338" t="s">
        <v>21</v>
      </c>
      <c r="E338" t="s">
        <v>21</v>
      </c>
      <c r="F338">
        <v>0</v>
      </c>
      <c r="G338">
        <v>170.5</v>
      </c>
      <c r="H338">
        <v>113</v>
      </c>
      <c r="I338">
        <v>28.99</v>
      </c>
      <c r="J338">
        <v>193.2</v>
      </c>
      <c r="K338">
        <v>129</v>
      </c>
      <c r="L338">
        <v>16.420000000000002</v>
      </c>
      <c r="M338">
        <v>188</v>
      </c>
      <c r="N338">
        <v>91</v>
      </c>
      <c r="O338">
        <v>8.4600000000000009</v>
      </c>
      <c r="P338">
        <v>11.2</v>
      </c>
      <c r="Q338">
        <v>6</v>
      </c>
      <c r="R338">
        <v>3.02</v>
      </c>
      <c r="S338">
        <v>0</v>
      </c>
      <c r="T338" t="b">
        <v>0</v>
      </c>
      <c r="U338">
        <f>IFERROR(SUM(Table1[[#This Row],[Total day minutes]],Table1[[#This Row],[Total eve minutes]],Table1[[#This Row],[Total night minutes]],Table1[[#This Row],[Total intl minutes]]),0)</f>
        <v>562.90000000000009</v>
      </c>
      <c r="V338">
        <f>SUM(Table1[[#This Row],[Total intl charge]],Table1[[#This Row],[Total night charge]],Table1[[#This Row],[Total eve charge]],Table1[[#This Row],[Total day charge]])</f>
        <v>56.89</v>
      </c>
      <c r="W338">
        <f>SUM(Table1[[#This Row],[Total intl calls]],Table1[[#This Row],[Total night calls]],Table1[[#This Row],[Total eve calls]],Table1[[#This Row],[Total day calls]])</f>
        <v>339</v>
      </c>
      <c r="X338" t="str" cm="1">
        <f t="array" ref="X338">_xlfn.IFS(Table1[[#This Row],[Customer service calls]]&gt;=4,"High risk",Table1[[#This Row],[Customer service calls]]&gt;=2,"Medium risk",TRUE,"Low risk")</f>
        <v>Low risk</v>
      </c>
      <c r="Y338" t="str" cm="1">
        <f t="array" ref="Y338">IFERROR(_xlfn.IFS(Table1[[#This Row],[Total usage(Min)]]&gt;=AVERAGE(U:U)*1.1,"High risk",Table1[[#This Row],[Total usage(Min)]]&lt;= AVERAGE(U:U)*0.9,"Low risk",TRUE,"Medium risk"),"N/A")</f>
        <v>Medium risk</v>
      </c>
      <c r="Z338" t="str" cm="1">
        <f t="array" ref="Z338">IFERROR(_xlfn.IFS(Table1[[#This Row],[Total charges]]&gt;=AVERAGE(V:V)*1.1,"High risk",Table1[[#This Row],[Total charges]]&lt;=AVERAGE(V:V)*0.9,"Low risk",TRUE,"Medium risk"),"N/A")</f>
        <v>Medium risk</v>
      </c>
      <c r="AA3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8" t="str" cm="1">
        <f t="array" ref="AC338">_xlfn.IFS(
AND(Table1[[#This Row],[Customer service risk level]]="High risk", Table1[[#This Row],[Intl usage behaviour]]="Unplanned Usage"),"High Risk",
OR(Table1[[#This Row],[Customer service risk level]]="Medium risk", Table1[[#This Row],[Charges risk level]]="High risk "),"Medium Risk",
TRUE,"Low Risk"
)</f>
        <v>Low Risk</v>
      </c>
    </row>
    <row r="339" spans="1:29" x14ac:dyDescent="0.25">
      <c r="A339" t="s">
        <v>38</v>
      </c>
      <c r="B339">
        <v>66</v>
      </c>
      <c r="C339">
        <v>510</v>
      </c>
      <c r="D339" t="s">
        <v>21</v>
      </c>
      <c r="E339" t="s">
        <v>21</v>
      </c>
      <c r="F339">
        <v>0</v>
      </c>
      <c r="G339">
        <v>154</v>
      </c>
      <c r="H339">
        <v>133</v>
      </c>
      <c r="I339">
        <v>26.18</v>
      </c>
      <c r="J339">
        <v>198.9</v>
      </c>
      <c r="K339">
        <v>121</v>
      </c>
      <c r="L339">
        <v>16.91</v>
      </c>
      <c r="M339">
        <v>151.9</v>
      </c>
      <c r="N339">
        <v>100</v>
      </c>
      <c r="O339">
        <v>6.84</v>
      </c>
      <c r="P339">
        <v>9.5</v>
      </c>
      <c r="Q339">
        <v>3</v>
      </c>
      <c r="R339">
        <v>2.57</v>
      </c>
      <c r="S339">
        <v>4</v>
      </c>
      <c r="T339" t="b">
        <v>1</v>
      </c>
      <c r="U339">
        <f>IFERROR(SUM(Table1[[#This Row],[Total day minutes]],Table1[[#This Row],[Total eve minutes]],Table1[[#This Row],[Total night minutes]],Table1[[#This Row],[Total intl minutes]]),0)</f>
        <v>514.29999999999995</v>
      </c>
      <c r="V339">
        <f>SUM(Table1[[#This Row],[Total intl charge]],Table1[[#This Row],[Total night charge]],Table1[[#This Row],[Total eve charge]],Table1[[#This Row],[Total day charge]])</f>
        <v>52.5</v>
      </c>
      <c r="W339">
        <f>SUM(Table1[[#This Row],[Total intl calls]],Table1[[#This Row],[Total night calls]],Table1[[#This Row],[Total eve calls]],Table1[[#This Row],[Total day calls]])</f>
        <v>357</v>
      </c>
      <c r="X339" t="str" cm="1">
        <f t="array" ref="X339">_xlfn.IFS(Table1[[#This Row],[Customer service calls]]&gt;=4,"High risk",Table1[[#This Row],[Customer service calls]]&gt;=2,"Medium risk",TRUE,"Low risk")</f>
        <v>High risk</v>
      </c>
      <c r="Y339" t="str" cm="1">
        <f t="array" ref="Y339">IFERROR(_xlfn.IFS(Table1[[#This Row],[Total usage(Min)]]&gt;=AVERAGE(U:U)*1.1,"High risk",Table1[[#This Row],[Total usage(Min)]]&lt;= AVERAGE(U:U)*0.9,"Low risk",TRUE,"Medium risk"),"N/A")</f>
        <v>Low risk</v>
      </c>
      <c r="Z339" t="str" cm="1">
        <f t="array" ref="Z339">IFERROR(_xlfn.IFS(Table1[[#This Row],[Total charges]]&gt;=AVERAGE(V:V)*1.1,"High risk",Table1[[#This Row],[Total charges]]&lt;=AVERAGE(V:V)*0.9,"Low risk",TRUE,"Medium risk"),"N/A")</f>
        <v>Low risk</v>
      </c>
      <c r="AA3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39" t="str" cm="1">
        <f t="array" ref="AC339">_xlfn.IFS(
AND(Table1[[#This Row],[Customer service risk level]]="High risk", Table1[[#This Row],[Intl usage behaviour]]="Unplanned Usage"),"High Risk",
OR(Table1[[#This Row],[Customer service risk level]]="Medium risk", Table1[[#This Row],[Charges risk level]]="High risk "),"Medium Risk",
TRUE,"Low Risk"
)</f>
        <v>High Risk</v>
      </c>
    </row>
    <row r="340" spans="1:29" x14ac:dyDescent="0.25">
      <c r="A340" t="s">
        <v>70</v>
      </c>
      <c r="B340">
        <v>99</v>
      </c>
      <c r="C340">
        <v>408</v>
      </c>
      <c r="D340" t="s">
        <v>21</v>
      </c>
      <c r="E340" t="s">
        <v>21</v>
      </c>
      <c r="F340">
        <v>0</v>
      </c>
      <c r="G340">
        <v>54.8</v>
      </c>
      <c r="H340">
        <v>92</v>
      </c>
      <c r="I340">
        <v>9.32</v>
      </c>
      <c r="J340">
        <v>173</v>
      </c>
      <c r="K340">
        <v>103</v>
      </c>
      <c r="L340">
        <v>14.71</v>
      </c>
      <c r="M340">
        <v>195.1</v>
      </c>
      <c r="N340">
        <v>125</v>
      </c>
      <c r="O340">
        <v>8.7799999999999994</v>
      </c>
      <c r="P340">
        <v>7.5</v>
      </c>
      <c r="Q340">
        <v>3</v>
      </c>
      <c r="R340">
        <v>2.0299999999999998</v>
      </c>
      <c r="S340">
        <v>1</v>
      </c>
      <c r="T340" t="b">
        <v>0</v>
      </c>
      <c r="U340">
        <f>IFERROR(SUM(Table1[[#This Row],[Total day minutes]],Table1[[#This Row],[Total eve minutes]],Table1[[#This Row],[Total night minutes]],Table1[[#This Row],[Total intl minutes]]),0)</f>
        <v>430.4</v>
      </c>
      <c r="V340">
        <f>SUM(Table1[[#This Row],[Total intl charge]],Table1[[#This Row],[Total night charge]],Table1[[#This Row],[Total eve charge]],Table1[[#This Row],[Total day charge]])</f>
        <v>34.840000000000003</v>
      </c>
      <c r="W340">
        <f>SUM(Table1[[#This Row],[Total intl calls]],Table1[[#This Row],[Total night calls]],Table1[[#This Row],[Total eve calls]],Table1[[#This Row],[Total day calls]])</f>
        <v>323</v>
      </c>
      <c r="X340" t="str" cm="1">
        <f t="array" ref="X340">_xlfn.IFS(Table1[[#This Row],[Customer service calls]]&gt;=4,"High risk",Table1[[#This Row],[Customer service calls]]&gt;=2,"Medium risk",TRUE,"Low risk")</f>
        <v>Low risk</v>
      </c>
      <c r="Y340" t="str" cm="1">
        <f t="array" ref="Y340">IFERROR(_xlfn.IFS(Table1[[#This Row],[Total usage(Min)]]&gt;=AVERAGE(U:U)*1.1,"High risk",Table1[[#This Row],[Total usage(Min)]]&lt;= AVERAGE(U:U)*0.9,"Low risk",TRUE,"Medium risk"),"N/A")</f>
        <v>Low risk</v>
      </c>
      <c r="Z340" t="str" cm="1">
        <f t="array" ref="Z340">IFERROR(_xlfn.IFS(Table1[[#This Row],[Total charges]]&gt;=AVERAGE(V:V)*1.1,"High risk",Table1[[#This Row],[Total charges]]&lt;=AVERAGE(V:V)*0.9,"Low risk",TRUE,"Medium risk"),"N/A")</f>
        <v>Low risk</v>
      </c>
      <c r="AA3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0" t="str" cm="1">
        <f t="array" ref="AC340">_xlfn.IFS(
AND(Table1[[#This Row],[Customer service risk level]]="High risk", Table1[[#This Row],[Intl usage behaviour]]="Unplanned Usage"),"High Risk",
OR(Table1[[#This Row],[Customer service risk level]]="Medium risk", Table1[[#This Row],[Charges risk level]]="High risk "),"Medium Risk",
TRUE,"Low Risk"
)</f>
        <v>Low Risk</v>
      </c>
    </row>
    <row r="341" spans="1:29" x14ac:dyDescent="0.25">
      <c r="A341" t="s">
        <v>66</v>
      </c>
      <c r="B341">
        <v>124</v>
      </c>
      <c r="C341">
        <v>510</v>
      </c>
      <c r="D341" t="s">
        <v>21</v>
      </c>
      <c r="E341" t="s">
        <v>21</v>
      </c>
      <c r="F341">
        <v>0</v>
      </c>
      <c r="G341">
        <v>184.8</v>
      </c>
      <c r="H341">
        <v>74</v>
      </c>
      <c r="I341">
        <v>31.42</v>
      </c>
      <c r="J341">
        <v>175.1</v>
      </c>
      <c r="K341">
        <v>84</v>
      </c>
      <c r="L341">
        <v>14.88</v>
      </c>
      <c r="M341">
        <v>158.19999999999999</v>
      </c>
      <c r="N341">
        <v>95</v>
      </c>
      <c r="O341">
        <v>7.12</v>
      </c>
      <c r="P341">
        <v>10.5</v>
      </c>
      <c r="Q341">
        <v>6</v>
      </c>
      <c r="R341">
        <v>2.84</v>
      </c>
      <c r="S341">
        <v>1</v>
      </c>
      <c r="T341" t="b">
        <v>0</v>
      </c>
      <c r="U341">
        <f>IFERROR(SUM(Table1[[#This Row],[Total day minutes]],Table1[[#This Row],[Total eve minutes]],Table1[[#This Row],[Total night minutes]],Table1[[#This Row],[Total intl minutes]]),0)</f>
        <v>528.59999999999991</v>
      </c>
      <c r="V341">
        <f>SUM(Table1[[#This Row],[Total intl charge]],Table1[[#This Row],[Total night charge]],Table1[[#This Row],[Total eve charge]],Table1[[#This Row],[Total day charge]])</f>
        <v>56.260000000000005</v>
      </c>
      <c r="W341">
        <f>SUM(Table1[[#This Row],[Total intl calls]],Table1[[#This Row],[Total night calls]],Table1[[#This Row],[Total eve calls]],Table1[[#This Row],[Total day calls]])</f>
        <v>259</v>
      </c>
      <c r="X341" t="str" cm="1">
        <f t="array" ref="X341">_xlfn.IFS(Table1[[#This Row],[Customer service calls]]&gt;=4,"High risk",Table1[[#This Row],[Customer service calls]]&gt;=2,"Medium risk",TRUE,"Low risk")</f>
        <v>Low risk</v>
      </c>
      <c r="Y341" t="str" cm="1">
        <f t="array" ref="Y341">IFERROR(_xlfn.IFS(Table1[[#This Row],[Total usage(Min)]]&gt;=AVERAGE(U:U)*1.1,"High risk",Table1[[#This Row],[Total usage(Min)]]&lt;= AVERAGE(U:U)*0.9,"Low risk",TRUE,"Medium risk"),"N/A")</f>
        <v>Low risk</v>
      </c>
      <c r="Z341" t="str" cm="1">
        <f t="array" ref="Z341">IFERROR(_xlfn.IFS(Table1[[#This Row],[Total charges]]&gt;=AVERAGE(V:V)*1.1,"High risk",Table1[[#This Row],[Total charges]]&lt;=AVERAGE(V:V)*0.9,"Low risk",TRUE,"Medium risk"),"N/A")</f>
        <v>Medium risk</v>
      </c>
      <c r="AA3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1" t="str" cm="1">
        <f t="array" ref="AC341">_xlfn.IFS(
AND(Table1[[#This Row],[Customer service risk level]]="High risk", Table1[[#This Row],[Intl usage behaviour]]="Unplanned Usage"),"High Risk",
OR(Table1[[#This Row],[Customer service risk level]]="Medium risk", Table1[[#This Row],[Charges risk level]]="High risk "),"Medium Risk",
TRUE,"Low Risk"
)</f>
        <v>Low Risk</v>
      </c>
    </row>
    <row r="342" spans="1:29" x14ac:dyDescent="0.25">
      <c r="A342" t="s">
        <v>56</v>
      </c>
      <c r="B342">
        <v>95</v>
      </c>
      <c r="C342">
        <v>415</v>
      </c>
      <c r="D342" t="s">
        <v>21</v>
      </c>
      <c r="E342" t="s">
        <v>27</v>
      </c>
      <c r="F342">
        <v>36</v>
      </c>
      <c r="G342">
        <v>283.10000000000002</v>
      </c>
      <c r="H342">
        <v>112</v>
      </c>
      <c r="I342">
        <v>48.13</v>
      </c>
      <c r="J342">
        <v>286.2</v>
      </c>
      <c r="K342">
        <v>86</v>
      </c>
      <c r="L342">
        <v>24.33</v>
      </c>
      <c r="M342">
        <v>261.7</v>
      </c>
      <c r="N342">
        <v>129</v>
      </c>
      <c r="O342">
        <v>11.78</v>
      </c>
      <c r="P342">
        <v>11.3</v>
      </c>
      <c r="Q342">
        <v>3</v>
      </c>
      <c r="R342">
        <v>3.05</v>
      </c>
      <c r="S342">
        <v>3</v>
      </c>
      <c r="T342" t="b">
        <v>0</v>
      </c>
      <c r="U342">
        <f>IFERROR(SUM(Table1[[#This Row],[Total day minutes]],Table1[[#This Row],[Total eve minutes]],Table1[[#This Row],[Total night minutes]],Table1[[#This Row],[Total intl minutes]]),0)</f>
        <v>842.3</v>
      </c>
      <c r="V342">
        <f>SUM(Table1[[#This Row],[Total intl charge]],Table1[[#This Row],[Total night charge]],Table1[[#This Row],[Total eve charge]],Table1[[#This Row],[Total day charge]])</f>
        <v>87.289999999999992</v>
      </c>
      <c r="W342">
        <f>SUM(Table1[[#This Row],[Total intl calls]],Table1[[#This Row],[Total night calls]],Table1[[#This Row],[Total eve calls]],Table1[[#This Row],[Total day calls]])</f>
        <v>330</v>
      </c>
      <c r="X342" t="str" cm="1">
        <f t="array" ref="X342">_xlfn.IFS(Table1[[#This Row],[Customer service calls]]&gt;=4,"High risk",Table1[[#This Row],[Customer service calls]]&gt;=2,"Medium risk",TRUE,"Low risk")</f>
        <v>Medium risk</v>
      </c>
      <c r="Y342" t="str" cm="1">
        <f t="array" ref="Y342">IFERROR(_xlfn.IFS(Table1[[#This Row],[Total usage(Min)]]&gt;=AVERAGE(U:U)*1.1,"High risk",Table1[[#This Row],[Total usage(Min)]]&lt;= AVERAGE(U:U)*0.9,"Low risk",TRUE,"Medium risk"),"N/A")</f>
        <v>High risk</v>
      </c>
      <c r="Z342" t="str" cm="1">
        <f t="array" ref="Z342">IFERROR(_xlfn.IFS(Table1[[#This Row],[Total charges]]&gt;=AVERAGE(V:V)*1.1,"High risk",Table1[[#This Row],[Total charges]]&lt;=AVERAGE(V:V)*0.9,"Low risk",TRUE,"Medium risk"),"N/A")</f>
        <v>High risk</v>
      </c>
      <c r="AA3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42" t="str" cm="1">
        <f t="array" ref="AC342">_xlfn.IFS(
AND(Table1[[#This Row],[Customer service risk level]]="High risk", Table1[[#This Row],[Intl usage behaviour]]="Unplanned Usage"),"High Risk",
OR(Table1[[#This Row],[Customer service risk level]]="Medium risk", Table1[[#This Row],[Charges risk level]]="High risk "),"Medium Risk",
TRUE,"Low Risk"
)</f>
        <v>Medium Risk</v>
      </c>
    </row>
    <row r="343" spans="1:29" x14ac:dyDescent="0.25">
      <c r="A343" t="s">
        <v>45</v>
      </c>
      <c r="B343">
        <v>130</v>
      </c>
      <c r="C343">
        <v>408</v>
      </c>
      <c r="D343" t="s">
        <v>21</v>
      </c>
      <c r="E343" t="s">
        <v>21</v>
      </c>
      <c r="F343">
        <v>0</v>
      </c>
      <c r="G343">
        <v>68.400000000000006</v>
      </c>
      <c r="H343">
        <v>86</v>
      </c>
      <c r="I343">
        <v>11.63</v>
      </c>
      <c r="J343">
        <v>193.3</v>
      </c>
      <c r="K343">
        <v>110</v>
      </c>
      <c r="L343">
        <v>16.43</v>
      </c>
      <c r="M343">
        <v>171.5</v>
      </c>
      <c r="N343">
        <v>139</v>
      </c>
      <c r="O343">
        <v>7.72</v>
      </c>
      <c r="P343">
        <v>10.4</v>
      </c>
      <c r="Q343">
        <v>4</v>
      </c>
      <c r="R343">
        <v>2.81</v>
      </c>
      <c r="S343">
        <v>0</v>
      </c>
      <c r="T343" t="b">
        <v>0</v>
      </c>
      <c r="U343">
        <f>IFERROR(SUM(Table1[[#This Row],[Total day minutes]],Table1[[#This Row],[Total eve minutes]],Table1[[#This Row],[Total night minutes]],Table1[[#This Row],[Total intl minutes]]),0)</f>
        <v>443.6</v>
      </c>
      <c r="V343">
        <f>SUM(Table1[[#This Row],[Total intl charge]],Table1[[#This Row],[Total night charge]],Table1[[#This Row],[Total eve charge]],Table1[[#This Row],[Total day charge]])</f>
        <v>38.590000000000003</v>
      </c>
      <c r="W343">
        <f>SUM(Table1[[#This Row],[Total intl calls]],Table1[[#This Row],[Total night calls]],Table1[[#This Row],[Total eve calls]],Table1[[#This Row],[Total day calls]])</f>
        <v>339</v>
      </c>
      <c r="X343" t="str" cm="1">
        <f t="array" ref="X343">_xlfn.IFS(Table1[[#This Row],[Customer service calls]]&gt;=4,"High risk",Table1[[#This Row],[Customer service calls]]&gt;=2,"Medium risk",TRUE,"Low risk")</f>
        <v>Low risk</v>
      </c>
      <c r="Y343" t="str" cm="1">
        <f t="array" ref="Y343">IFERROR(_xlfn.IFS(Table1[[#This Row],[Total usage(Min)]]&gt;=AVERAGE(U:U)*1.1,"High risk",Table1[[#This Row],[Total usage(Min)]]&lt;= AVERAGE(U:U)*0.9,"Low risk",TRUE,"Medium risk"),"N/A")</f>
        <v>Low risk</v>
      </c>
      <c r="Z343" t="str" cm="1">
        <f t="array" ref="Z343">IFERROR(_xlfn.IFS(Table1[[#This Row],[Total charges]]&gt;=AVERAGE(V:V)*1.1,"High risk",Table1[[#This Row],[Total charges]]&lt;=AVERAGE(V:V)*0.9,"Low risk",TRUE,"Medium risk"),"N/A")</f>
        <v>Low risk</v>
      </c>
      <c r="AA3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3" t="str" cm="1">
        <f t="array" ref="AC343">_xlfn.IFS(
AND(Table1[[#This Row],[Customer service risk level]]="High risk", Table1[[#This Row],[Intl usage behaviour]]="Unplanned Usage"),"High Risk",
OR(Table1[[#This Row],[Customer service risk level]]="Medium risk", Table1[[#This Row],[Charges risk level]]="High risk "),"Medium Risk",
TRUE,"Low Risk"
)</f>
        <v>Low Risk</v>
      </c>
    </row>
    <row r="344" spans="1:29" x14ac:dyDescent="0.25">
      <c r="A344" t="s">
        <v>65</v>
      </c>
      <c r="B344">
        <v>93</v>
      </c>
      <c r="C344">
        <v>510</v>
      </c>
      <c r="D344" t="s">
        <v>27</v>
      </c>
      <c r="E344" t="s">
        <v>21</v>
      </c>
      <c r="F344">
        <v>0</v>
      </c>
      <c r="G344">
        <v>131.4</v>
      </c>
      <c r="H344">
        <v>78</v>
      </c>
      <c r="I344">
        <v>22.34</v>
      </c>
      <c r="J344">
        <v>219.7</v>
      </c>
      <c r="K344">
        <v>106</v>
      </c>
      <c r="L344">
        <v>18.670000000000002</v>
      </c>
      <c r="M344">
        <v>155.69999999999999</v>
      </c>
      <c r="N344">
        <v>103</v>
      </c>
      <c r="O344">
        <v>7.01</v>
      </c>
      <c r="P344">
        <v>11.1</v>
      </c>
      <c r="Q344">
        <v>2</v>
      </c>
      <c r="R344">
        <v>3</v>
      </c>
      <c r="S344">
        <v>1</v>
      </c>
      <c r="T344" t="b">
        <v>1</v>
      </c>
      <c r="U344">
        <f>IFERROR(SUM(Table1[[#This Row],[Total day minutes]],Table1[[#This Row],[Total eve minutes]],Table1[[#This Row],[Total night minutes]],Table1[[#This Row],[Total intl minutes]]),0)</f>
        <v>517.9</v>
      </c>
      <c r="V344">
        <f>SUM(Table1[[#This Row],[Total intl charge]],Table1[[#This Row],[Total night charge]],Table1[[#This Row],[Total eve charge]],Table1[[#This Row],[Total day charge]])</f>
        <v>51.019999999999996</v>
      </c>
      <c r="W344">
        <f>SUM(Table1[[#This Row],[Total intl calls]],Table1[[#This Row],[Total night calls]],Table1[[#This Row],[Total eve calls]],Table1[[#This Row],[Total day calls]])</f>
        <v>289</v>
      </c>
      <c r="X344" t="str" cm="1">
        <f t="array" ref="X344">_xlfn.IFS(Table1[[#This Row],[Customer service calls]]&gt;=4,"High risk",Table1[[#This Row],[Customer service calls]]&gt;=2,"Medium risk",TRUE,"Low risk")</f>
        <v>Low risk</v>
      </c>
      <c r="Y344" t="str" cm="1">
        <f t="array" ref="Y344">IFERROR(_xlfn.IFS(Table1[[#This Row],[Total usage(Min)]]&gt;=AVERAGE(U:U)*1.1,"High risk",Table1[[#This Row],[Total usage(Min)]]&lt;= AVERAGE(U:U)*0.9,"Low risk",TRUE,"Medium risk"),"N/A")</f>
        <v>Low risk</v>
      </c>
      <c r="Z344" t="str" cm="1">
        <f t="array" ref="Z344">IFERROR(_xlfn.IFS(Table1[[#This Row],[Total charges]]&gt;=AVERAGE(V:V)*1.1,"High risk",Table1[[#This Row],[Total charges]]&lt;=AVERAGE(V:V)*0.9,"Low risk",TRUE,"Medium risk"),"N/A")</f>
        <v>Low risk</v>
      </c>
      <c r="AA3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3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4" t="str" cm="1">
        <f t="array" ref="AC344">_xlfn.IFS(
AND(Table1[[#This Row],[Customer service risk level]]="High risk", Table1[[#This Row],[Intl usage behaviour]]="Unplanned Usage"),"High Risk",
OR(Table1[[#This Row],[Customer service risk level]]="Medium risk", Table1[[#This Row],[Charges risk level]]="High risk "),"Medium Risk",
TRUE,"Low Risk"
)</f>
        <v>Low Risk</v>
      </c>
    </row>
    <row r="345" spans="1:29" x14ac:dyDescent="0.25">
      <c r="A345" t="s">
        <v>66</v>
      </c>
      <c r="B345">
        <v>191</v>
      </c>
      <c r="C345">
        <v>408</v>
      </c>
      <c r="D345" t="s">
        <v>21</v>
      </c>
      <c r="E345" t="s">
        <v>21</v>
      </c>
      <c r="F345">
        <v>0</v>
      </c>
      <c r="G345">
        <v>162</v>
      </c>
      <c r="H345">
        <v>104</v>
      </c>
      <c r="I345">
        <v>27.54</v>
      </c>
      <c r="J345">
        <v>241.2</v>
      </c>
      <c r="K345">
        <v>120</v>
      </c>
      <c r="L345">
        <v>20.5</v>
      </c>
      <c r="M345">
        <v>210.4</v>
      </c>
      <c r="N345">
        <v>83</v>
      </c>
      <c r="O345">
        <v>9.4700000000000006</v>
      </c>
      <c r="P345">
        <v>10.9</v>
      </c>
      <c r="Q345">
        <v>7</v>
      </c>
      <c r="R345">
        <v>2.94</v>
      </c>
      <c r="S345">
        <v>1</v>
      </c>
      <c r="T345" t="b">
        <v>0</v>
      </c>
      <c r="U345">
        <f>IFERROR(SUM(Table1[[#This Row],[Total day minutes]],Table1[[#This Row],[Total eve minutes]],Table1[[#This Row],[Total night minutes]],Table1[[#This Row],[Total intl minutes]]),0)</f>
        <v>624.5</v>
      </c>
      <c r="V345">
        <f>SUM(Table1[[#This Row],[Total intl charge]],Table1[[#This Row],[Total night charge]],Table1[[#This Row],[Total eve charge]],Table1[[#This Row],[Total day charge]])</f>
        <v>60.449999999999996</v>
      </c>
      <c r="W345">
        <f>SUM(Table1[[#This Row],[Total intl calls]],Table1[[#This Row],[Total night calls]],Table1[[#This Row],[Total eve calls]],Table1[[#This Row],[Total day calls]])</f>
        <v>314</v>
      </c>
      <c r="X345" t="str" cm="1">
        <f t="array" ref="X345">_xlfn.IFS(Table1[[#This Row],[Customer service calls]]&gt;=4,"High risk",Table1[[#This Row],[Customer service calls]]&gt;=2,"Medium risk",TRUE,"Low risk")</f>
        <v>Low risk</v>
      </c>
      <c r="Y345" t="str" cm="1">
        <f t="array" ref="Y345">IFERROR(_xlfn.IFS(Table1[[#This Row],[Total usage(Min)]]&gt;=AVERAGE(U:U)*1.1,"High risk",Table1[[#This Row],[Total usage(Min)]]&lt;= AVERAGE(U:U)*0.9,"Low risk",TRUE,"Medium risk"),"N/A")</f>
        <v>Medium risk</v>
      </c>
      <c r="Z345" t="str" cm="1">
        <f t="array" ref="Z345">IFERROR(_xlfn.IFS(Table1[[#This Row],[Total charges]]&gt;=AVERAGE(V:V)*1.1,"High risk",Table1[[#This Row],[Total charges]]&lt;=AVERAGE(V:V)*0.9,"Low risk",TRUE,"Medium risk"),"N/A")</f>
        <v>Medium risk</v>
      </c>
      <c r="AA3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5" t="str" cm="1">
        <f t="array" ref="AC345">_xlfn.IFS(
AND(Table1[[#This Row],[Customer service risk level]]="High risk", Table1[[#This Row],[Intl usage behaviour]]="Unplanned Usage"),"High Risk",
OR(Table1[[#This Row],[Customer service risk level]]="Medium risk", Table1[[#This Row],[Charges risk level]]="High risk "),"Medium Risk",
TRUE,"Low Risk"
)</f>
        <v>Low Risk</v>
      </c>
    </row>
    <row r="346" spans="1:29" x14ac:dyDescent="0.25">
      <c r="A346" t="s">
        <v>36</v>
      </c>
      <c r="B346">
        <v>88</v>
      </c>
      <c r="C346">
        <v>415</v>
      </c>
      <c r="D346" t="s">
        <v>21</v>
      </c>
      <c r="E346" t="s">
        <v>21</v>
      </c>
      <c r="F346">
        <v>0</v>
      </c>
      <c r="G346">
        <v>148.19999999999999</v>
      </c>
      <c r="H346">
        <v>82</v>
      </c>
      <c r="I346">
        <v>25.19</v>
      </c>
      <c r="J346">
        <v>308.7</v>
      </c>
      <c r="K346">
        <v>67</v>
      </c>
      <c r="L346">
        <v>26.24</v>
      </c>
      <c r="M346">
        <v>235.4</v>
      </c>
      <c r="N346">
        <v>79</v>
      </c>
      <c r="O346">
        <v>10.59</v>
      </c>
      <c r="P346">
        <v>6.4</v>
      </c>
      <c r="Q346">
        <v>4</v>
      </c>
      <c r="R346">
        <v>1.73</v>
      </c>
      <c r="S346">
        <v>2</v>
      </c>
      <c r="T346" t="b">
        <v>0</v>
      </c>
      <c r="U346">
        <f>IFERROR(SUM(Table1[[#This Row],[Total day minutes]],Table1[[#This Row],[Total eve minutes]],Table1[[#This Row],[Total night minutes]],Table1[[#This Row],[Total intl minutes]]),0)</f>
        <v>698.69999999999993</v>
      </c>
      <c r="V346">
        <f>SUM(Table1[[#This Row],[Total intl charge]],Table1[[#This Row],[Total night charge]],Table1[[#This Row],[Total eve charge]],Table1[[#This Row],[Total day charge]])</f>
        <v>63.75</v>
      </c>
      <c r="W346">
        <f>SUM(Table1[[#This Row],[Total intl calls]],Table1[[#This Row],[Total night calls]],Table1[[#This Row],[Total eve calls]],Table1[[#This Row],[Total day calls]])</f>
        <v>232</v>
      </c>
      <c r="X346" t="str" cm="1">
        <f t="array" ref="X346">_xlfn.IFS(Table1[[#This Row],[Customer service calls]]&gt;=4,"High risk",Table1[[#This Row],[Customer service calls]]&gt;=2,"Medium risk",TRUE,"Low risk")</f>
        <v>Medium risk</v>
      </c>
      <c r="Y346" t="str" cm="1">
        <f t="array" ref="Y346">IFERROR(_xlfn.IFS(Table1[[#This Row],[Total usage(Min)]]&gt;=AVERAGE(U:U)*1.1,"High risk",Table1[[#This Row],[Total usage(Min)]]&lt;= AVERAGE(U:U)*0.9,"Low risk",TRUE,"Medium risk"),"N/A")</f>
        <v>High risk</v>
      </c>
      <c r="Z346" t="str" cm="1">
        <f t="array" ref="Z346">IFERROR(_xlfn.IFS(Table1[[#This Row],[Total charges]]&gt;=AVERAGE(V:V)*1.1,"High risk",Table1[[#This Row],[Total charges]]&lt;=AVERAGE(V:V)*0.9,"Low risk",TRUE,"Medium risk"),"N/A")</f>
        <v>Medium risk</v>
      </c>
      <c r="AA3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6" t="str" cm="1">
        <f t="array" ref="AC346">_xlfn.IFS(
AND(Table1[[#This Row],[Customer service risk level]]="High risk", Table1[[#This Row],[Intl usage behaviour]]="Unplanned Usage"),"High Risk",
OR(Table1[[#This Row],[Customer service risk level]]="Medium risk", Table1[[#This Row],[Charges risk level]]="High risk "),"Medium Risk",
TRUE,"Low Risk"
)</f>
        <v>Medium Risk</v>
      </c>
    </row>
    <row r="347" spans="1:29" x14ac:dyDescent="0.25">
      <c r="A347" t="s">
        <v>50</v>
      </c>
      <c r="B347">
        <v>16</v>
      </c>
      <c r="C347">
        <v>415</v>
      </c>
      <c r="D347" t="s">
        <v>21</v>
      </c>
      <c r="E347" t="s">
        <v>21</v>
      </c>
      <c r="F347">
        <v>0</v>
      </c>
      <c r="G347">
        <v>174.7</v>
      </c>
      <c r="H347">
        <v>83</v>
      </c>
      <c r="I347">
        <v>29.7</v>
      </c>
      <c r="J347">
        <v>280.8</v>
      </c>
      <c r="K347">
        <v>122</v>
      </c>
      <c r="L347">
        <v>23.87</v>
      </c>
      <c r="M347">
        <v>171.7</v>
      </c>
      <c r="N347">
        <v>80</v>
      </c>
      <c r="O347">
        <v>7.73</v>
      </c>
      <c r="P347">
        <v>10.5</v>
      </c>
      <c r="Q347">
        <v>8</v>
      </c>
      <c r="R347">
        <v>2.84</v>
      </c>
      <c r="S347">
        <v>5</v>
      </c>
      <c r="T347" t="b">
        <v>0</v>
      </c>
      <c r="U347">
        <f>IFERROR(SUM(Table1[[#This Row],[Total day minutes]],Table1[[#This Row],[Total eve minutes]],Table1[[#This Row],[Total night minutes]],Table1[[#This Row],[Total intl minutes]]),0)</f>
        <v>637.70000000000005</v>
      </c>
      <c r="V347">
        <f>SUM(Table1[[#This Row],[Total intl charge]],Table1[[#This Row],[Total night charge]],Table1[[#This Row],[Total eve charge]],Table1[[#This Row],[Total day charge]])</f>
        <v>64.14</v>
      </c>
      <c r="W347">
        <f>SUM(Table1[[#This Row],[Total intl calls]],Table1[[#This Row],[Total night calls]],Table1[[#This Row],[Total eve calls]],Table1[[#This Row],[Total day calls]])</f>
        <v>293</v>
      </c>
      <c r="X347" t="str" cm="1">
        <f t="array" ref="X347">_xlfn.IFS(Table1[[#This Row],[Customer service calls]]&gt;=4,"High risk",Table1[[#This Row],[Customer service calls]]&gt;=2,"Medium risk",TRUE,"Low risk")</f>
        <v>High risk</v>
      </c>
      <c r="Y347" t="str" cm="1">
        <f t="array" ref="Y347">IFERROR(_xlfn.IFS(Table1[[#This Row],[Total usage(Min)]]&gt;=AVERAGE(U:U)*1.1,"High risk",Table1[[#This Row],[Total usage(Min)]]&lt;= AVERAGE(U:U)*0.9,"Low risk",TRUE,"Medium risk"),"N/A")</f>
        <v>Medium risk</v>
      </c>
      <c r="Z347" t="str" cm="1">
        <f t="array" ref="Z347">IFERROR(_xlfn.IFS(Table1[[#This Row],[Total charges]]&gt;=AVERAGE(V:V)*1.1,"High risk",Table1[[#This Row],[Total charges]]&lt;=AVERAGE(V:V)*0.9,"Low risk",TRUE,"Medium risk"),"N/A")</f>
        <v>Medium risk</v>
      </c>
      <c r="AA3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7" t="str" cm="1">
        <f t="array" ref="AC347">_xlfn.IFS(
AND(Table1[[#This Row],[Customer service risk level]]="High risk", Table1[[#This Row],[Intl usage behaviour]]="Unplanned Usage"),"High Risk",
OR(Table1[[#This Row],[Customer service risk level]]="Medium risk", Table1[[#This Row],[Charges risk level]]="High risk "),"Medium Risk",
TRUE,"Low Risk"
)</f>
        <v>High Risk</v>
      </c>
    </row>
    <row r="348" spans="1:29" x14ac:dyDescent="0.25">
      <c r="A348" t="s">
        <v>72</v>
      </c>
      <c r="B348">
        <v>107</v>
      </c>
      <c r="C348">
        <v>510</v>
      </c>
      <c r="D348" t="s">
        <v>21</v>
      </c>
      <c r="E348" t="s">
        <v>21</v>
      </c>
      <c r="F348">
        <v>0</v>
      </c>
      <c r="G348">
        <v>194.5</v>
      </c>
      <c r="H348">
        <v>97</v>
      </c>
      <c r="I348">
        <v>33.07</v>
      </c>
      <c r="J348">
        <v>186.3</v>
      </c>
      <c r="K348">
        <v>131</v>
      </c>
      <c r="L348">
        <v>15.84</v>
      </c>
      <c r="M348">
        <v>178.3</v>
      </c>
      <c r="N348">
        <v>106</v>
      </c>
      <c r="O348">
        <v>8.02</v>
      </c>
      <c r="P348">
        <v>12.7</v>
      </c>
      <c r="Q348">
        <v>1</v>
      </c>
      <c r="R348">
        <v>3.43</v>
      </c>
      <c r="S348">
        <v>2</v>
      </c>
      <c r="T348" t="b">
        <v>0</v>
      </c>
      <c r="U348">
        <f>IFERROR(SUM(Table1[[#This Row],[Total day minutes]],Table1[[#This Row],[Total eve minutes]],Table1[[#This Row],[Total night minutes]],Table1[[#This Row],[Total intl minutes]]),0)</f>
        <v>571.80000000000007</v>
      </c>
      <c r="V348">
        <f>SUM(Table1[[#This Row],[Total intl charge]],Table1[[#This Row],[Total night charge]],Table1[[#This Row],[Total eve charge]],Table1[[#This Row],[Total day charge]])</f>
        <v>60.36</v>
      </c>
      <c r="W348">
        <f>SUM(Table1[[#This Row],[Total intl calls]],Table1[[#This Row],[Total night calls]],Table1[[#This Row],[Total eve calls]],Table1[[#This Row],[Total day calls]])</f>
        <v>335</v>
      </c>
      <c r="X348" t="str" cm="1">
        <f t="array" ref="X348">_xlfn.IFS(Table1[[#This Row],[Customer service calls]]&gt;=4,"High risk",Table1[[#This Row],[Customer service calls]]&gt;=2,"Medium risk",TRUE,"Low risk")</f>
        <v>Medium risk</v>
      </c>
      <c r="Y348" t="str" cm="1">
        <f t="array" ref="Y348">IFERROR(_xlfn.IFS(Table1[[#This Row],[Total usage(Min)]]&gt;=AVERAGE(U:U)*1.1,"High risk",Table1[[#This Row],[Total usage(Min)]]&lt;= AVERAGE(U:U)*0.9,"Low risk",TRUE,"Medium risk"),"N/A")</f>
        <v>Medium risk</v>
      </c>
      <c r="Z348" t="str" cm="1">
        <f t="array" ref="Z348">IFERROR(_xlfn.IFS(Table1[[#This Row],[Total charges]]&gt;=AVERAGE(V:V)*1.1,"High risk",Table1[[#This Row],[Total charges]]&lt;=AVERAGE(V:V)*0.9,"Low risk",TRUE,"Medium risk"),"N/A")</f>
        <v>Medium risk</v>
      </c>
      <c r="AA3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48" t="str" cm="1">
        <f t="array" ref="AC348">_xlfn.IFS(
AND(Table1[[#This Row],[Customer service risk level]]="High risk", Table1[[#This Row],[Intl usage behaviour]]="Unplanned Usage"),"High Risk",
OR(Table1[[#This Row],[Customer service risk level]]="Medium risk", Table1[[#This Row],[Charges risk level]]="High risk "),"Medium Risk",
TRUE,"Low Risk"
)</f>
        <v>Medium Risk</v>
      </c>
    </row>
    <row r="349" spans="1:29" x14ac:dyDescent="0.25">
      <c r="A349" t="s">
        <v>26</v>
      </c>
      <c r="B349">
        <v>96</v>
      </c>
      <c r="C349">
        <v>408</v>
      </c>
      <c r="D349" t="s">
        <v>21</v>
      </c>
      <c r="E349" t="s">
        <v>27</v>
      </c>
      <c r="F349">
        <v>29</v>
      </c>
      <c r="G349">
        <v>150</v>
      </c>
      <c r="H349">
        <v>91</v>
      </c>
      <c r="I349">
        <v>25.5</v>
      </c>
      <c r="J349">
        <v>159.4</v>
      </c>
      <c r="K349">
        <v>75</v>
      </c>
      <c r="L349">
        <v>13.55</v>
      </c>
      <c r="M349">
        <v>228.1</v>
      </c>
      <c r="N349">
        <v>55</v>
      </c>
      <c r="O349">
        <v>10.26</v>
      </c>
      <c r="P349">
        <v>8.5</v>
      </c>
      <c r="Q349">
        <v>3</v>
      </c>
      <c r="R349">
        <v>2.2999999999999998</v>
      </c>
      <c r="S349">
        <v>1</v>
      </c>
      <c r="T349" t="b">
        <v>0</v>
      </c>
      <c r="U349">
        <f>IFERROR(SUM(Table1[[#This Row],[Total day minutes]],Table1[[#This Row],[Total eve minutes]],Table1[[#This Row],[Total night minutes]],Table1[[#This Row],[Total intl minutes]]),0)</f>
        <v>546</v>
      </c>
      <c r="V349">
        <f>SUM(Table1[[#This Row],[Total intl charge]],Table1[[#This Row],[Total night charge]],Table1[[#This Row],[Total eve charge]],Table1[[#This Row],[Total day charge]])</f>
        <v>51.61</v>
      </c>
      <c r="W349">
        <f>SUM(Table1[[#This Row],[Total intl calls]],Table1[[#This Row],[Total night calls]],Table1[[#This Row],[Total eve calls]],Table1[[#This Row],[Total day calls]])</f>
        <v>224</v>
      </c>
      <c r="X349" t="str" cm="1">
        <f t="array" ref="X349">_xlfn.IFS(Table1[[#This Row],[Customer service calls]]&gt;=4,"High risk",Table1[[#This Row],[Customer service calls]]&gt;=2,"Medium risk",TRUE,"Low risk")</f>
        <v>Low risk</v>
      </c>
      <c r="Y349" t="str" cm="1">
        <f t="array" ref="Y349">IFERROR(_xlfn.IFS(Table1[[#This Row],[Total usage(Min)]]&gt;=AVERAGE(U:U)*1.1,"High risk",Table1[[#This Row],[Total usage(Min)]]&lt;= AVERAGE(U:U)*0.9,"Low risk",TRUE,"Medium risk"),"N/A")</f>
        <v>Medium risk</v>
      </c>
      <c r="Z349" t="str" cm="1">
        <f t="array" ref="Z349">IFERROR(_xlfn.IFS(Table1[[#This Row],[Total charges]]&gt;=AVERAGE(V:V)*1.1,"High risk",Table1[[#This Row],[Total charges]]&lt;=AVERAGE(V:V)*0.9,"Low risk",TRUE,"Medium risk"),"N/A")</f>
        <v>Low risk</v>
      </c>
      <c r="AA3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4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49" t="str" cm="1">
        <f t="array" ref="AC349">_xlfn.IFS(
AND(Table1[[#This Row],[Customer service risk level]]="High risk", Table1[[#This Row],[Intl usage behaviour]]="Unplanned Usage"),"High Risk",
OR(Table1[[#This Row],[Customer service risk level]]="Medium risk", Table1[[#This Row],[Charges risk level]]="High risk "),"Medium Risk",
TRUE,"Low Risk"
)</f>
        <v>Low Risk</v>
      </c>
    </row>
    <row r="350" spans="1:29" x14ac:dyDescent="0.25">
      <c r="A350" t="s">
        <v>56</v>
      </c>
      <c r="B350">
        <v>163</v>
      </c>
      <c r="C350">
        <v>408</v>
      </c>
      <c r="D350" t="s">
        <v>21</v>
      </c>
      <c r="E350" t="s">
        <v>27</v>
      </c>
      <c r="F350">
        <v>40</v>
      </c>
      <c r="G350">
        <v>231.9</v>
      </c>
      <c r="H350">
        <v>56</v>
      </c>
      <c r="I350">
        <v>39.42</v>
      </c>
      <c r="J350">
        <v>211.8</v>
      </c>
      <c r="K350">
        <v>91</v>
      </c>
      <c r="L350">
        <v>18</v>
      </c>
      <c r="M350">
        <v>268.5</v>
      </c>
      <c r="N350">
        <v>74</v>
      </c>
      <c r="O350">
        <v>12.08</v>
      </c>
      <c r="P350">
        <v>12.3</v>
      </c>
      <c r="Q350">
        <v>3</v>
      </c>
      <c r="R350">
        <v>3.32</v>
      </c>
      <c r="S350">
        <v>2</v>
      </c>
      <c r="T350" t="b">
        <v>0</v>
      </c>
      <c r="U350">
        <f>IFERROR(SUM(Table1[[#This Row],[Total day minutes]],Table1[[#This Row],[Total eve minutes]],Table1[[#This Row],[Total night minutes]],Table1[[#This Row],[Total intl minutes]]),0)</f>
        <v>724.5</v>
      </c>
      <c r="V350">
        <f>SUM(Table1[[#This Row],[Total intl charge]],Table1[[#This Row],[Total night charge]],Table1[[#This Row],[Total eve charge]],Table1[[#This Row],[Total day charge]])</f>
        <v>72.819999999999993</v>
      </c>
      <c r="W350">
        <f>SUM(Table1[[#This Row],[Total intl calls]],Table1[[#This Row],[Total night calls]],Table1[[#This Row],[Total eve calls]],Table1[[#This Row],[Total day calls]])</f>
        <v>224</v>
      </c>
      <c r="X350" t="str" cm="1">
        <f t="array" ref="X350">_xlfn.IFS(Table1[[#This Row],[Customer service calls]]&gt;=4,"High risk",Table1[[#This Row],[Customer service calls]]&gt;=2,"Medium risk",TRUE,"Low risk")</f>
        <v>Medium risk</v>
      </c>
      <c r="Y350" t="str" cm="1">
        <f t="array" ref="Y350">IFERROR(_xlfn.IFS(Table1[[#This Row],[Total usage(Min)]]&gt;=AVERAGE(U:U)*1.1,"High risk",Table1[[#This Row],[Total usage(Min)]]&lt;= AVERAGE(U:U)*0.9,"Low risk",TRUE,"Medium risk"),"N/A")</f>
        <v>High risk</v>
      </c>
      <c r="Z350" t="str" cm="1">
        <f t="array" ref="Z350">IFERROR(_xlfn.IFS(Table1[[#This Row],[Total charges]]&gt;=AVERAGE(V:V)*1.1,"High risk",Table1[[#This Row],[Total charges]]&lt;=AVERAGE(V:V)*0.9,"Low risk",TRUE,"Medium risk"),"N/A")</f>
        <v>High risk</v>
      </c>
      <c r="AA3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50" t="str" cm="1">
        <f t="array" ref="AC350">_xlfn.IFS(
AND(Table1[[#This Row],[Customer service risk level]]="High risk", Table1[[#This Row],[Intl usage behaviour]]="Unplanned Usage"),"High Risk",
OR(Table1[[#This Row],[Customer service risk level]]="Medium risk", Table1[[#This Row],[Charges risk level]]="High risk "),"Medium Risk",
TRUE,"Low Risk"
)</f>
        <v>Medium Risk</v>
      </c>
    </row>
    <row r="351" spans="1:29" x14ac:dyDescent="0.25">
      <c r="A351" t="s">
        <v>47</v>
      </c>
      <c r="B351">
        <v>95</v>
      </c>
      <c r="C351">
        <v>415</v>
      </c>
      <c r="D351" t="s">
        <v>21</v>
      </c>
      <c r="E351" t="s">
        <v>21</v>
      </c>
      <c r="F351">
        <v>0</v>
      </c>
      <c r="G351">
        <v>269</v>
      </c>
      <c r="H351">
        <v>120</v>
      </c>
      <c r="I351">
        <v>45.73</v>
      </c>
      <c r="J351">
        <v>233.7</v>
      </c>
      <c r="K351">
        <v>120</v>
      </c>
      <c r="L351">
        <v>19.86</v>
      </c>
      <c r="M351">
        <v>179.3</v>
      </c>
      <c r="N351">
        <v>61</v>
      </c>
      <c r="O351">
        <v>8.07</v>
      </c>
      <c r="P351">
        <v>7.3</v>
      </c>
      <c r="Q351">
        <v>4</v>
      </c>
      <c r="R351">
        <v>1.97</v>
      </c>
      <c r="S351">
        <v>2</v>
      </c>
      <c r="T351" t="b">
        <v>1</v>
      </c>
      <c r="U351">
        <f>IFERROR(SUM(Table1[[#This Row],[Total day minutes]],Table1[[#This Row],[Total eve minutes]],Table1[[#This Row],[Total night minutes]],Table1[[#This Row],[Total intl minutes]]),0)</f>
        <v>689.3</v>
      </c>
      <c r="V351">
        <f>SUM(Table1[[#This Row],[Total intl charge]],Table1[[#This Row],[Total night charge]],Table1[[#This Row],[Total eve charge]],Table1[[#This Row],[Total day charge]])</f>
        <v>75.63</v>
      </c>
      <c r="W351">
        <f>SUM(Table1[[#This Row],[Total intl calls]],Table1[[#This Row],[Total night calls]],Table1[[#This Row],[Total eve calls]],Table1[[#This Row],[Total day calls]])</f>
        <v>305</v>
      </c>
      <c r="X351" t="str" cm="1">
        <f t="array" ref="X351">_xlfn.IFS(Table1[[#This Row],[Customer service calls]]&gt;=4,"High risk",Table1[[#This Row],[Customer service calls]]&gt;=2,"Medium risk",TRUE,"Low risk")</f>
        <v>Medium risk</v>
      </c>
      <c r="Y351" t="str" cm="1">
        <f t="array" ref="Y351">IFERROR(_xlfn.IFS(Table1[[#This Row],[Total usage(Min)]]&gt;=AVERAGE(U:U)*1.1,"High risk",Table1[[#This Row],[Total usage(Min)]]&lt;= AVERAGE(U:U)*0.9,"Low risk",TRUE,"Medium risk"),"N/A")</f>
        <v>High risk</v>
      </c>
      <c r="Z351" t="str" cm="1">
        <f t="array" ref="Z351">IFERROR(_xlfn.IFS(Table1[[#This Row],[Total charges]]&gt;=AVERAGE(V:V)*1.1,"High risk",Table1[[#This Row],[Total charges]]&lt;=AVERAGE(V:V)*0.9,"Low risk",TRUE,"Medium risk"),"N/A")</f>
        <v>High risk</v>
      </c>
      <c r="AA3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1" t="str" cm="1">
        <f t="array" ref="AC351">_xlfn.IFS(
AND(Table1[[#This Row],[Customer service risk level]]="High risk", Table1[[#This Row],[Intl usage behaviour]]="Unplanned Usage"),"High Risk",
OR(Table1[[#This Row],[Customer service risk level]]="Medium risk", Table1[[#This Row],[Charges risk level]]="High risk "),"Medium Risk",
TRUE,"Low Risk"
)</f>
        <v>Medium Risk</v>
      </c>
    </row>
    <row r="352" spans="1:29" x14ac:dyDescent="0.25">
      <c r="A352" t="s">
        <v>55</v>
      </c>
      <c r="B352">
        <v>123</v>
      </c>
      <c r="C352">
        <v>415</v>
      </c>
      <c r="D352" t="s">
        <v>21</v>
      </c>
      <c r="E352" t="s">
        <v>27</v>
      </c>
      <c r="F352">
        <v>27</v>
      </c>
      <c r="G352">
        <v>198.7</v>
      </c>
      <c r="H352">
        <v>127</v>
      </c>
      <c r="I352">
        <v>33.78</v>
      </c>
      <c r="J352">
        <v>249</v>
      </c>
      <c r="K352">
        <v>105</v>
      </c>
      <c r="L352">
        <v>21.17</v>
      </c>
      <c r="M352">
        <v>173.2</v>
      </c>
      <c r="N352">
        <v>124</v>
      </c>
      <c r="O352">
        <v>7.79</v>
      </c>
      <c r="P352">
        <v>12.5</v>
      </c>
      <c r="Q352">
        <v>5</v>
      </c>
      <c r="R352">
        <v>3.38</v>
      </c>
      <c r="S352">
        <v>1</v>
      </c>
      <c r="T352" t="b">
        <v>0</v>
      </c>
      <c r="U352">
        <f>IFERROR(SUM(Table1[[#This Row],[Total day minutes]],Table1[[#This Row],[Total eve minutes]],Table1[[#This Row],[Total night minutes]],Table1[[#This Row],[Total intl minutes]]),0)</f>
        <v>633.4</v>
      </c>
      <c r="V352">
        <f>SUM(Table1[[#This Row],[Total intl charge]],Table1[[#This Row],[Total night charge]],Table1[[#This Row],[Total eve charge]],Table1[[#This Row],[Total day charge]])</f>
        <v>66.12</v>
      </c>
      <c r="W352">
        <f>SUM(Table1[[#This Row],[Total intl calls]],Table1[[#This Row],[Total night calls]],Table1[[#This Row],[Total eve calls]],Table1[[#This Row],[Total day calls]])</f>
        <v>361</v>
      </c>
      <c r="X352" t="str" cm="1">
        <f t="array" ref="X352">_xlfn.IFS(Table1[[#This Row],[Customer service calls]]&gt;=4,"High risk",Table1[[#This Row],[Customer service calls]]&gt;=2,"Medium risk",TRUE,"Low risk")</f>
        <v>Low risk</v>
      </c>
      <c r="Y352" t="str" cm="1">
        <f t="array" ref="Y352">IFERROR(_xlfn.IFS(Table1[[#This Row],[Total usage(Min)]]&gt;=AVERAGE(U:U)*1.1,"High risk",Table1[[#This Row],[Total usage(Min)]]&lt;= AVERAGE(U:U)*0.9,"Low risk",TRUE,"Medium risk"),"N/A")</f>
        <v>Medium risk</v>
      </c>
      <c r="Z352" t="str" cm="1">
        <f t="array" ref="Z352">IFERROR(_xlfn.IFS(Table1[[#This Row],[Total charges]]&gt;=AVERAGE(V:V)*1.1,"High risk",Table1[[#This Row],[Total charges]]&lt;=AVERAGE(V:V)*0.9,"Low risk",TRUE,"Medium risk"),"N/A")</f>
        <v>High risk</v>
      </c>
      <c r="AA3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52" t="str" cm="1">
        <f t="array" ref="AC352">_xlfn.IFS(
AND(Table1[[#This Row],[Customer service risk level]]="High risk", Table1[[#This Row],[Intl usage behaviour]]="Unplanned Usage"),"High Risk",
OR(Table1[[#This Row],[Customer service risk level]]="Medium risk", Table1[[#This Row],[Charges risk level]]="High risk "),"Medium Risk",
TRUE,"Low Risk"
)</f>
        <v>Low Risk</v>
      </c>
    </row>
    <row r="353" spans="1:29" x14ac:dyDescent="0.25">
      <c r="A353" t="s">
        <v>35</v>
      </c>
      <c r="B353">
        <v>34</v>
      </c>
      <c r="C353">
        <v>415</v>
      </c>
      <c r="D353" t="s">
        <v>21</v>
      </c>
      <c r="E353" t="s">
        <v>21</v>
      </c>
      <c r="F353">
        <v>0</v>
      </c>
      <c r="G353">
        <v>293.7</v>
      </c>
      <c r="H353">
        <v>89</v>
      </c>
      <c r="I353">
        <v>49.93</v>
      </c>
      <c r="J353">
        <v>272.5</v>
      </c>
      <c r="K353">
        <v>71</v>
      </c>
      <c r="L353">
        <v>23.16</v>
      </c>
      <c r="M353">
        <v>178.2</v>
      </c>
      <c r="N353">
        <v>76</v>
      </c>
      <c r="O353">
        <v>8.02</v>
      </c>
      <c r="P353">
        <v>11</v>
      </c>
      <c r="Q353">
        <v>10</v>
      </c>
      <c r="R353">
        <v>2.97</v>
      </c>
      <c r="S353">
        <v>2</v>
      </c>
      <c r="T353" t="b">
        <v>1</v>
      </c>
      <c r="U353">
        <f>IFERROR(SUM(Table1[[#This Row],[Total day minutes]],Table1[[#This Row],[Total eve minutes]],Table1[[#This Row],[Total night minutes]],Table1[[#This Row],[Total intl minutes]]),0)</f>
        <v>755.40000000000009</v>
      </c>
      <c r="V353">
        <f>SUM(Table1[[#This Row],[Total intl charge]],Table1[[#This Row],[Total night charge]],Table1[[#This Row],[Total eve charge]],Table1[[#This Row],[Total day charge]])</f>
        <v>84.08</v>
      </c>
      <c r="W353">
        <f>SUM(Table1[[#This Row],[Total intl calls]],Table1[[#This Row],[Total night calls]],Table1[[#This Row],[Total eve calls]],Table1[[#This Row],[Total day calls]])</f>
        <v>246</v>
      </c>
      <c r="X353" t="str" cm="1">
        <f t="array" ref="X353">_xlfn.IFS(Table1[[#This Row],[Customer service calls]]&gt;=4,"High risk",Table1[[#This Row],[Customer service calls]]&gt;=2,"Medium risk",TRUE,"Low risk")</f>
        <v>Medium risk</v>
      </c>
      <c r="Y353" t="str" cm="1">
        <f t="array" ref="Y353">IFERROR(_xlfn.IFS(Table1[[#This Row],[Total usage(Min)]]&gt;=AVERAGE(U:U)*1.1,"High risk",Table1[[#This Row],[Total usage(Min)]]&lt;= AVERAGE(U:U)*0.9,"Low risk",TRUE,"Medium risk"),"N/A")</f>
        <v>High risk</v>
      </c>
      <c r="Z353" t="str" cm="1">
        <f t="array" ref="Z353">IFERROR(_xlfn.IFS(Table1[[#This Row],[Total charges]]&gt;=AVERAGE(V:V)*1.1,"High risk",Table1[[#This Row],[Total charges]]&lt;=AVERAGE(V:V)*0.9,"Low risk",TRUE,"Medium risk"),"N/A")</f>
        <v>High risk</v>
      </c>
      <c r="AA3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3" t="str" cm="1">
        <f t="array" ref="AC353">_xlfn.IFS(
AND(Table1[[#This Row],[Customer service risk level]]="High risk", Table1[[#This Row],[Intl usage behaviour]]="Unplanned Usage"),"High Risk",
OR(Table1[[#This Row],[Customer service risk level]]="Medium risk", Table1[[#This Row],[Charges risk level]]="High risk "),"Medium Risk",
TRUE,"Low Risk"
)</f>
        <v>Medium Risk</v>
      </c>
    </row>
    <row r="354" spans="1:29" x14ac:dyDescent="0.25">
      <c r="A354" t="s">
        <v>58</v>
      </c>
      <c r="B354">
        <v>96</v>
      </c>
      <c r="C354">
        <v>415</v>
      </c>
      <c r="D354" t="s">
        <v>21</v>
      </c>
      <c r="E354" t="s">
        <v>27</v>
      </c>
      <c r="F354">
        <v>26</v>
      </c>
      <c r="G354">
        <v>175.8</v>
      </c>
      <c r="H354">
        <v>96</v>
      </c>
      <c r="I354">
        <v>29.89</v>
      </c>
      <c r="J354">
        <v>206.6</v>
      </c>
      <c r="K354">
        <v>84</v>
      </c>
      <c r="L354">
        <v>17.559999999999999</v>
      </c>
      <c r="M354">
        <v>178</v>
      </c>
      <c r="N354">
        <v>105</v>
      </c>
      <c r="O354">
        <v>8.01</v>
      </c>
      <c r="P354">
        <v>11.1</v>
      </c>
      <c r="Q354">
        <v>2</v>
      </c>
      <c r="R354">
        <v>3</v>
      </c>
      <c r="S354">
        <v>2</v>
      </c>
      <c r="T354" t="b">
        <v>0</v>
      </c>
      <c r="U354">
        <f>IFERROR(SUM(Table1[[#This Row],[Total day minutes]],Table1[[#This Row],[Total eve minutes]],Table1[[#This Row],[Total night minutes]],Table1[[#This Row],[Total intl minutes]]),0)</f>
        <v>571.5</v>
      </c>
      <c r="V354">
        <f>SUM(Table1[[#This Row],[Total intl charge]],Table1[[#This Row],[Total night charge]],Table1[[#This Row],[Total eve charge]],Table1[[#This Row],[Total day charge]])</f>
        <v>58.46</v>
      </c>
      <c r="W354">
        <f>SUM(Table1[[#This Row],[Total intl calls]],Table1[[#This Row],[Total night calls]],Table1[[#This Row],[Total eve calls]],Table1[[#This Row],[Total day calls]])</f>
        <v>287</v>
      </c>
      <c r="X354" t="str" cm="1">
        <f t="array" ref="X354">_xlfn.IFS(Table1[[#This Row],[Customer service calls]]&gt;=4,"High risk",Table1[[#This Row],[Customer service calls]]&gt;=2,"Medium risk",TRUE,"Low risk")</f>
        <v>Medium risk</v>
      </c>
      <c r="Y354" t="str" cm="1">
        <f t="array" ref="Y354">IFERROR(_xlfn.IFS(Table1[[#This Row],[Total usage(Min)]]&gt;=AVERAGE(U:U)*1.1,"High risk",Table1[[#This Row],[Total usage(Min)]]&lt;= AVERAGE(U:U)*0.9,"Low risk",TRUE,"Medium risk"),"N/A")</f>
        <v>Medium risk</v>
      </c>
      <c r="Z354" t="str" cm="1">
        <f t="array" ref="Z354">IFERROR(_xlfn.IFS(Table1[[#This Row],[Total charges]]&gt;=AVERAGE(V:V)*1.1,"High risk",Table1[[#This Row],[Total charges]]&lt;=AVERAGE(V:V)*0.9,"Low risk",TRUE,"Medium risk"),"N/A")</f>
        <v>Medium risk</v>
      </c>
      <c r="AA3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54" t="str" cm="1">
        <f t="array" ref="AC354">_xlfn.IFS(
AND(Table1[[#This Row],[Customer service risk level]]="High risk", Table1[[#This Row],[Intl usage behaviour]]="Unplanned Usage"),"High Risk",
OR(Table1[[#This Row],[Customer service risk level]]="Medium risk", Table1[[#This Row],[Charges risk level]]="High risk "),"Medium Risk",
TRUE,"Low Risk"
)</f>
        <v>Medium Risk</v>
      </c>
    </row>
    <row r="355" spans="1:29" x14ac:dyDescent="0.25">
      <c r="A355" t="s">
        <v>42</v>
      </c>
      <c r="B355">
        <v>146</v>
      </c>
      <c r="C355">
        <v>415</v>
      </c>
      <c r="D355" t="s">
        <v>21</v>
      </c>
      <c r="E355" t="s">
        <v>21</v>
      </c>
      <c r="F355">
        <v>0</v>
      </c>
      <c r="G355">
        <v>169.5</v>
      </c>
      <c r="H355">
        <v>93</v>
      </c>
      <c r="I355">
        <v>28.82</v>
      </c>
      <c r="J355">
        <v>230.9</v>
      </c>
      <c r="K355">
        <v>71</v>
      </c>
      <c r="L355">
        <v>19.63</v>
      </c>
      <c r="M355">
        <v>269.8</v>
      </c>
      <c r="N355">
        <v>115</v>
      </c>
      <c r="O355">
        <v>12.14</v>
      </c>
      <c r="P355">
        <v>9</v>
      </c>
      <c r="Q355">
        <v>7</v>
      </c>
      <c r="R355">
        <v>2.4300000000000002</v>
      </c>
      <c r="S355">
        <v>2</v>
      </c>
      <c r="T355" t="b">
        <v>0</v>
      </c>
      <c r="U355">
        <f>IFERROR(SUM(Table1[[#This Row],[Total day minutes]],Table1[[#This Row],[Total eve minutes]],Table1[[#This Row],[Total night minutes]],Table1[[#This Row],[Total intl minutes]]),0)</f>
        <v>679.2</v>
      </c>
      <c r="V355">
        <f>SUM(Table1[[#This Row],[Total intl charge]],Table1[[#This Row],[Total night charge]],Table1[[#This Row],[Total eve charge]],Table1[[#This Row],[Total day charge]])</f>
        <v>63.02</v>
      </c>
      <c r="W355">
        <f>SUM(Table1[[#This Row],[Total intl calls]],Table1[[#This Row],[Total night calls]],Table1[[#This Row],[Total eve calls]],Table1[[#This Row],[Total day calls]])</f>
        <v>286</v>
      </c>
      <c r="X355" t="str" cm="1">
        <f t="array" ref="X355">_xlfn.IFS(Table1[[#This Row],[Customer service calls]]&gt;=4,"High risk",Table1[[#This Row],[Customer service calls]]&gt;=2,"Medium risk",TRUE,"Low risk")</f>
        <v>Medium risk</v>
      </c>
      <c r="Y355" t="str" cm="1">
        <f t="array" ref="Y355">IFERROR(_xlfn.IFS(Table1[[#This Row],[Total usage(Min)]]&gt;=AVERAGE(U:U)*1.1,"High risk",Table1[[#This Row],[Total usage(Min)]]&lt;= AVERAGE(U:U)*0.9,"Low risk",TRUE,"Medium risk"),"N/A")</f>
        <v>High risk</v>
      </c>
      <c r="Z355" t="str" cm="1">
        <f t="array" ref="Z355">IFERROR(_xlfn.IFS(Table1[[#This Row],[Total charges]]&gt;=AVERAGE(V:V)*1.1,"High risk",Table1[[#This Row],[Total charges]]&lt;=AVERAGE(V:V)*0.9,"Low risk",TRUE,"Medium risk"),"N/A")</f>
        <v>Medium risk</v>
      </c>
      <c r="AA3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5" t="str" cm="1">
        <f t="array" ref="AC355">_xlfn.IFS(
AND(Table1[[#This Row],[Customer service risk level]]="High risk", Table1[[#This Row],[Intl usage behaviour]]="Unplanned Usage"),"High Risk",
OR(Table1[[#This Row],[Customer service risk level]]="Medium risk", Table1[[#This Row],[Charges risk level]]="High risk "),"Medium Risk",
TRUE,"Low Risk"
)</f>
        <v>Medium Risk</v>
      </c>
    </row>
    <row r="356" spans="1:29" x14ac:dyDescent="0.25">
      <c r="A356" t="s">
        <v>29</v>
      </c>
      <c r="B356">
        <v>138</v>
      </c>
      <c r="C356">
        <v>415</v>
      </c>
      <c r="D356" t="s">
        <v>27</v>
      </c>
      <c r="E356" t="s">
        <v>27</v>
      </c>
      <c r="F356">
        <v>17</v>
      </c>
      <c r="G356">
        <v>225.2</v>
      </c>
      <c r="H356">
        <v>116</v>
      </c>
      <c r="I356">
        <v>38.28</v>
      </c>
      <c r="J356">
        <v>173.4</v>
      </c>
      <c r="K356">
        <v>88</v>
      </c>
      <c r="L356">
        <v>14.74</v>
      </c>
      <c r="M356">
        <v>145.80000000000001</v>
      </c>
      <c r="N356">
        <v>99</v>
      </c>
      <c r="O356">
        <v>6.56</v>
      </c>
      <c r="P356">
        <v>11.7</v>
      </c>
      <c r="Q356">
        <v>4</v>
      </c>
      <c r="R356">
        <v>3.16</v>
      </c>
      <c r="S356">
        <v>0</v>
      </c>
      <c r="T356" t="b">
        <v>0</v>
      </c>
      <c r="U356">
        <f>IFERROR(SUM(Table1[[#This Row],[Total day minutes]],Table1[[#This Row],[Total eve minutes]],Table1[[#This Row],[Total night minutes]],Table1[[#This Row],[Total intl minutes]]),0)</f>
        <v>556.10000000000014</v>
      </c>
      <c r="V356">
        <f>SUM(Table1[[#This Row],[Total intl charge]],Table1[[#This Row],[Total night charge]],Table1[[#This Row],[Total eve charge]],Table1[[#This Row],[Total day charge]])</f>
        <v>62.74</v>
      </c>
      <c r="W356">
        <f>SUM(Table1[[#This Row],[Total intl calls]],Table1[[#This Row],[Total night calls]],Table1[[#This Row],[Total eve calls]],Table1[[#This Row],[Total day calls]])</f>
        <v>307</v>
      </c>
      <c r="X356" t="str" cm="1">
        <f t="array" ref="X356">_xlfn.IFS(Table1[[#This Row],[Customer service calls]]&gt;=4,"High risk",Table1[[#This Row],[Customer service calls]]&gt;=2,"Medium risk",TRUE,"Low risk")</f>
        <v>Low risk</v>
      </c>
      <c r="Y356" t="str" cm="1">
        <f t="array" ref="Y356">IFERROR(_xlfn.IFS(Table1[[#This Row],[Total usage(Min)]]&gt;=AVERAGE(U:U)*1.1,"High risk",Table1[[#This Row],[Total usage(Min)]]&lt;= AVERAGE(U:U)*0.9,"Low risk",TRUE,"Medium risk"),"N/A")</f>
        <v>Medium risk</v>
      </c>
      <c r="Z356" t="str" cm="1">
        <f t="array" ref="Z356">IFERROR(_xlfn.IFS(Table1[[#This Row],[Total charges]]&gt;=AVERAGE(V:V)*1.1,"High risk",Table1[[#This Row],[Total charges]]&lt;=AVERAGE(V:V)*0.9,"Low risk",TRUE,"Medium risk"),"N/A")</f>
        <v>Medium risk</v>
      </c>
      <c r="AA3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35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56" t="str" cm="1">
        <f t="array" ref="AC356">_xlfn.IFS(
AND(Table1[[#This Row],[Customer service risk level]]="High risk", Table1[[#This Row],[Intl usage behaviour]]="Unplanned Usage"),"High Risk",
OR(Table1[[#This Row],[Customer service risk level]]="Medium risk", Table1[[#This Row],[Charges risk level]]="High risk "),"Medium Risk",
TRUE,"Low Risk"
)</f>
        <v>Low Risk</v>
      </c>
    </row>
    <row r="357" spans="1:29" x14ac:dyDescent="0.25">
      <c r="A357" t="s">
        <v>43</v>
      </c>
      <c r="B357">
        <v>76</v>
      </c>
      <c r="C357">
        <v>510</v>
      </c>
      <c r="D357" t="s">
        <v>21</v>
      </c>
      <c r="E357" t="s">
        <v>21</v>
      </c>
      <c r="F357">
        <v>0</v>
      </c>
      <c r="G357">
        <v>129.69999999999999</v>
      </c>
      <c r="H357">
        <v>84</v>
      </c>
      <c r="I357">
        <v>22.05</v>
      </c>
      <c r="J357">
        <v>177.5</v>
      </c>
      <c r="K357">
        <v>80</v>
      </c>
      <c r="L357">
        <v>15.09</v>
      </c>
      <c r="M357">
        <v>228.9</v>
      </c>
      <c r="N357">
        <v>87</v>
      </c>
      <c r="O357">
        <v>10.3</v>
      </c>
      <c r="P357">
        <v>7.5</v>
      </c>
      <c r="Q357">
        <v>3</v>
      </c>
      <c r="R357">
        <v>2.0299999999999998</v>
      </c>
      <c r="S357">
        <v>5</v>
      </c>
      <c r="T357" t="b">
        <v>1</v>
      </c>
      <c r="U357">
        <f>IFERROR(SUM(Table1[[#This Row],[Total day minutes]],Table1[[#This Row],[Total eve minutes]],Table1[[#This Row],[Total night minutes]],Table1[[#This Row],[Total intl minutes]]),0)</f>
        <v>543.6</v>
      </c>
      <c r="V357">
        <f>SUM(Table1[[#This Row],[Total intl charge]],Table1[[#This Row],[Total night charge]],Table1[[#This Row],[Total eve charge]],Table1[[#This Row],[Total day charge]])</f>
        <v>49.47</v>
      </c>
      <c r="W357">
        <f>SUM(Table1[[#This Row],[Total intl calls]],Table1[[#This Row],[Total night calls]],Table1[[#This Row],[Total eve calls]],Table1[[#This Row],[Total day calls]])</f>
        <v>254</v>
      </c>
      <c r="X357" t="str" cm="1">
        <f t="array" ref="X357">_xlfn.IFS(Table1[[#This Row],[Customer service calls]]&gt;=4,"High risk",Table1[[#This Row],[Customer service calls]]&gt;=2,"Medium risk",TRUE,"Low risk")</f>
        <v>High risk</v>
      </c>
      <c r="Y357" t="str" cm="1">
        <f t="array" ref="Y357">IFERROR(_xlfn.IFS(Table1[[#This Row],[Total usage(Min)]]&gt;=AVERAGE(U:U)*1.1,"High risk",Table1[[#This Row],[Total usage(Min)]]&lt;= AVERAGE(U:U)*0.9,"Low risk",TRUE,"Medium risk"),"N/A")</f>
        <v>Medium risk</v>
      </c>
      <c r="Z357" t="str" cm="1">
        <f t="array" ref="Z357">IFERROR(_xlfn.IFS(Table1[[#This Row],[Total charges]]&gt;=AVERAGE(V:V)*1.1,"High risk",Table1[[#This Row],[Total charges]]&lt;=AVERAGE(V:V)*0.9,"Low risk",TRUE,"Medium risk"),"N/A")</f>
        <v>Low risk</v>
      </c>
      <c r="AA3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7" t="str" cm="1">
        <f t="array" ref="AC357">_xlfn.IFS(
AND(Table1[[#This Row],[Customer service risk level]]="High risk", Table1[[#This Row],[Intl usage behaviour]]="Unplanned Usage"),"High Risk",
OR(Table1[[#This Row],[Customer service risk level]]="Medium risk", Table1[[#This Row],[Charges risk level]]="High risk "),"Medium Risk",
TRUE,"Low Risk"
)</f>
        <v>High Risk</v>
      </c>
    </row>
    <row r="358" spans="1:29" x14ac:dyDescent="0.25">
      <c r="A358" t="s">
        <v>53</v>
      </c>
      <c r="B358">
        <v>83</v>
      </c>
      <c r="C358">
        <v>510</v>
      </c>
      <c r="D358" t="s">
        <v>21</v>
      </c>
      <c r="E358" t="s">
        <v>27</v>
      </c>
      <c r="F358">
        <v>36</v>
      </c>
      <c r="G358">
        <v>95.9</v>
      </c>
      <c r="H358">
        <v>87</v>
      </c>
      <c r="I358">
        <v>16.3</v>
      </c>
      <c r="J358">
        <v>261.60000000000002</v>
      </c>
      <c r="K358">
        <v>105</v>
      </c>
      <c r="L358">
        <v>22.24</v>
      </c>
      <c r="M358">
        <v>228.6</v>
      </c>
      <c r="N358">
        <v>109</v>
      </c>
      <c r="O358">
        <v>10.29</v>
      </c>
      <c r="P358">
        <v>13.3</v>
      </c>
      <c r="Q358">
        <v>4</v>
      </c>
      <c r="R358">
        <v>3.59</v>
      </c>
      <c r="S358">
        <v>0</v>
      </c>
      <c r="T358" t="b">
        <v>0</v>
      </c>
      <c r="U358">
        <f>IFERROR(SUM(Table1[[#This Row],[Total day minutes]],Table1[[#This Row],[Total eve minutes]],Table1[[#This Row],[Total night minutes]],Table1[[#This Row],[Total intl minutes]]),0)</f>
        <v>599.4</v>
      </c>
      <c r="V358">
        <f>SUM(Table1[[#This Row],[Total intl charge]],Table1[[#This Row],[Total night charge]],Table1[[#This Row],[Total eve charge]],Table1[[#This Row],[Total day charge]])</f>
        <v>52.42</v>
      </c>
      <c r="W358">
        <f>SUM(Table1[[#This Row],[Total intl calls]],Table1[[#This Row],[Total night calls]],Table1[[#This Row],[Total eve calls]],Table1[[#This Row],[Total day calls]])</f>
        <v>305</v>
      </c>
      <c r="X358" t="str" cm="1">
        <f t="array" ref="X358">_xlfn.IFS(Table1[[#This Row],[Customer service calls]]&gt;=4,"High risk",Table1[[#This Row],[Customer service calls]]&gt;=2,"Medium risk",TRUE,"Low risk")</f>
        <v>Low risk</v>
      </c>
      <c r="Y358" t="str" cm="1">
        <f t="array" ref="Y358">IFERROR(_xlfn.IFS(Table1[[#This Row],[Total usage(Min)]]&gt;=AVERAGE(U:U)*1.1,"High risk",Table1[[#This Row],[Total usage(Min)]]&lt;= AVERAGE(U:U)*0.9,"Low risk",TRUE,"Medium risk"),"N/A")</f>
        <v>Medium risk</v>
      </c>
      <c r="Z358" t="str" cm="1">
        <f t="array" ref="Z358">IFERROR(_xlfn.IFS(Table1[[#This Row],[Total charges]]&gt;=AVERAGE(V:V)*1.1,"High risk",Table1[[#This Row],[Total charges]]&lt;=AVERAGE(V:V)*0.9,"Low risk",TRUE,"Medium risk"),"N/A")</f>
        <v>Low risk</v>
      </c>
      <c r="AA3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58" t="str" cm="1">
        <f t="array" ref="AC358">_xlfn.IFS(
AND(Table1[[#This Row],[Customer service risk level]]="High risk", Table1[[#This Row],[Intl usage behaviour]]="Unplanned Usage"),"High Risk",
OR(Table1[[#This Row],[Customer service risk level]]="Medium risk", Table1[[#This Row],[Charges risk level]]="High risk "),"Medium Risk",
TRUE,"Low Risk"
)</f>
        <v>Low Risk</v>
      </c>
    </row>
    <row r="359" spans="1:29" x14ac:dyDescent="0.25">
      <c r="A359" t="s">
        <v>25</v>
      </c>
      <c r="B359">
        <v>104</v>
      </c>
      <c r="C359">
        <v>408</v>
      </c>
      <c r="D359" t="s">
        <v>21</v>
      </c>
      <c r="E359" t="s">
        <v>21</v>
      </c>
      <c r="F359">
        <v>0</v>
      </c>
      <c r="G359">
        <v>170.6</v>
      </c>
      <c r="H359">
        <v>97</v>
      </c>
      <c r="I359">
        <v>29</v>
      </c>
      <c r="J359">
        <v>162.1</v>
      </c>
      <c r="K359">
        <v>111</v>
      </c>
      <c r="L359">
        <v>13.78</v>
      </c>
      <c r="M359">
        <v>210.7</v>
      </c>
      <c r="N359">
        <v>131</v>
      </c>
      <c r="O359">
        <v>9.48</v>
      </c>
      <c r="P359">
        <v>6.1</v>
      </c>
      <c r="Q359">
        <v>1</v>
      </c>
      <c r="R359">
        <v>1.65</v>
      </c>
      <c r="S359">
        <v>1</v>
      </c>
      <c r="T359" t="b">
        <v>0</v>
      </c>
      <c r="U359">
        <f>IFERROR(SUM(Table1[[#This Row],[Total day minutes]],Table1[[#This Row],[Total eve minutes]],Table1[[#This Row],[Total night minutes]],Table1[[#This Row],[Total intl minutes]]),0)</f>
        <v>549.5</v>
      </c>
      <c r="V359">
        <f>SUM(Table1[[#This Row],[Total intl charge]],Table1[[#This Row],[Total night charge]],Table1[[#This Row],[Total eve charge]],Table1[[#This Row],[Total day charge]])</f>
        <v>53.91</v>
      </c>
      <c r="W359">
        <f>SUM(Table1[[#This Row],[Total intl calls]],Table1[[#This Row],[Total night calls]],Table1[[#This Row],[Total eve calls]],Table1[[#This Row],[Total day calls]])</f>
        <v>340</v>
      </c>
      <c r="X359" t="str" cm="1">
        <f t="array" ref="X359">_xlfn.IFS(Table1[[#This Row],[Customer service calls]]&gt;=4,"High risk",Table1[[#This Row],[Customer service calls]]&gt;=2,"Medium risk",TRUE,"Low risk")</f>
        <v>Low risk</v>
      </c>
      <c r="Y359" t="str" cm="1">
        <f t="array" ref="Y359">IFERROR(_xlfn.IFS(Table1[[#This Row],[Total usage(Min)]]&gt;=AVERAGE(U:U)*1.1,"High risk",Table1[[#This Row],[Total usage(Min)]]&lt;= AVERAGE(U:U)*0.9,"Low risk",TRUE,"Medium risk"),"N/A")</f>
        <v>Medium risk</v>
      </c>
      <c r="Z359" t="str" cm="1">
        <f t="array" ref="Z359">IFERROR(_xlfn.IFS(Table1[[#This Row],[Total charges]]&gt;=AVERAGE(V:V)*1.1,"High risk",Table1[[#This Row],[Total charges]]&lt;=AVERAGE(V:V)*0.9,"Low risk",TRUE,"Medium risk"),"N/A")</f>
        <v>Medium risk</v>
      </c>
      <c r="AA3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5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59" t="str" cm="1">
        <f t="array" ref="AC359">_xlfn.IFS(
AND(Table1[[#This Row],[Customer service risk level]]="High risk", Table1[[#This Row],[Intl usage behaviour]]="Unplanned Usage"),"High Risk",
OR(Table1[[#This Row],[Customer service risk level]]="Medium risk", Table1[[#This Row],[Charges risk level]]="High risk "),"Medium Risk",
TRUE,"Low Risk"
)</f>
        <v>Low Risk</v>
      </c>
    </row>
    <row r="360" spans="1:29" x14ac:dyDescent="0.25">
      <c r="A360" t="s">
        <v>64</v>
      </c>
      <c r="B360">
        <v>106</v>
      </c>
      <c r="C360">
        <v>415</v>
      </c>
      <c r="D360" t="s">
        <v>21</v>
      </c>
      <c r="E360" t="s">
        <v>21</v>
      </c>
      <c r="F360">
        <v>0</v>
      </c>
      <c r="G360">
        <v>191.4</v>
      </c>
      <c r="H360">
        <v>124</v>
      </c>
      <c r="I360">
        <v>32.54</v>
      </c>
      <c r="J360">
        <v>200.7</v>
      </c>
      <c r="K360">
        <v>116</v>
      </c>
      <c r="L360">
        <v>17.059999999999999</v>
      </c>
      <c r="M360">
        <v>230.1</v>
      </c>
      <c r="N360">
        <v>76</v>
      </c>
      <c r="O360">
        <v>10.35</v>
      </c>
      <c r="P360">
        <v>8.1999999999999993</v>
      </c>
      <c r="Q360">
        <v>3</v>
      </c>
      <c r="R360">
        <v>2.21</v>
      </c>
      <c r="S360">
        <v>1</v>
      </c>
      <c r="T360" t="b">
        <v>0</v>
      </c>
      <c r="U360">
        <f>IFERROR(SUM(Table1[[#This Row],[Total day minutes]],Table1[[#This Row],[Total eve minutes]],Table1[[#This Row],[Total night minutes]],Table1[[#This Row],[Total intl minutes]]),0)</f>
        <v>630.40000000000009</v>
      </c>
      <c r="V360">
        <f>SUM(Table1[[#This Row],[Total intl charge]],Table1[[#This Row],[Total night charge]],Table1[[#This Row],[Total eve charge]],Table1[[#This Row],[Total day charge]])</f>
        <v>62.16</v>
      </c>
      <c r="W360">
        <f>SUM(Table1[[#This Row],[Total intl calls]],Table1[[#This Row],[Total night calls]],Table1[[#This Row],[Total eve calls]],Table1[[#This Row],[Total day calls]])</f>
        <v>319</v>
      </c>
      <c r="X360" t="str" cm="1">
        <f t="array" ref="X360">_xlfn.IFS(Table1[[#This Row],[Customer service calls]]&gt;=4,"High risk",Table1[[#This Row],[Customer service calls]]&gt;=2,"Medium risk",TRUE,"Low risk")</f>
        <v>Low risk</v>
      </c>
      <c r="Y360" t="str" cm="1">
        <f t="array" ref="Y360">IFERROR(_xlfn.IFS(Table1[[#This Row],[Total usage(Min)]]&gt;=AVERAGE(U:U)*1.1,"High risk",Table1[[#This Row],[Total usage(Min)]]&lt;= AVERAGE(U:U)*0.9,"Low risk",TRUE,"Medium risk"),"N/A")</f>
        <v>Medium risk</v>
      </c>
      <c r="Z360" t="str" cm="1">
        <f t="array" ref="Z360">IFERROR(_xlfn.IFS(Table1[[#This Row],[Total charges]]&gt;=AVERAGE(V:V)*1.1,"High risk",Table1[[#This Row],[Total charges]]&lt;=AVERAGE(V:V)*0.9,"Low risk",TRUE,"Medium risk"),"N/A")</f>
        <v>Medium risk</v>
      </c>
      <c r="AA3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0" t="str" cm="1">
        <f t="array" ref="AC360">_xlfn.IFS(
AND(Table1[[#This Row],[Customer service risk level]]="High risk", Table1[[#This Row],[Intl usage behaviour]]="Unplanned Usage"),"High Risk",
OR(Table1[[#This Row],[Customer service risk level]]="Medium risk", Table1[[#This Row],[Charges risk level]]="High risk "),"Medium Risk",
TRUE,"Low Risk"
)</f>
        <v>Low Risk</v>
      </c>
    </row>
    <row r="361" spans="1:29" x14ac:dyDescent="0.25">
      <c r="A361" t="s">
        <v>49</v>
      </c>
      <c r="B361">
        <v>84</v>
      </c>
      <c r="C361">
        <v>510</v>
      </c>
      <c r="D361" t="s">
        <v>21</v>
      </c>
      <c r="E361" t="s">
        <v>21</v>
      </c>
      <c r="F361">
        <v>0</v>
      </c>
      <c r="G361">
        <v>75.3</v>
      </c>
      <c r="H361">
        <v>96</v>
      </c>
      <c r="I361">
        <v>12.8</v>
      </c>
      <c r="J361">
        <v>179.9</v>
      </c>
      <c r="K361">
        <v>113</v>
      </c>
      <c r="L361">
        <v>15.29</v>
      </c>
      <c r="M361">
        <v>193.8</v>
      </c>
      <c r="N361">
        <v>134</v>
      </c>
      <c r="O361">
        <v>8.7200000000000006</v>
      </c>
      <c r="P361">
        <v>12.3</v>
      </c>
      <c r="Q361">
        <v>1</v>
      </c>
      <c r="R361">
        <v>3.32</v>
      </c>
      <c r="S361">
        <v>1</v>
      </c>
      <c r="T361" t="b">
        <v>0</v>
      </c>
      <c r="U361">
        <f>IFERROR(SUM(Table1[[#This Row],[Total day minutes]],Table1[[#This Row],[Total eve minutes]],Table1[[#This Row],[Total night minutes]],Table1[[#This Row],[Total intl minutes]]),0)</f>
        <v>461.3</v>
      </c>
      <c r="V361">
        <f>SUM(Table1[[#This Row],[Total intl charge]],Table1[[#This Row],[Total night charge]],Table1[[#This Row],[Total eve charge]],Table1[[#This Row],[Total day charge]])</f>
        <v>40.129999999999995</v>
      </c>
      <c r="W361">
        <f>SUM(Table1[[#This Row],[Total intl calls]],Table1[[#This Row],[Total night calls]],Table1[[#This Row],[Total eve calls]],Table1[[#This Row],[Total day calls]])</f>
        <v>344</v>
      </c>
      <c r="X361" t="str" cm="1">
        <f t="array" ref="X361">_xlfn.IFS(Table1[[#This Row],[Customer service calls]]&gt;=4,"High risk",Table1[[#This Row],[Customer service calls]]&gt;=2,"Medium risk",TRUE,"Low risk")</f>
        <v>Low risk</v>
      </c>
      <c r="Y361" t="str" cm="1">
        <f t="array" ref="Y361">IFERROR(_xlfn.IFS(Table1[[#This Row],[Total usage(Min)]]&gt;=AVERAGE(U:U)*1.1,"High risk",Table1[[#This Row],[Total usage(Min)]]&lt;= AVERAGE(U:U)*0.9,"Low risk",TRUE,"Medium risk"),"N/A")</f>
        <v>Low risk</v>
      </c>
      <c r="Z361" t="str" cm="1">
        <f t="array" ref="Z361">IFERROR(_xlfn.IFS(Table1[[#This Row],[Total charges]]&gt;=AVERAGE(V:V)*1.1,"High risk",Table1[[#This Row],[Total charges]]&lt;=AVERAGE(V:V)*0.9,"Low risk",TRUE,"Medium risk"),"N/A")</f>
        <v>Low risk</v>
      </c>
      <c r="AA3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1" t="str" cm="1">
        <f t="array" ref="AC361">_xlfn.IFS(
AND(Table1[[#This Row],[Customer service risk level]]="High risk", Table1[[#This Row],[Intl usage behaviour]]="Unplanned Usage"),"High Risk",
OR(Table1[[#This Row],[Customer service risk level]]="Medium risk", Table1[[#This Row],[Charges risk level]]="High risk "),"Medium Risk",
TRUE,"Low Risk"
)</f>
        <v>Low Risk</v>
      </c>
    </row>
    <row r="362" spans="1:29" x14ac:dyDescent="0.25">
      <c r="A362" t="s">
        <v>32</v>
      </c>
      <c r="B362">
        <v>99</v>
      </c>
      <c r="C362">
        <v>408</v>
      </c>
      <c r="D362" t="s">
        <v>21</v>
      </c>
      <c r="E362" t="s">
        <v>21</v>
      </c>
      <c r="F362">
        <v>0</v>
      </c>
      <c r="G362">
        <v>128.80000000000001</v>
      </c>
      <c r="H362">
        <v>86</v>
      </c>
      <c r="I362">
        <v>21.9</v>
      </c>
      <c r="J362">
        <v>203.9</v>
      </c>
      <c r="K362">
        <v>105</v>
      </c>
      <c r="L362">
        <v>17.329999999999998</v>
      </c>
      <c r="M362">
        <v>282.60000000000002</v>
      </c>
      <c r="N362">
        <v>131</v>
      </c>
      <c r="O362">
        <v>12.72</v>
      </c>
      <c r="P362">
        <v>14.1</v>
      </c>
      <c r="Q362">
        <v>4</v>
      </c>
      <c r="R362">
        <v>3.81</v>
      </c>
      <c r="S362">
        <v>2</v>
      </c>
      <c r="T362" t="b">
        <v>0</v>
      </c>
      <c r="U362">
        <f>IFERROR(SUM(Table1[[#This Row],[Total day minutes]],Table1[[#This Row],[Total eve minutes]],Table1[[#This Row],[Total night minutes]],Table1[[#This Row],[Total intl minutes]]),0)</f>
        <v>629.40000000000009</v>
      </c>
      <c r="V362">
        <f>SUM(Table1[[#This Row],[Total intl charge]],Table1[[#This Row],[Total night charge]],Table1[[#This Row],[Total eve charge]],Table1[[#This Row],[Total day charge]])</f>
        <v>55.76</v>
      </c>
      <c r="W362">
        <f>SUM(Table1[[#This Row],[Total intl calls]],Table1[[#This Row],[Total night calls]],Table1[[#This Row],[Total eve calls]],Table1[[#This Row],[Total day calls]])</f>
        <v>326</v>
      </c>
      <c r="X362" t="str" cm="1">
        <f t="array" ref="X362">_xlfn.IFS(Table1[[#This Row],[Customer service calls]]&gt;=4,"High risk",Table1[[#This Row],[Customer service calls]]&gt;=2,"Medium risk",TRUE,"Low risk")</f>
        <v>Medium risk</v>
      </c>
      <c r="Y362" t="str" cm="1">
        <f t="array" ref="Y362">IFERROR(_xlfn.IFS(Table1[[#This Row],[Total usage(Min)]]&gt;=AVERAGE(U:U)*1.1,"High risk",Table1[[#This Row],[Total usage(Min)]]&lt;= AVERAGE(U:U)*0.9,"Low risk",TRUE,"Medium risk"),"N/A")</f>
        <v>Medium risk</v>
      </c>
      <c r="Z362" t="str" cm="1">
        <f t="array" ref="Z362">IFERROR(_xlfn.IFS(Table1[[#This Row],[Total charges]]&gt;=AVERAGE(V:V)*1.1,"High risk",Table1[[#This Row],[Total charges]]&lt;=AVERAGE(V:V)*0.9,"Low risk",TRUE,"Medium risk"),"N/A")</f>
        <v>Medium risk</v>
      </c>
      <c r="AA3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2" t="str" cm="1">
        <f t="array" ref="AC362">_xlfn.IFS(
AND(Table1[[#This Row],[Customer service risk level]]="High risk", Table1[[#This Row],[Intl usage behaviour]]="Unplanned Usage"),"High Risk",
OR(Table1[[#This Row],[Customer service risk level]]="Medium risk", Table1[[#This Row],[Charges risk level]]="High risk "),"Medium Risk",
TRUE,"Low Risk"
)</f>
        <v>Medium Risk</v>
      </c>
    </row>
    <row r="363" spans="1:29" x14ac:dyDescent="0.25">
      <c r="A363" t="s">
        <v>57</v>
      </c>
      <c r="B363">
        <v>134</v>
      </c>
      <c r="C363">
        <v>415</v>
      </c>
      <c r="D363" t="s">
        <v>21</v>
      </c>
      <c r="E363" t="s">
        <v>21</v>
      </c>
      <c r="F363">
        <v>0</v>
      </c>
      <c r="G363">
        <v>141.69999999999999</v>
      </c>
      <c r="H363">
        <v>95</v>
      </c>
      <c r="I363">
        <v>24.09</v>
      </c>
      <c r="J363">
        <v>205.6</v>
      </c>
      <c r="K363">
        <v>101</v>
      </c>
      <c r="L363">
        <v>17.48</v>
      </c>
      <c r="M363">
        <v>218.5</v>
      </c>
      <c r="N363">
        <v>60</v>
      </c>
      <c r="O363">
        <v>9.83</v>
      </c>
      <c r="P363">
        <v>8.8000000000000007</v>
      </c>
      <c r="Q363">
        <v>6</v>
      </c>
      <c r="R363">
        <v>2.38</v>
      </c>
      <c r="S363">
        <v>0</v>
      </c>
      <c r="T363" t="b">
        <v>0</v>
      </c>
      <c r="U363">
        <f>IFERROR(SUM(Table1[[#This Row],[Total day minutes]],Table1[[#This Row],[Total eve minutes]],Table1[[#This Row],[Total night minutes]],Table1[[#This Row],[Total intl minutes]]),0)</f>
        <v>574.59999999999991</v>
      </c>
      <c r="V363">
        <f>SUM(Table1[[#This Row],[Total intl charge]],Table1[[#This Row],[Total night charge]],Table1[[#This Row],[Total eve charge]],Table1[[#This Row],[Total day charge]])</f>
        <v>53.78</v>
      </c>
      <c r="W363">
        <f>SUM(Table1[[#This Row],[Total intl calls]],Table1[[#This Row],[Total night calls]],Table1[[#This Row],[Total eve calls]],Table1[[#This Row],[Total day calls]])</f>
        <v>262</v>
      </c>
      <c r="X363" t="str" cm="1">
        <f t="array" ref="X363">_xlfn.IFS(Table1[[#This Row],[Customer service calls]]&gt;=4,"High risk",Table1[[#This Row],[Customer service calls]]&gt;=2,"Medium risk",TRUE,"Low risk")</f>
        <v>Low risk</v>
      </c>
      <c r="Y363" t="str" cm="1">
        <f t="array" ref="Y363">IFERROR(_xlfn.IFS(Table1[[#This Row],[Total usage(Min)]]&gt;=AVERAGE(U:U)*1.1,"High risk",Table1[[#This Row],[Total usage(Min)]]&lt;= AVERAGE(U:U)*0.9,"Low risk",TRUE,"Medium risk"),"N/A")</f>
        <v>Medium risk</v>
      </c>
      <c r="Z363" t="str" cm="1">
        <f t="array" ref="Z363">IFERROR(_xlfn.IFS(Table1[[#This Row],[Total charges]]&gt;=AVERAGE(V:V)*1.1,"High risk",Table1[[#This Row],[Total charges]]&lt;=AVERAGE(V:V)*0.9,"Low risk",TRUE,"Medium risk"),"N/A")</f>
        <v>Low risk</v>
      </c>
      <c r="AA3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3" t="str" cm="1">
        <f t="array" ref="AC363">_xlfn.IFS(
AND(Table1[[#This Row],[Customer service risk level]]="High risk", Table1[[#This Row],[Intl usage behaviour]]="Unplanned Usage"),"High Risk",
OR(Table1[[#This Row],[Customer service risk level]]="Medium risk", Table1[[#This Row],[Charges risk level]]="High risk "),"Medium Risk",
TRUE,"Low Risk"
)</f>
        <v>Low Risk</v>
      </c>
    </row>
    <row r="364" spans="1:29" x14ac:dyDescent="0.25">
      <c r="A364" t="s">
        <v>64</v>
      </c>
      <c r="B364">
        <v>80</v>
      </c>
      <c r="C364">
        <v>415</v>
      </c>
      <c r="D364" t="s">
        <v>21</v>
      </c>
      <c r="E364" t="s">
        <v>21</v>
      </c>
      <c r="F364">
        <v>0</v>
      </c>
      <c r="G364">
        <v>268.7</v>
      </c>
      <c r="H364">
        <v>120</v>
      </c>
      <c r="I364">
        <v>45.68</v>
      </c>
      <c r="J364">
        <v>301</v>
      </c>
      <c r="K364">
        <v>147</v>
      </c>
      <c r="L364">
        <v>25.59</v>
      </c>
      <c r="M364">
        <v>167</v>
      </c>
      <c r="N364">
        <v>140</v>
      </c>
      <c r="O364">
        <v>7.52</v>
      </c>
      <c r="P364">
        <v>5.8</v>
      </c>
      <c r="Q364">
        <v>1</v>
      </c>
      <c r="R364">
        <v>1.57</v>
      </c>
      <c r="S364">
        <v>2</v>
      </c>
      <c r="T364" t="b">
        <v>1</v>
      </c>
      <c r="U364">
        <f>IFERROR(SUM(Table1[[#This Row],[Total day minutes]],Table1[[#This Row],[Total eve minutes]],Table1[[#This Row],[Total night minutes]],Table1[[#This Row],[Total intl minutes]]),0)</f>
        <v>742.5</v>
      </c>
      <c r="V364">
        <f>SUM(Table1[[#This Row],[Total intl charge]],Table1[[#This Row],[Total night charge]],Table1[[#This Row],[Total eve charge]],Table1[[#This Row],[Total day charge]])</f>
        <v>80.36</v>
      </c>
      <c r="W364">
        <f>SUM(Table1[[#This Row],[Total intl calls]],Table1[[#This Row],[Total night calls]],Table1[[#This Row],[Total eve calls]],Table1[[#This Row],[Total day calls]])</f>
        <v>408</v>
      </c>
      <c r="X364" t="str" cm="1">
        <f t="array" ref="X364">_xlfn.IFS(Table1[[#This Row],[Customer service calls]]&gt;=4,"High risk",Table1[[#This Row],[Customer service calls]]&gt;=2,"Medium risk",TRUE,"Low risk")</f>
        <v>Medium risk</v>
      </c>
      <c r="Y364" t="str" cm="1">
        <f t="array" ref="Y364">IFERROR(_xlfn.IFS(Table1[[#This Row],[Total usage(Min)]]&gt;=AVERAGE(U:U)*1.1,"High risk",Table1[[#This Row],[Total usage(Min)]]&lt;= AVERAGE(U:U)*0.9,"Low risk",TRUE,"Medium risk"),"N/A")</f>
        <v>High risk</v>
      </c>
      <c r="Z364" t="str" cm="1">
        <f t="array" ref="Z364">IFERROR(_xlfn.IFS(Table1[[#This Row],[Total charges]]&gt;=AVERAGE(V:V)*1.1,"High risk",Table1[[#This Row],[Total charges]]&lt;=AVERAGE(V:V)*0.9,"Low risk",TRUE,"Medium risk"),"N/A")</f>
        <v>High risk</v>
      </c>
      <c r="AA3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4" t="str" cm="1">
        <f t="array" ref="AC364">_xlfn.IFS(
AND(Table1[[#This Row],[Customer service risk level]]="High risk", Table1[[#This Row],[Intl usage behaviour]]="Unplanned Usage"),"High Risk",
OR(Table1[[#This Row],[Customer service risk level]]="Medium risk", Table1[[#This Row],[Charges risk level]]="High risk "),"Medium Risk",
TRUE,"Low Risk"
)</f>
        <v>Medium Risk</v>
      </c>
    </row>
    <row r="365" spans="1:29" x14ac:dyDescent="0.25">
      <c r="A365" t="s">
        <v>32</v>
      </c>
      <c r="B365">
        <v>85</v>
      </c>
      <c r="C365">
        <v>415</v>
      </c>
      <c r="D365" t="s">
        <v>21</v>
      </c>
      <c r="E365" t="s">
        <v>21</v>
      </c>
      <c r="F365">
        <v>0</v>
      </c>
      <c r="G365">
        <v>255.3</v>
      </c>
      <c r="H365">
        <v>114</v>
      </c>
      <c r="I365">
        <v>43.4</v>
      </c>
      <c r="J365">
        <v>194.6</v>
      </c>
      <c r="K365">
        <v>83</v>
      </c>
      <c r="L365">
        <v>16.54</v>
      </c>
      <c r="M365">
        <v>276.60000000000002</v>
      </c>
      <c r="N365">
        <v>78</v>
      </c>
      <c r="O365">
        <v>12.45</v>
      </c>
      <c r="P365">
        <v>3.7</v>
      </c>
      <c r="Q365">
        <v>5</v>
      </c>
      <c r="R365">
        <v>1</v>
      </c>
      <c r="S365">
        <v>3</v>
      </c>
      <c r="T365" t="b">
        <v>0</v>
      </c>
      <c r="U365">
        <f>IFERROR(SUM(Table1[[#This Row],[Total day minutes]],Table1[[#This Row],[Total eve minutes]],Table1[[#This Row],[Total night minutes]],Table1[[#This Row],[Total intl minutes]]),0)</f>
        <v>730.2</v>
      </c>
      <c r="V365">
        <f>SUM(Table1[[#This Row],[Total intl charge]],Table1[[#This Row],[Total night charge]],Table1[[#This Row],[Total eve charge]],Table1[[#This Row],[Total day charge]])</f>
        <v>73.39</v>
      </c>
      <c r="W365">
        <f>SUM(Table1[[#This Row],[Total intl calls]],Table1[[#This Row],[Total night calls]],Table1[[#This Row],[Total eve calls]],Table1[[#This Row],[Total day calls]])</f>
        <v>280</v>
      </c>
      <c r="X365" t="str" cm="1">
        <f t="array" ref="X365">_xlfn.IFS(Table1[[#This Row],[Customer service calls]]&gt;=4,"High risk",Table1[[#This Row],[Customer service calls]]&gt;=2,"Medium risk",TRUE,"Low risk")</f>
        <v>Medium risk</v>
      </c>
      <c r="Y365" t="str" cm="1">
        <f t="array" ref="Y365">IFERROR(_xlfn.IFS(Table1[[#This Row],[Total usage(Min)]]&gt;=AVERAGE(U:U)*1.1,"High risk",Table1[[#This Row],[Total usage(Min)]]&lt;= AVERAGE(U:U)*0.9,"Low risk",TRUE,"Medium risk"),"N/A")</f>
        <v>High risk</v>
      </c>
      <c r="Z365" t="str" cm="1">
        <f t="array" ref="Z365">IFERROR(_xlfn.IFS(Table1[[#This Row],[Total charges]]&gt;=AVERAGE(V:V)*1.1,"High risk",Table1[[#This Row],[Total charges]]&lt;=AVERAGE(V:V)*0.9,"Low risk",TRUE,"Medium risk"),"N/A")</f>
        <v>High risk</v>
      </c>
      <c r="AA3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5" t="str" cm="1">
        <f t="array" ref="AC365">_xlfn.IFS(
AND(Table1[[#This Row],[Customer service risk level]]="High risk", Table1[[#This Row],[Intl usage behaviour]]="Unplanned Usage"),"High Risk",
OR(Table1[[#This Row],[Customer service risk level]]="Medium risk", Table1[[#This Row],[Charges risk level]]="High risk "),"Medium Risk",
TRUE,"Low Risk"
)</f>
        <v>Medium Risk</v>
      </c>
    </row>
    <row r="366" spans="1:29" x14ac:dyDescent="0.25">
      <c r="A366" t="s">
        <v>31</v>
      </c>
      <c r="B366">
        <v>120</v>
      </c>
      <c r="C366">
        <v>408</v>
      </c>
      <c r="D366" t="s">
        <v>21</v>
      </c>
      <c r="E366" t="s">
        <v>27</v>
      </c>
      <c r="F366">
        <v>26</v>
      </c>
      <c r="G366">
        <v>239.4</v>
      </c>
      <c r="H366">
        <v>94</v>
      </c>
      <c r="I366">
        <v>40.700000000000003</v>
      </c>
      <c r="J366">
        <v>259.39999999999998</v>
      </c>
      <c r="K366">
        <v>88</v>
      </c>
      <c r="L366">
        <v>22.05</v>
      </c>
      <c r="M366">
        <v>238</v>
      </c>
      <c r="N366">
        <v>132</v>
      </c>
      <c r="O366">
        <v>10.71</v>
      </c>
      <c r="P366">
        <v>7.7</v>
      </c>
      <c r="Q366">
        <v>3</v>
      </c>
      <c r="R366">
        <v>2.08</v>
      </c>
      <c r="S366">
        <v>0</v>
      </c>
      <c r="T366" t="b">
        <v>0</v>
      </c>
      <c r="U366">
        <f>IFERROR(SUM(Table1[[#This Row],[Total day minutes]],Table1[[#This Row],[Total eve minutes]],Table1[[#This Row],[Total night minutes]],Table1[[#This Row],[Total intl minutes]]),0)</f>
        <v>744.5</v>
      </c>
      <c r="V366">
        <f>SUM(Table1[[#This Row],[Total intl charge]],Table1[[#This Row],[Total night charge]],Table1[[#This Row],[Total eve charge]],Table1[[#This Row],[Total day charge]])</f>
        <v>75.540000000000006</v>
      </c>
      <c r="W366">
        <f>SUM(Table1[[#This Row],[Total intl calls]],Table1[[#This Row],[Total night calls]],Table1[[#This Row],[Total eve calls]],Table1[[#This Row],[Total day calls]])</f>
        <v>317</v>
      </c>
      <c r="X366" t="str" cm="1">
        <f t="array" ref="X366">_xlfn.IFS(Table1[[#This Row],[Customer service calls]]&gt;=4,"High risk",Table1[[#This Row],[Customer service calls]]&gt;=2,"Medium risk",TRUE,"Low risk")</f>
        <v>Low risk</v>
      </c>
      <c r="Y366" t="str" cm="1">
        <f t="array" ref="Y366">IFERROR(_xlfn.IFS(Table1[[#This Row],[Total usage(Min)]]&gt;=AVERAGE(U:U)*1.1,"High risk",Table1[[#This Row],[Total usage(Min)]]&lt;= AVERAGE(U:U)*0.9,"Low risk",TRUE,"Medium risk"),"N/A")</f>
        <v>High risk</v>
      </c>
      <c r="Z366" t="str" cm="1">
        <f t="array" ref="Z366">IFERROR(_xlfn.IFS(Table1[[#This Row],[Total charges]]&gt;=AVERAGE(V:V)*1.1,"High risk",Table1[[#This Row],[Total charges]]&lt;=AVERAGE(V:V)*0.9,"Low risk",TRUE,"Medium risk"),"N/A")</f>
        <v>High risk</v>
      </c>
      <c r="AA3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66" t="str" cm="1">
        <f t="array" ref="AC366">_xlfn.IFS(
AND(Table1[[#This Row],[Customer service risk level]]="High risk", Table1[[#This Row],[Intl usage behaviour]]="Unplanned Usage"),"High Risk",
OR(Table1[[#This Row],[Customer service risk level]]="Medium risk", Table1[[#This Row],[Charges risk level]]="High risk "),"Medium Risk",
TRUE,"Low Risk"
)</f>
        <v>Low Risk</v>
      </c>
    </row>
    <row r="367" spans="1:29" x14ac:dyDescent="0.25">
      <c r="A367" t="s">
        <v>52</v>
      </c>
      <c r="B367">
        <v>120</v>
      </c>
      <c r="C367">
        <v>510</v>
      </c>
      <c r="D367" t="s">
        <v>21</v>
      </c>
      <c r="E367" t="s">
        <v>21</v>
      </c>
      <c r="F367">
        <v>0</v>
      </c>
      <c r="G367">
        <v>158</v>
      </c>
      <c r="H367">
        <v>110</v>
      </c>
      <c r="I367">
        <v>26.86</v>
      </c>
      <c r="J367">
        <v>197</v>
      </c>
      <c r="K367">
        <v>103</v>
      </c>
      <c r="L367">
        <v>16.75</v>
      </c>
      <c r="M367">
        <v>154.9</v>
      </c>
      <c r="N367">
        <v>132</v>
      </c>
      <c r="O367">
        <v>6.97</v>
      </c>
      <c r="P367">
        <v>10</v>
      </c>
      <c r="Q367">
        <v>5</v>
      </c>
      <c r="R367">
        <v>2.7</v>
      </c>
      <c r="S367">
        <v>1</v>
      </c>
      <c r="T367" t="b">
        <v>0</v>
      </c>
      <c r="U367">
        <f>IFERROR(SUM(Table1[[#This Row],[Total day minutes]],Table1[[#This Row],[Total eve minutes]],Table1[[#This Row],[Total night minutes]],Table1[[#This Row],[Total intl minutes]]),0)</f>
        <v>519.9</v>
      </c>
      <c r="V367">
        <f>SUM(Table1[[#This Row],[Total intl charge]],Table1[[#This Row],[Total night charge]],Table1[[#This Row],[Total eve charge]],Table1[[#This Row],[Total day charge]])</f>
        <v>53.28</v>
      </c>
      <c r="W367">
        <f>SUM(Table1[[#This Row],[Total intl calls]],Table1[[#This Row],[Total night calls]],Table1[[#This Row],[Total eve calls]],Table1[[#This Row],[Total day calls]])</f>
        <v>350</v>
      </c>
      <c r="X367" t="str" cm="1">
        <f t="array" ref="X367">_xlfn.IFS(Table1[[#This Row],[Customer service calls]]&gt;=4,"High risk",Table1[[#This Row],[Customer service calls]]&gt;=2,"Medium risk",TRUE,"Low risk")</f>
        <v>Low risk</v>
      </c>
      <c r="Y367" t="str" cm="1">
        <f t="array" ref="Y367">IFERROR(_xlfn.IFS(Table1[[#This Row],[Total usage(Min)]]&gt;=AVERAGE(U:U)*1.1,"High risk",Table1[[#This Row],[Total usage(Min)]]&lt;= AVERAGE(U:U)*0.9,"Low risk",TRUE,"Medium risk"),"N/A")</f>
        <v>Low risk</v>
      </c>
      <c r="Z367" t="str" cm="1">
        <f t="array" ref="Z367">IFERROR(_xlfn.IFS(Table1[[#This Row],[Total charges]]&gt;=AVERAGE(V:V)*1.1,"High risk",Table1[[#This Row],[Total charges]]&lt;=AVERAGE(V:V)*0.9,"Low risk",TRUE,"Medium risk"),"N/A")</f>
        <v>Low risk</v>
      </c>
      <c r="AA3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7" t="str" cm="1">
        <f t="array" ref="AC367">_xlfn.IFS(
AND(Table1[[#This Row],[Customer service risk level]]="High risk", Table1[[#This Row],[Intl usage behaviour]]="Unplanned Usage"),"High Risk",
OR(Table1[[#This Row],[Customer service risk level]]="Medium risk", Table1[[#This Row],[Charges risk level]]="High risk "),"Medium Risk",
TRUE,"Low Risk"
)</f>
        <v>Low Risk</v>
      </c>
    </row>
    <row r="368" spans="1:29" x14ac:dyDescent="0.25">
      <c r="A368" t="s">
        <v>64</v>
      </c>
      <c r="B368">
        <v>125</v>
      </c>
      <c r="C368">
        <v>415</v>
      </c>
      <c r="D368" t="s">
        <v>21</v>
      </c>
      <c r="E368" t="s">
        <v>21</v>
      </c>
      <c r="F368">
        <v>0</v>
      </c>
      <c r="G368">
        <v>182.3</v>
      </c>
      <c r="H368">
        <v>64</v>
      </c>
      <c r="I368">
        <v>30.99</v>
      </c>
      <c r="J368">
        <v>139.80000000000001</v>
      </c>
      <c r="K368">
        <v>121</v>
      </c>
      <c r="L368">
        <v>11.88</v>
      </c>
      <c r="M368">
        <v>171.6</v>
      </c>
      <c r="N368">
        <v>96</v>
      </c>
      <c r="O368">
        <v>7.72</v>
      </c>
      <c r="P368">
        <v>11.6</v>
      </c>
      <c r="Q368">
        <v>7</v>
      </c>
      <c r="R368">
        <v>3.13</v>
      </c>
      <c r="S368">
        <v>2</v>
      </c>
      <c r="T368" t="b">
        <v>0</v>
      </c>
      <c r="U368">
        <f>IFERROR(SUM(Table1[[#This Row],[Total day minutes]],Table1[[#This Row],[Total eve minutes]],Table1[[#This Row],[Total night minutes]],Table1[[#This Row],[Total intl minutes]]),0)</f>
        <v>505.30000000000007</v>
      </c>
      <c r="V368">
        <f>SUM(Table1[[#This Row],[Total intl charge]],Table1[[#This Row],[Total night charge]],Table1[[#This Row],[Total eve charge]],Table1[[#This Row],[Total day charge]])</f>
        <v>53.72</v>
      </c>
      <c r="W368">
        <f>SUM(Table1[[#This Row],[Total intl calls]],Table1[[#This Row],[Total night calls]],Table1[[#This Row],[Total eve calls]],Table1[[#This Row],[Total day calls]])</f>
        <v>288</v>
      </c>
      <c r="X368" t="str" cm="1">
        <f t="array" ref="X368">_xlfn.IFS(Table1[[#This Row],[Customer service calls]]&gt;=4,"High risk",Table1[[#This Row],[Customer service calls]]&gt;=2,"Medium risk",TRUE,"Low risk")</f>
        <v>Medium risk</v>
      </c>
      <c r="Y368" t="str" cm="1">
        <f t="array" ref="Y368">IFERROR(_xlfn.IFS(Table1[[#This Row],[Total usage(Min)]]&gt;=AVERAGE(U:U)*1.1,"High risk",Table1[[#This Row],[Total usage(Min)]]&lt;= AVERAGE(U:U)*0.9,"Low risk",TRUE,"Medium risk"),"N/A")</f>
        <v>Low risk</v>
      </c>
      <c r="Z368" t="str" cm="1">
        <f t="array" ref="Z368">IFERROR(_xlfn.IFS(Table1[[#This Row],[Total charges]]&gt;=AVERAGE(V:V)*1.1,"High risk",Table1[[#This Row],[Total charges]]&lt;=AVERAGE(V:V)*0.9,"Low risk",TRUE,"Medium risk"),"N/A")</f>
        <v>Low risk</v>
      </c>
      <c r="AA3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68" t="str" cm="1">
        <f t="array" ref="AC368">_xlfn.IFS(
AND(Table1[[#This Row],[Customer service risk level]]="High risk", Table1[[#This Row],[Intl usage behaviour]]="Unplanned Usage"),"High Risk",
OR(Table1[[#This Row],[Customer service risk level]]="Medium risk", Table1[[#This Row],[Charges risk level]]="High risk "),"Medium Risk",
TRUE,"Low Risk"
)</f>
        <v>Medium Risk</v>
      </c>
    </row>
    <row r="369" spans="1:29" x14ac:dyDescent="0.25">
      <c r="A369" t="s">
        <v>68</v>
      </c>
      <c r="B369">
        <v>118</v>
      </c>
      <c r="C369">
        <v>415</v>
      </c>
      <c r="D369" t="s">
        <v>21</v>
      </c>
      <c r="E369" t="s">
        <v>27</v>
      </c>
      <c r="F369">
        <v>39</v>
      </c>
      <c r="G369">
        <v>91.5</v>
      </c>
      <c r="H369">
        <v>125</v>
      </c>
      <c r="I369">
        <v>15.56</v>
      </c>
      <c r="J369">
        <v>219.9</v>
      </c>
      <c r="K369">
        <v>113</v>
      </c>
      <c r="L369">
        <v>18.690000000000001</v>
      </c>
      <c r="M369">
        <v>229</v>
      </c>
      <c r="N369">
        <v>99</v>
      </c>
      <c r="O369">
        <v>10.31</v>
      </c>
      <c r="P369">
        <v>12.7</v>
      </c>
      <c r="Q369">
        <v>8</v>
      </c>
      <c r="R369">
        <v>3.43</v>
      </c>
      <c r="S369">
        <v>2</v>
      </c>
      <c r="T369" t="b">
        <v>0</v>
      </c>
      <c r="U369">
        <f>IFERROR(SUM(Table1[[#This Row],[Total day minutes]],Table1[[#This Row],[Total eve minutes]],Table1[[#This Row],[Total night minutes]],Table1[[#This Row],[Total intl minutes]]),0)</f>
        <v>553.1</v>
      </c>
      <c r="V369">
        <f>SUM(Table1[[#This Row],[Total intl charge]],Table1[[#This Row],[Total night charge]],Table1[[#This Row],[Total eve charge]],Table1[[#This Row],[Total day charge]])</f>
        <v>47.99</v>
      </c>
      <c r="W369">
        <f>SUM(Table1[[#This Row],[Total intl calls]],Table1[[#This Row],[Total night calls]],Table1[[#This Row],[Total eve calls]],Table1[[#This Row],[Total day calls]])</f>
        <v>345</v>
      </c>
      <c r="X369" t="str" cm="1">
        <f t="array" ref="X369">_xlfn.IFS(Table1[[#This Row],[Customer service calls]]&gt;=4,"High risk",Table1[[#This Row],[Customer service calls]]&gt;=2,"Medium risk",TRUE,"Low risk")</f>
        <v>Medium risk</v>
      </c>
      <c r="Y369" t="str" cm="1">
        <f t="array" ref="Y369">IFERROR(_xlfn.IFS(Table1[[#This Row],[Total usage(Min)]]&gt;=AVERAGE(U:U)*1.1,"High risk",Table1[[#This Row],[Total usage(Min)]]&lt;= AVERAGE(U:U)*0.9,"Low risk",TRUE,"Medium risk"),"N/A")</f>
        <v>Medium risk</v>
      </c>
      <c r="Z369" t="str" cm="1">
        <f t="array" ref="Z369">IFERROR(_xlfn.IFS(Table1[[#This Row],[Total charges]]&gt;=AVERAGE(V:V)*1.1,"High risk",Table1[[#This Row],[Total charges]]&lt;=AVERAGE(V:V)*0.9,"Low risk",TRUE,"Medium risk"),"N/A")</f>
        <v>Low risk</v>
      </c>
      <c r="AA3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6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69" t="str" cm="1">
        <f t="array" ref="AC369">_xlfn.IFS(
AND(Table1[[#This Row],[Customer service risk level]]="High risk", Table1[[#This Row],[Intl usage behaviour]]="Unplanned Usage"),"High Risk",
OR(Table1[[#This Row],[Customer service risk level]]="Medium risk", Table1[[#This Row],[Charges risk level]]="High risk "),"Medium Risk",
TRUE,"Low Risk"
)</f>
        <v>Medium Risk</v>
      </c>
    </row>
    <row r="370" spans="1:29" x14ac:dyDescent="0.25">
      <c r="A370" t="s">
        <v>50</v>
      </c>
      <c r="B370">
        <v>62</v>
      </c>
      <c r="C370">
        <v>415</v>
      </c>
      <c r="D370" t="s">
        <v>21</v>
      </c>
      <c r="E370" t="s">
        <v>21</v>
      </c>
      <c r="F370">
        <v>0</v>
      </c>
      <c r="G370">
        <v>172.4</v>
      </c>
      <c r="H370">
        <v>132</v>
      </c>
      <c r="I370">
        <v>29.31</v>
      </c>
      <c r="J370">
        <v>230.5</v>
      </c>
      <c r="K370">
        <v>100</v>
      </c>
      <c r="L370">
        <v>19.59</v>
      </c>
      <c r="M370">
        <v>228.2</v>
      </c>
      <c r="N370">
        <v>109</v>
      </c>
      <c r="O370">
        <v>10.27</v>
      </c>
      <c r="P370">
        <v>11</v>
      </c>
      <c r="Q370">
        <v>5</v>
      </c>
      <c r="R370">
        <v>2.97</v>
      </c>
      <c r="S370">
        <v>0</v>
      </c>
      <c r="T370" t="b">
        <v>0</v>
      </c>
      <c r="U370">
        <f>IFERROR(SUM(Table1[[#This Row],[Total day minutes]],Table1[[#This Row],[Total eve minutes]],Table1[[#This Row],[Total night minutes]],Table1[[#This Row],[Total intl minutes]]),0)</f>
        <v>642.09999999999991</v>
      </c>
      <c r="V370">
        <f>SUM(Table1[[#This Row],[Total intl charge]],Table1[[#This Row],[Total night charge]],Table1[[#This Row],[Total eve charge]],Table1[[#This Row],[Total day charge]])</f>
        <v>62.14</v>
      </c>
      <c r="W370">
        <f>SUM(Table1[[#This Row],[Total intl calls]],Table1[[#This Row],[Total night calls]],Table1[[#This Row],[Total eve calls]],Table1[[#This Row],[Total day calls]])</f>
        <v>346</v>
      </c>
      <c r="X370" t="str" cm="1">
        <f t="array" ref="X370">_xlfn.IFS(Table1[[#This Row],[Customer service calls]]&gt;=4,"High risk",Table1[[#This Row],[Customer service calls]]&gt;=2,"Medium risk",TRUE,"Low risk")</f>
        <v>Low risk</v>
      </c>
      <c r="Y370" t="str" cm="1">
        <f t="array" ref="Y370">IFERROR(_xlfn.IFS(Table1[[#This Row],[Total usage(Min)]]&gt;=AVERAGE(U:U)*1.1,"High risk",Table1[[#This Row],[Total usage(Min)]]&lt;= AVERAGE(U:U)*0.9,"Low risk",TRUE,"Medium risk"),"N/A")</f>
        <v>Medium risk</v>
      </c>
      <c r="Z370" t="str" cm="1">
        <f t="array" ref="Z370">IFERROR(_xlfn.IFS(Table1[[#This Row],[Total charges]]&gt;=AVERAGE(V:V)*1.1,"High risk",Table1[[#This Row],[Total charges]]&lt;=AVERAGE(V:V)*0.9,"Low risk",TRUE,"Medium risk"),"N/A")</f>
        <v>Medium risk</v>
      </c>
      <c r="AA3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0" t="str" cm="1">
        <f t="array" ref="AC370">_xlfn.IFS(
AND(Table1[[#This Row],[Customer service risk level]]="High risk", Table1[[#This Row],[Intl usage behaviour]]="Unplanned Usage"),"High Risk",
OR(Table1[[#This Row],[Customer service risk level]]="Medium risk", Table1[[#This Row],[Charges risk level]]="High risk "),"Medium Risk",
TRUE,"Low Risk"
)</f>
        <v>Low Risk</v>
      </c>
    </row>
    <row r="371" spans="1:29" x14ac:dyDescent="0.25">
      <c r="A371" t="s">
        <v>20</v>
      </c>
      <c r="B371">
        <v>112</v>
      </c>
      <c r="C371">
        <v>510</v>
      </c>
      <c r="D371" t="s">
        <v>21</v>
      </c>
      <c r="E371" t="s">
        <v>21</v>
      </c>
      <c r="F371">
        <v>0</v>
      </c>
      <c r="G371">
        <v>174.5</v>
      </c>
      <c r="H371">
        <v>127</v>
      </c>
      <c r="I371">
        <v>29.67</v>
      </c>
      <c r="J371">
        <v>259.3</v>
      </c>
      <c r="K371">
        <v>71</v>
      </c>
      <c r="L371">
        <v>22.04</v>
      </c>
      <c r="M371">
        <v>170.5</v>
      </c>
      <c r="N371">
        <v>120</v>
      </c>
      <c r="O371">
        <v>7.67</v>
      </c>
      <c r="P371">
        <v>11.3</v>
      </c>
      <c r="Q371">
        <v>7</v>
      </c>
      <c r="R371">
        <v>3.05</v>
      </c>
      <c r="S371">
        <v>1</v>
      </c>
      <c r="T371" t="b">
        <v>0</v>
      </c>
      <c r="U371">
        <f>IFERROR(SUM(Table1[[#This Row],[Total day minutes]],Table1[[#This Row],[Total eve minutes]],Table1[[#This Row],[Total night minutes]],Table1[[#This Row],[Total intl minutes]]),0)</f>
        <v>615.59999999999991</v>
      </c>
      <c r="V371">
        <f>SUM(Table1[[#This Row],[Total intl charge]],Table1[[#This Row],[Total night charge]],Table1[[#This Row],[Total eve charge]],Table1[[#This Row],[Total day charge]])</f>
        <v>62.43</v>
      </c>
      <c r="W371">
        <f>SUM(Table1[[#This Row],[Total intl calls]],Table1[[#This Row],[Total night calls]],Table1[[#This Row],[Total eve calls]],Table1[[#This Row],[Total day calls]])</f>
        <v>325</v>
      </c>
      <c r="X371" t="str" cm="1">
        <f t="array" ref="X371">_xlfn.IFS(Table1[[#This Row],[Customer service calls]]&gt;=4,"High risk",Table1[[#This Row],[Customer service calls]]&gt;=2,"Medium risk",TRUE,"Low risk")</f>
        <v>Low risk</v>
      </c>
      <c r="Y371" t="str" cm="1">
        <f t="array" ref="Y371">IFERROR(_xlfn.IFS(Table1[[#This Row],[Total usage(Min)]]&gt;=AVERAGE(U:U)*1.1,"High risk",Table1[[#This Row],[Total usage(Min)]]&lt;= AVERAGE(U:U)*0.9,"Low risk",TRUE,"Medium risk"),"N/A")</f>
        <v>Medium risk</v>
      </c>
      <c r="Z371" t="str" cm="1">
        <f t="array" ref="Z371">IFERROR(_xlfn.IFS(Table1[[#This Row],[Total charges]]&gt;=AVERAGE(V:V)*1.1,"High risk",Table1[[#This Row],[Total charges]]&lt;=AVERAGE(V:V)*0.9,"Low risk",TRUE,"Medium risk"),"N/A")</f>
        <v>Medium risk</v>
      </c>
      <c r="AA3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1" t="str" cm="1">
        <f t="array" ref="AC371">_xlfn.IFS(
AND(Table1[[#This Row],[Customer service risk level]]="High risk", Table1[[#This Row],[Intl usage behaviour]]="Unplanned Usage"),"High Risk",
OR(Table1[[#This Row],[Customer service risk level]]="Medium risk", Table1[[#This Row],[Charges risk level]]="High risk "),"Medium Risk",
TRUE,"Low Risk"
)</f>
        <v>Low Risk</v>
      </c>
    </row>
    <row r="372" spans="1:29" x14ac:dyDescent="0.25">
      <c r="A372" t="s">
        <v>44</v>
      </c>
      <c r="B372">
        <v>68</v>
      </c>
      <c r="C372">
        <v>510</v>
      </c>
      <c r="D372" t="s">
        <v>21</v>
      </c>
      <c r="E372" t="s">
        <v>21</v>
      </c>
      <c r="F372">
        <v>0</v>
      </c>
      <c r="G372">
        <v>157.30000000000001</v>
      </c>
      <c r="H372">
        <v>83</v>
      </c>
      <c r="I372">
        <v>26.74</v>
      </c>
      <c r="J372">
        <v>220.9</v>
      </c>
      <c r="K372">
        <v>85</v>
      </c>
      <c r="L372">
        <v>18.78</v>
      </c>
      <c r="M372">
        <v>218.9</v>
      </c>
      <c r="N372">
        <v>129</v>
      </c>
      <c r="O372">
        <v>9.85</v>
      </c>
      <c r="P372">
        <v>12</v>
      </c>
      <c r="Q372">
        <v>7</v>
      </c>
      <c r="R372">
        <v>3.24</v>
      </c>
      <c r="S372">
        <v>1</v>
      </c>
      <c r="T372" t="b">
        <v>0</v>
      </c>
      <c r="U372">
        <f>IFERROR(SUM(Table1[[#This Row],[Total day minutes]],Table1[[#This Row],[Total eve minutes]],Table1[[#This Row],[Total night minutes]],Table1[[#This Row],[Total intl minutes]]),0)</f>
        <v>609.1</v>
      </c>
      <c r="V372">
        <f>SUM(Table1[[#This Row],[Total intl charge]],Table1[[#This Row],[Total night charge]],Table1[[#This Row],[Total eve charge]],Table1[[#This Row],[Total day charge]])</f>
        <v>58.61</v>
      </c>
      <c r="W372">
        <f>SUM(Table1[[#This Row],[Total intl calls]],Table1[[#This Row],[Total night calls]],Table1[[#This Row],[Total eve calls]],Table1[[#This Row],[Total day calls]])</f>
        <v>304</v>
      </c>
      <c r="X372" t="str" cm="1">
        <f t="array" ref="X372">_xlfn.IFS(Table1[[#This Row],[Customer service calls]]&gt;=4,"High risk",Table1[[#This Row],[Customer service calls]]&gt;=2,"Medium risk",TRUE,"Low risk")</f>
        <v>Low risk</v>
      </c>
      <c r="Y372" t="str" cm="1">
        <f t="array" ref="Y372">IFERROR(_xlfn.IFS(Table1[[#This Row],[Total usage(Min)]]&gt;=AVERAGE(U:U)*1.1,"High risk",Table1[[#This Row],[Total usage(Min)]]&lt;= AVERAGE(U:U)*0.9,"Low risk",TRUE,"Medium risk"),"N/A")</f>
        <v>Medium risk</v>
      </c>
      <c r="Z372" t="str" cm="1">
        <f t="array" ref="Z372">IFERROR(_xlfn.IFS(Table1[[#This Row],[Total charges]]&gt;=AVERAGE(V:V)*1.1,"High risk",Table1[[#This Row],[Total charges]]&lt;=AVERAGE(V:V)*0.9,"Low risk",TRUE,"Medium risk"),"N/A")</f>
        <v>Medium risk</v>
      </c>
      <c r="AA3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2" t="str" cm="1">
        <f t="array" ref="AC372">_xlfn.IFS(
AND(Table1[[#This Row],[Customer service risk level]]="High risk", Table1[[#This Row],[Intl usage behaviour]]="Unplanned Usage"),"High Risk",
OR(Table1[[#This Row],[Customer service risk level]]="Medium risk", Table1[[#This Row],[Charges risk level]]="High risk "),"Medium Risk",
TRUE,"Low Risk"
)</f>
        <v>Low Risk</v>
      </c>
    </row>
    <row r="373" spans="1:29" x14ac:dyDescent="0.25">
      <c r="A373" t="s">
        <v>48</v>
      </c>
      <c r="B373">
        <v>201</v>
      </c>
      <c r="C373">
        <v>415</v>
      </c>
      <c r="D373" t="s">
        <v>21</v>
      </c>
      <c r="E373" t="s">
        <v>27</v>
      </c>
      <c r="F373">
        <v>21</v>
      </c>
      <c r="G373">
        <v>192</v>
      </c>
      <c r="H373">
        <v>97</v>
      </c>
      <c r="I373">
        <v>32.64</v>
      </c>
      <c r="J373">
        <v>239.1</v>
      </c>
      <c r="K373">
        <v>81</v>
      </c>
      <c r="L373">
        <v>20.32</v>
      </c>
      <c r="M373">
        <v>116.1</v>
      </c>
      <c r="N373">
        <v>125</v>
      </c>
      <c r="O373">
        <v>5.22</v>
      </c>
      <c r="P373">
        <v>15.1</v>
      </c>
      <c r="Q373">
        <v>3</v>
      </c>
      <c r="R373">
        <v>4.08</v>
      </c>
      <c r="S373">
        <v>1</v>
      </c>
      <c r="T373" t="b">
        <v>0</v>
      </c>
      <c r="U373">
        <f>IFERROR(SUM(Table1[[#This Row],[Total day minutes]],Table1[[#This Row],[Total eve minutes]],Table1[[#This Row],[Total night minutes]],Table1[[#This Row],[Total intl minutes]]),0)</f>
        <v>562.30000000000007</v>
      </c>
      <c r="V373">
        <f>SUM(Table1[[#This Row],[Total intl charge]],Table1[[#This Row],[Total night charge]],Table1[[#This Row],[Total eve charge]],Table1[[#This Row],[Total day charge]])</f>
        <v>62.260000000000005</v>
      </c>
      <c r="W373">
        <f>SUM(Table1[[#This Row],[Total intl calls]],Table1[[#This Row],[Total night calls]],Table1[[#This Row],[Total eve calls]],Table1[[#This Row],[Total day calls]])</f>
        <v>306</v>
      </c>
      <c r="X373" t="str" cm="1">
        <f t="array" ref="X373">_xlfn.IFS(Table1[[#This Row],[Customer service calls]]&gt;=4,"High risk",Table1[[#This Row],[Customer service calls]]&gt;=2,"Medium risk",TRUE,"Low risk")</f>
        <v>Low risk</v>
      </c>
      <c r="Y373" t="str" cm="1">
        <f t="array" ref="Y373">IFERROR(_xlfn.IFS(Table1[[#This Row],[Total usage(Min)]]&gt;=AVERAGE(U:U)*1.1,"High risk",Table1[[#This Row],[Total usage(Min)]]&lt;= AVERAGE(U:U)*0.9,"Low risk",TRUE,"Medium risk"),"N/A")</f>
        <v>Medium risk</v>
      </c>
      <c r="Z373" t="str" cm="1">
        <f t="array" ref="Z373">IFERROR(_xlfn.IFS(Table1[[#This Row],[Total charges]]&gt;=AVERAGE(V:V)*1.1,"High risk",Table1[[#This Row],[Total charges]]&lt;=AVERAGE(V:V)*0.9,"Low risk",TRUE,"Medium risk"),"N/A")</f>
        <v>Medium risk</v>
      </c>
      <c r="AA3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73" t="str" cm="1">
        <f t="array" ref="AC373">_xlfn.IFS(
AND(Table1[[#This Row],[Customer service risk level]]="High risk", Table1[[#This Row],[Intl usage behaviour]]="Unplanned Usage"),"High Risk",
OR(Table1[[#This Row],[Customer service risk level]]="Medium risk", Table1[[#This Row],[Charges risk level]]="High risk "),"Medium Risk",
TRUE,"Low Risk"
)</f>
        <v>Low Risk</v>
      </c>
    </row>
    <row r="374" spans="1:29" x14ac:dyDescent="0.25">
      <c r="A374" t="s">
        <v>69</v>
      </c>
      <c r="B374">
        <v>116</v>
      </c>
      <c r="C374">
        <v>510</v>
      </c>
      <c r="D374" t="s">
        <v>21</v>
      </c>
      <c r="E374" t="s">
        <v>21</v>
      </c>
      <c r="F374">
        <v>0</v>
      </c>
      <c r="G374">
        <v>160.69999999999999</v>
      </c>
      <c r="H374">
        <v>69</v>
      </c>
      <c r="I374">
        <v>27.32</v>
      </c>
      <c r="J374">
        <v>146.80000000000001</v>
      </c>
      <c r="K374">
        <v>106</v>
      </c>
      <c r="L374">
        <v>12.48</v>
      </c>
      <c r="M374">
        <v>287.8</v>
      </c>
      <c r="N374">
        <v>144</v>
      </c>
      <c r="O374">
        <v>12.95</v>
      </c>
      <c r="P374">
        <v>8.1999999999999993</v>
      </c>
      <c r="Q374">
        <v>5</v>
      </c>
      <c r="R374">
        <v>2.21</v>
      </c>
      <c r="S374">
        <v>0</v>
      </c>
      <c r="T374" t="b">
        <v>0</v>
      </c>
      <c r="U374">
        <f>IFERROR(SUM(Table1[[#This Row],[Total day minutes]],Table1[[#This Row],[Total eve minutes]],Table1[[#This Row],[Total night minutes]],Table1[[#This Row],[Total intl minutes]]),0)</f>
        <v>603.5</v>
      </c>
      <c r="V374">
        <f>SUM(Table1[[#This Row],[Total intl charge]],Table1[[#This Row],[Total night charge]],Table1[[#This Row],[Total eve charge]],Table1[[#This Row],[Total day charge]])</f>
        <v>54.96</v>
      </c>
      <c r="W374">
        <f>SUM(Table1[[#This Row],[Total intl calls]],Table1[[#This Row],[Total night calls]],Table1[[#This Row],[Total eve calls]],Table1[[#This Row],[Total day calls]])</f>
        <v>324</v>
      </c>
      <c r="X374" t="str" cm="1">
        <f t="array" ref="X374">_xlfn.IFS(Table1[[#This Row],[Customer service calls]]&gt;=4,"High risk",Table1[[#This Row],[Customer service calls]]&gt;=2,"Medium risk",TRUE,"Low risk")</f>
        <v>Low risk</v>
      </c>
      <c r="Y374" t="str" cm="1">
        <f t="array" ref="Y374">IFERROR(_xlfn.IFS(Table1[[#This Row],[Total usage(Min)]]&gt;=AVERAGE(U:U)*1.1,"High risk",Table1[[#This Row],[Total usage(Min)]]&lt;= AVERAGE(U:U)*0.9,"Low risk",TRUE,"Medium risk"),"N/A")</f>
        <v>Medium risk</v>
      </c>
      <c r="Z374" t="str" cm="1">
        <f t="array" ref="Z374">IFERROR(_xlfn.IFS(Table1[[#This Row],[Total charges]]&gt;=AVERAGE(V:V)*1.1,"High risk",Table1[[#This Row],[Total charges]]&lt;=AVERAGE(V:V)*0.9,"Low risk",TRUE,"Medium risk"),"N/A")</f>
        <v>Medium risk</v>
      </c>
      <c r="AA3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4" t="str" cm="1">
        <f t="array" ref="AC374">_xlfn.IFS(
AND(Table1[[#This Row],[Customer service risk level]]="High risk", Table1[[#This Row],[Intl usage behaviour]]="Unplanned Usage"),"High Risk",
OR(Table1[[#This Row],[Customer service risk level]]="Medium risk", Table1[[#This Row],[Charges risk level]]="High risk "),"Medium Risk",
TRUE,"Low Risk"
)</f>
        <v>Low Risk</v>
      </c>
    </row>
    <row r="375" spans="1:29" x14ac:dyDescent="0.25">
      <c r="A375" t="s">
        <v>72</v>
      </c>
      <c r="B375">
        <v>133</v>
      </c>
      <c r="C375">
        <v>510</v>
      </c>
      <c r="D375" t="s">
        <v>21</v>
      </c>
      <c r="E375" t="s">
        <v>21</v>
      </c>
      <c r="F375">
        <v>0</v>
      </c>
      <c r="G375">
        <v>227.4</v>
      </c>
      <c r="H375">
        <v>90</v>
      </c>
      <c r="I375">
        <v>38.659999999999997</v>
      </c>
      <c r="J375">
        <v>73.2</v>
      </c>
      <c r="K375">
        <v>135</v>
      </c>
      <c r="L375">
        <v>6.22</v>
      </c>
      <c r="M375">
        <v>114.3</v>
      </c>
      <c r="N375">
        <v>99</v>
      </c>
      <c r="O375">
        <v>5.14</v>
      </c>
      <c r="P375">
        <v>4.7</v>
      </c>
      <c r="Q375">
        <v>7</v>
      </c>
      <c r="R375">
        <v>1.27</v>
      </c>
      <c r="S375">
        <v>0</v>
      </c>
      <c r="T375" t="b">
        <v>0</v>
      </c>
      <c r="U375">
        <f>IFERROR(SUM(Table1[[#This Row],[Total day minutes]],Table1[[#This Row],[Total eve minutes]],Table1[[#This Row],[Total night minutes]],Table1[[#This Row],[Total intl minutes]]),0)</f>
        <v>419.6</v>
      </c>
      <c r="V375">
        <f>SUM(Table1[[#This Row],[Total intl charge]],Table1[[#This Row],[Total night charge]],Table1[[#This Row],[Total eve charge]],Table1[[#This Row],[Total day charge]])</f>
        <v>51.289999999999992</v>
      </c>
      <c r="W375">
        <f>SUM(Table1[[#This Row],[Total intl calls]],Table1[[#This Row],[Total night calls]],Table1[[#This Row],[Total eve calls]],Table1[[#This Row],[Total day calls]])</f>
        <v>331</v>
      </c>
      <c r="X375" t="str" cm="1">
        <f t="array" ref="X375">_xlfn.IFS(Table1[[#This Row],[Customer service calls]]&gt;=4,"High risk",Table1[[#This Row],[Customer service calls]]&gt;=2,"Medium risk",TRUE,"Low risk")</f>
        <v>Low risk</v>
      </c>
      <c r="Y375" t="str" cm="1">
        <f t="array" ref="Y375">IFERROR(_xlfn.IFS(Table1[[#This Row],[Total usage(Min)]]&gt;=AVERAGE(U:U)*1.1,"High risk",Table1[[#This Row],[Total usage(Min)]]&lt;= AVERAGE(U:U)*0.9,"Low risk",TRUE,"Medium risk"),"N/A")</f>
        <v>Low risk</v>
      </c>
      <c r="Z375" t="str" cm="1">
        <f t="array" ref="Z375">IFERROR(_xlfn.IFS(Table1[[#This Row],[Total charges]]&gt;=AVERAGE(V:V)*1.1,"High risk",Table1[[#This Row],[Total charges]]&lt;=AVERAGE(V:V)*0.9,"Low risk",TRUE,"Medium risk"),"N/A")</f>
        <v>Low risk</v>
      </c>
      <c r="AA3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5" t="str" cm="1">
        <f t="array" ref="AC375">_xlfn.IFS(
AND(Table1[[#This Row],[Customer service risk level]]="High risk", Table1[[#This Row],[Intl usage behaviour]]="Unplanned Usage"),"High Risk",
OR(Table1[[#This Row],[Customer service risk level]]="Medium risk", Table1[[#This Row],[Charges risk level]]="High risk "),"Medium Risk",
TRUE,"Low Risk"
)</f>
        <v>Low Risk</v>
      </c>
    </row>
    <row r="376" spans="1:29" x14ac:dyDescent="0.25">
      <c r="A376" t="s">
        <v>36</v>
      </c>
      <c r="B376">
        <v>125</v>
      </c>
      <c r="C376">
        <v>408</v>
      </c>
      <c r="D376" t="s">
        <v>21</v>
      </c>
      <c r="E376" t="s">
        <v>21</v>
      </c>
      <c r="F376">
        <v>0</v>
      </c>
      <c r="G376">
        <v>191.6</v>
      </c>
      <c r="H376">
        <v>115</v>
      </c>
      <c r="I376">
        <v>32.57</v>
      </c>
      <c r="J376">
        <v>205.6</v>
      </c>
      <c r="K376">
        <v>108</v>
      </c>
      <c r="L376">
        <v>17.48</v>
      </c>
      <c r="M376">
        <v>210.2</v>
      </c>
      <c r="N376">
        <v>123</v>
      </c>
      <c r="O376">
        <v>9.4600000000000009</v>
      </c>
      <c r="P376">
        <v>9.1999999999999993</v>
      </c>
      <c r="Q376">
        <v>3</v>
      </c>
      <c r="R376">
        <v>2.48</v>
      </c>
      <c r="S376">
        <v>2</v>
      </c>
      <c r="T376" t="b">
        <v>0</v>
      </c>
      <c r="U376">
        <f>IFERROR(SUM(Table1[[#This Row],[Total day minutes]],Table1[[#This Row],[Total eve minutes]],Table1[[#This Row],[Total night minutes]],Table1[[#This Row],[Total intl minutes]]),0)</f>
        <v>616.6</v>
      </c>
      <c r="V376">
        <f>SUM(Table1[[#This Row],[Total intl charge]],Table1[[#This Row],[Total night charge]],Table1[[#This Row],[Total eve charge]],Table1[[#This Row],[Total day charge]])</f>
        <v>61.99</v>
      </c>
      <c r="W376">
        <f>SUM(Table1[[#This Row],[Total intl calls]],Table1[[#This Row],[Total night calls]],Table1[[#This Row],[Total eve calls]],Table1[[#This Row],[Total day calls]])</f>
        <v>349</v>
      </c>
      <c r="X376" t="str" cm="1">
        <f t="array" ref="X376">_xlfn.IFS(Table1[[#This Row],[Customer service calls]]&gt;=4,"High risk",Table1[[#This Row],[Customer service calls]]&gt;=2,"Medium risk",TRUE,"Low risk")</f>
        <v>Medium risk</v>
      </c>
      <c r="Y376" t="str" cm="1">
        <f t="array" ref="Y376">IFERROR(_xlfn.IFS(Table1[[#This Row],[Total usage(Min)]]&gt;=AVERAGE(U:U)*1.1,"High risk",Table1[[#This Row],[Total usage(Min)]]&lt;= AVERAGE(U:U)*0.9,"Low risk",TRUE,"Medium risk"),"N/A")</f>
        <v>Medium risk</v>
      </c>
      <c r="Z376" t="str" cm="1">
        <f t="array" ref="Z376">IFERROR(_xlfn.IFS(Table1[[#This Row],[Total charges]]&gt;=AVERAGE(V:V)*1.1,"High risk",Table1[[#This Row],[Total charges]]&lt;=AVERAGE(V:V)*0.9,"Low risk",TRUE,"Medium risk"),"N/A")</f>
        <v>Medium risk</v>
      </c>
      <c r="AA3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6" t="str" cm="1">
        <f t="array" ref="AC376">_xlfn.IFS(
AND(Table1[[#This Row],[Customer service risk level]]="High risk", Table1[[#This Row],[Intl usage behaviour]]="Unplanned Usage"),"High Risk",
OR(Table1[[#This Row],[Customer service risk level]]="Medium risk", Table1[[#This Row],[Charges risk level]]="High risk "),"Medium Risk",
TRUE,"Low Risk"
)</f>
        <v>Medium Risk</v>
      </c>
    </row>
    <row r="377" spans="1:29" x14ac:dyDescent="0.25">
      <c r="A377" t="s">
        <v>41</v>
      </c>
      <c r="B377">
        <v>21</v>
      </c>
      <c r="C377">
        <v>510</v>
      </c>
      <c r="D377" t="s">
        <v>21</v>
      </c>
      <c r="E377" t="s">
        <v>21</v>
      </c>
      <c r="F377">
        <v>0</v>
      </c>
      <c r="G377">
        <v>225</v>
      </c>
      <c r="H377">
        <v>110</v>
      </c>
      <c r="I377">
        <v>38.25</v>
      </c>
      <c r="J377">
        <v>244.2</v>
      </c>
      <c r="K377">
        <v>111</v>
      </c>
      <c r="L377">
        <v>20.76</v>
      </c>
      <c r="M377">
        <v>221.2</v>
      </c>
      <c r="N377">
        <v>93</v>
      </c>
      <c r="O377">
        <v>9.9499999999999993</v>
      </c>
      <c r="P377">
        <v>10.7</v>
      </c>
      <c r="Q377">
        <v>4</v>
      </c>
      <c r="R377">
        <v>2.89</v>
      </c>
      <c r="S377">
        <v>0</v>
      </c>
      <c r="T377" t="b">
        <v>0</v>
      </c>
      <c r="U377">
        <f>IFERROR(SUM(Table1[[#This Row],[Total day minutes]],Table1[[#This Row],[Total eve minutes]],Table1[[#This Row],[Total night minutes]],Table1[[#This Row],[Total intl minutes]]),0)</f>
        <v>701.1</v>
      </c>
      <c r="V377">
        <f>SUM(Table1[[#This Row],[Total intl charge]],Table1[[#This Row],[Total night charge]],Table1[[#This Row],[Total eve charge]],Table1[[#This Row],[Total day charge]])</f>
        <v>71.849999999999994</v>
      </c>
      <c r="W377">
        <f>SUM(Table1[[#This Row],[Total intl calls]],Table1[[#This Row],[Total night calls]],Table1[[#This Row],[Total eve calls]],Table1[[#This Row],[Total day calls]])</f>
        <v>318</v>
      </c>
      <c r="X377" t="str" cm="1">
        <f t="array" ref="X377">_xlfn.IFS(Table1[[#This Row],[Customer service calls]]&gt;=4,"High risk",Table1[[#This Row],[Customer service calls]]&gt;=2,"Medium risk",TRUE,"Low risk")</f>
        <v>Low risk</v>
      </c>
      <c r="Y377" t="str" cm="1">
        <f t="array" ref="Y377">IFERROR(_xlfn.IFS(Table1[[#This Row],[Total usage(Min)]]&gt;=AVERAGE(U:U)*1.1,"High risk",Table1[[#This Row],[Total usage(Min)]]&lt;= AVERAGE(U:U)*0.9,"Low risk",TRUE,"Medium risk"),"N/A")</f>
        <v>High risk</v>
      </c>
      <c r="Z377" t="str" cm="1">
        <f t="array" ref="Z377">IFERROR(_xlfn.IFS(Table1[[#This Row],[Total charges]]&gt;=AVERAGE(V:V)*1.1,"High risk",Table1[[#This Row],[Total charges]]&lt;=AVERAGE(V:V)*0.9,"Low risk",TRUE,"Medium risk"),"N/A")</f>
        <v>High risk</v>
      </c>
      <c r="AA3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7" t="str" cm="1">
        <f t="array" ref="AC377">_xlfn.IFS(
AND(Table1[[#This Row],[Customer service risk level]]="High risk", Table1[[#This Row],[Intl usage behaviour]]="Unplanned Usage"),"High Risk",
OR(Table1[[#This Row],[Customer service risk level]]="Medium risk", Table1[[#This Row],[Charges risk level]]="High risk "),"Medium Risk",
TRUE,"Low Risk"
)</f>
        <v>Low Risk</v>
      </c>
    </row>
    <row r="378" spans="1:29" x14ac:dyDescent="0.25">
      <c r="A378" t="s">
        <v>68</v>
      </c>
      <c r="B378">
        <v>110</v>
      </c>
      <c r="C378">
        <v>408</v>
      </c>
      <c r="D378" t="s">
        <v>21</v>
      </c>
      <c r="E378" t="s">
        <v>21</v>
      </c>
      <c r="F378">
        <v>0</v>
      </c>
      <c r="G378">
        <v>196.1</v>
      </c>
      <c r="H378">
        <v>103</v>
      </c>
      <c r="I378">
        <v>33.340000000000003</v>
      </c>
      <c r="J378">
        <v>199.7</v>
      </c>
      <c r="K378">
        <v>123</v>
      </c>
      <c r="L378">
        <v>16.97</v>
      </c>
      <c r="M378">
        <v>135.9</v>
      </c>
      <c r="N378">
        <v>71</v>
      </c>
      <c r="O378">
        <v>6.12</v>
      </c>
      <c r="P378">
        <v>12.9</v>
      </c>
      <c r="Q378">
        <v>1</v>
      </c>
      <c r="R378">
        <v>3.48</v>
      </c>
      <c r="S378">
        <v>3</v>
      </c>
      <c r="T378" t="b">
        <v>0</v>
      </c>
      <c r="U378">
        <f>IFERROR(SUM(Table1[[#This Row],[Total day minutes]],Table1[[#This Row],[Total eve minutes]],Table1[[#This Row],[Total night minutes]],Table1[[#This Row],[Total intl minutes]]),0)</f>
        <v>544.59999999999991</v>
      </c>
      <c r="V378">
        <f>SUM(Table1[[#This Row],[Total intl charge]],Table1[[#This Row],[Total night charge]],Table1[[#This Row],[Total eve charge]],Table1[[#This Row],[Total day charge]])</f>
        <v>59.910000000000004</v>
      </c>
      <c r="W378">
        <f>SUM(Table1[[#This Row],[Total intl calls]],Table1[[#This Row],[Total night calls]],Table1[[#This Row],[Total eve calls]],Table1[[#This Row],[Total day calls]])</f>
        <v>298</v>
      </c>
      <c r="X378" t="str" cm="1">
        <f t="array" ref="X378">_xlfn.IFS(Table1[[#This Row],[Customer service calls]]&gt;=4,"High risk",Table1[[#This Row],[Customer service calls]]&gt;=2,"Medium risk",TRUE,"Low risk")</f>
        <v>Medium risk</v>
      </c>
      <c r="Y378" t="str" cm="1">
        <f t="array" ref="Y378">IFERROR(_xlfn.IFS(Table1[[#This Row],[Total usage(Min)]]&gt;=AVERAGE(U:U)*1.1,"High risk",Table1[[#This Row],[Total usage(Min)]]&lt;= AVERAGE(U:U)*0.9,"Low risk",TRUE,"Medium risk"),"N/A")</f>
        <v>Medium risk</v>
      </c>
      <c r="Z378" t="str" cm="1">
        <f t="array" ref="Z378">IFERROR(_xlfn.IFS(Table1[[#This Row],[Total charges]]&gt;=AVERAGE(V:V)*1.1,"High risk",Table1[[#This Row],[Total charges]]&lt;=AVERAGE(V:V)*0.9,"Low risk",TRUE,"Medium risk"),"N/A")</f>
        <v>Medium risk</v>
      </c>
      <c r="AA3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8" t="str" cm="1">
        <f t="array" ref="AC378">_xlfn.IFS(
AND(Table1[[#This Row],[Customer service risk level]]="High risk", Table1[[#This Row],[Intl usage behaviour]]="Unplanned Usage"),"High Risk",
OR(Table1[[#This Row],[Customer service risk level]]="Medium risk", Table1[[#This Row],[Charges risk level]]="High risk "),"Medium Risk",
TRUE,"Low Risk"
)</f>
        <v>Medium Risk</v>
      </c>
    </row>
    <row r="379" spans="1:29" x14ac:dyDescent="0.25">
      <c r="A379" t="s">
        <v>45</v>
      </c>
      <c r="B379">
        <v>83</v>
      </c>
      <c r="C379">
        <v>415</v>
      </c>
      <c r="D379" t="s">
        <v>21</v>
      </c>
      <c r="E379" t="s">
        <v>21</v>
      </c>
      <c r="F379">
        <v>0</v>
      </c>
      <c r="G379">
        <v>231.3</v>
      </c>
      <c r="H379">
        <v>100</v>
      </c>
      <c r="I379">
        <v>39.32</v>
      </c>
      <c r="J379">
        <v>210.4</v>
      </c>
      <c r="K379">
        <v>84</v>
      </c>
      <c r="L379">
        <v>17.88</v>
      </c>
      <c r="M379">
        <v>217.4</v>
      </c>
      <c r="N379">
        <v>106</v>
      </c>
      <c r="O379">
        <v>9.7799999999999994</v>
      </c>
      <c r="P379">
        <v>12.4</v>
      </c>
      <c r="Q379">
        <v>2</v>
      </c>
      <c r="R379">
        <v>3.35</v>
      </c>
      <c r="S379">
        <v>3</v>
      </c>
      <c r="T379" t="b">
        <v>0</v>
      </c>
      <c r="U379">
        <f>IFERROR(SUM(Table1[[#This Row],[Total day minutes]],Table1[[#This Row],[Total eve minutes]],Table1[[#This Row],[Total night minutes]],Table1[[#This Row],[Total intl minutes]]),0)</f>
        <v>671.5</v>
      </c>
      <c r="V379">
        <f>SUM(Table1[[#This Row],[Total intl charge]],Table1[[#This Row],[Total night charge]],Table1[[#This Row],[Total eve charge]],Table1[[#This Row],[Total day charge]])</f>
        <v>70.33</v>
      </c>
      <c r="W379">
        <f>SUM(Table1[[#This Row],[Total intl calls]],Table1[[#This Row],[Total night calls]],Table1[[#This Row],[Total eve calls]],Table1[[#This Row],[Total day calls]])</f>
        <v>292</v>
      </c>
      <c r="X379" t="str" cm="1">
        <f t="array" ref="X379">_xlfn.IFS(Table1[[#This Row],[Customer service calls]]&gt;=4,"High risk",Table1[[#This Row],[Customer service calls]]&gt;=2,"Medium risk",TRUE,"Low risk")</f>
        <v>Medium risk</v>
      </c>
      <c r="Y379" t="str" cm="1">
        <f t="array" ref="Y379">IFERROR(_xlfn.IFS(Table1[[#This Row],[Total usage(Min)]]&gt;=AVERAGE(U:U)*1.1,"High risk",Table1[[#This Row],[Total usage(Min)]]&lt;= AVERAGE(U:U)*0.9,"Low risk",TRUE,"Medium risk"),"N/A")</f>
        <v>High risk</v>
      </c>
      <c r="Z379" t="str" cm="1">
        <f t="array" ref="Z379">IFERROR(_xlfn.IFS(Table1[[#This Row],[Total charges]]&gt;=AVERAGE(V:V)*1.1,"High risk",Table1[[#This Row],[Total charges]]&lt;=AVERAGE(V:V)*0.9,"Low risk",TRUE,"Medium risk"),"N/A")</f>
        <v>High risk</v>
      </c>
      <c r="AA3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7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79" t="str" cm="1">
        <f t="array" ref="AC379">_xlfn.IFS(
AND(Table1[[#This Row],[Customer service risk level]]="High risk", Table1[[#This Row],[Intl usage behaviour]]="Unplanned Usage"),"High Risk",
OR(Table1[[#This Row],[Customer service risk level]]="Medium risk", Table1[[#This Row],[Charges risk level]]="High risk "),"Medium Risk",
TRUE,"Low Risk"
)</f>
        <v>Medium Risk</v>
      </c>
    </row>
    <row r="380" spans="1:29" x14ac:dyDescent="0.25">
      <c r="A380" t="s">
        <v>22</v>
      </c>
      <c r="B380">
        <v>101</v>
      </c>
      <c r="C380">
        <v>415</v>
      </c>
      <c r="D380" t="s">
        <v>21</v>
      </c>
      <c r="E380" t="s">
        <v>27</v>
      </c>
      <c r="F380">
        <v>42</v>
      </c>
      <c r="G380">
        <v>209.2</v>
      </c>
      <c r="H380">
        <v>82</v>
      </c>
      <c r="I380">
        <v>35.56</v>
      </c>
      <c r="J380">
        <v>159.69999999999999</v>
      </c>
      <c r="K380">
        <v>74</v>
      </c>
      <c r="L380">
        <v>13.57</v>
      </c>
      <c r="M380">
        <v>181.6</v>
      </c>
      <c r="N380">
        <v>100</v>
      </c>
      <c r="O380">
        <v>8.17</v>
      </c>
      <c r="P380">
        <v>9.5</v>
      </c>
      <c r="Q380">
        <v>3</v>
      </c>
      <c r="R380">
        <v>2.57</v>
      </c>
      <c r="S380">
        <v>0</v>
      </c>
      <c r="T380" t="b">
        <v>0</v>
      </c>
      <c r="U380">
        <f>IFERROR(SUM(Table1[[#This Row],[Total day minutes]],Table1[[#This Row],[Total eve minutes]],Table1[[#This Row],[Total night minutes]],Table1[[#This Row],[Total intl minutes]]),0)</f>
        <v>560</v>
      </c>
      <c r="V380">
        <f>SUM(Table1[[#This Row],[Total intl charge]],Table1[[#This Row],[Total night charge]],Table1[[#This Row],[Total eve charge]],Table1[[#This Row],[Total day charge]])</f>
        <v>59.870000000000005</v>
      </c>
      <c r="W380">
        <f>SUM(Table1[[#This Row],[Total intl calls]],Table1[[#This Row],[Total night calls]],Table1[[#This Row],[Total eve calls]],Table1[[#This Row],[Total day calls]])</f>
        <v>259</v>
      </c>
      <c r="X380" t="str" cm="1">
        <f t="array" ref="X380">_xlfn.IFS(Table1[[#This Row],[Customer service calls]]&gt;=4,"High risk",Table1[[#This Row],[Customer service calls]]&gt;=2,"Medium risk",TRUE,"Low risk")</f>
        <v>Low risk</v>
      </c>
      <c r="Y380" t="str" cm="1">
        <f t="array" ref="Y380">IFERROR(_xlfn.IFS(Table1[[#This Row],[Total usage(Min)]]&gt;=AVERAGE(U:U)*1.1,"High risk",Table1[[#This Row],[Total usage(Min)]]&lt;= AVERAGE(U:U)*0.9,"Low risk",TRUE,"Medium risk"),"N/A")</f>
        <v>Medium risk</v>
      </c>
      <c r="Z380" t="str" cm="1">
        <f t="array" ref="Z380">IFERROR(_xlfn.IFS(Table1[[#This Row],[Total charges]]&gt;=AVERAGE(V:V)*1.1,"High risk",Table1[[#This Row],[Total charges]]&lt;=AVERAGE(V:V)*0.9,"Low risk",TRUE,"Medium risk"),"N/A")</f>
        <v>Medium risk</v>
      </c>
      <c r="AA3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0" t="str" cm="1">
        <f t="array" ref="AC380">_xlfn.IFS(
AND(Table1[[#This Row],[Customer service risk level]]="High risk", Table1[[#This Row],[Intl usage behaviour]]="Unplanned Usage"),"High Risk",
OR(Table1[[#This Row],[Customer service risk level]]="Medium risk", Table1[[#This Row],[Charges risk level]]="High risk "),"Medium Risk",
TRUE,"Low Risk"
)</f>
        <v>Low Risk</v>
      </c>
    </row>
    <row r="381" spans="1:29" x14ac:dyDescent="0.25">
      <c r="A381" t="s">
        <v>47</v>
      </c>
      <c r="B381">
        <v>117</v>
      </c>
      <c r="C381">
        <v>415</v>
      </c>
      <c r="D381" t="s">
        <v>21</v>
      </c>
      <c r="E381" t="s">
        <v>27</v>
      </c>
      <c r="F381">
        <v>17</v>
      </c>
      <c r="G381">
        <v>221.3</v>
      </c>
      <c r="H381">
        <v>82</v>
      </c>
      <c r="I381">
        <v>37.619999999999997</v>
      </c>
      <c r="J381">
        <v>167.6</v>
      </c>
      <c r="K381">
        <v>100</v>
      </c>
      <c r="L381">
        <v>14.25</v>
      </c>
      <c r="M381">
        <v>262.7</v>
      </c>
      <c r="N381">
        <v>87</v>
      </c>
      <c r="O381">
        <v>11.82</v>
      </c>
      <c r="P381">
        <v>4.4000000000000004</v>
      </c>
      <c r="Q381">
        <v>4</v>
      </c>
      <c r="R381">
        <v>1.19</v>
      </c>
      <c r="S381">
        <v>0</v>
      </c>
      <c r="T381" t="b">
        <v>0</v>
      </c>
      <c r="U381">
        <f>IFERROR(SUM(Table1[[#This Row],[Total day minutes]],Table1[[#This Row],[Total eve minutes]],Table1[[#This Row],[Total night minutes]],Table1[[#This Row],[Total intl minutes]]),0)</f>
        <v>655.99999999999989</v>
      </c>
      <c r="V381">
        <f>SUM(Table1[[#This Row],[Total intl charge]],Table1[[#This Row],[Total night charge]],Table1[[#This Row],[Total eve charge]],Table1[[#This Row],[Total day charge]])</f>
        <v>64.88</v>
      </c>
      <c r="W381">
        <f>SUM(Table1[[#This Row],[Total intl calls]],Table1[[#This Row],[Total night calls]],Table1[[#This Row],[Total eve calls]],Table1[[#This Row],[Total day calls]])</f>
        <v>273</v>
      </c>
      <c r="X381" t="str" cm="1">
        <f t="array" ref="X381">_xlfn.IFS(Table1[[#This Row],[Customer service calls]]&gt;=4,"High risk",Table1[[#This Row],[Customer service calls]]&gt;=2,"Medium risk",TRUE,"Low risk")</f>
        <v>Low risk</v>
      </c>
      <c r="Y381" t="str" cm="1">
        <f t="array" ref="Y381">IFERROR(_xlfn.IFS(Table1[[#This Row],[Total usage(Min)]]&gt;=AVERAGE(U:U)*1.1,"High risk",Table1[[#This Row],[Total usage(Min)]]&lt;= AVERAGE(U:U)*0.9,"Low risk",TRUE,"Medium risk"),"N/A")</f>
        <v>High risk</v>
      </c>
      <c r="Z381" t="str" cm="1">
        <f t="array" ref="Z381">IFERROR(_xlfn.IFS(Table1[[#This Row],[Total charges]]&gt;=AVERAGE(V:V)*1.1,"High risk",Table1[[#This Row],[Total charges]]&lt;=AVERAGE(V:V)*0.9,"Low risk",TRUE,"Medium risk"),"N/A")</f>
        <v>Medium risk</v>
      </c>
      <c r="AA3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1" t="str" cm="1">
        <f t="array" ref="AC381">_xlfn.IFS(
AND(Table1[[#This Row],[Customer service risk level]]="High risk", Table1[[#This Row],[Intl usage behaviour]]="Unplanned Usage"),"High Risk",
OR(Table1[[#This Row],[Customer service risk level]]="Medium risk", Table1[[#This Row],[Charges risk level]]="High risk "),"Medium Risk",
TRUE,"Low Risk"
)</f>
        <v>Low Risk</v>
      </c>
    </row>
    <row r="382" spans="1:29" x14ac:dyDescent="0.25">
      <c r="A382" t="s">
        <v>42</v>
      </c>
      <c r="B382">
        <v>127</v>
      </c>
      <c r="C382">
        <v>408</v>
      </c>
      <c r="D382" t="s">
        <v>21</v>
      </c>
      <c r="E382" t="s">
        <v>21</v>
      </c>
      <c r="F382">
        <v>0</v>
      </c>
      <c r="G382">
        <v>139.6</v>
      </c>
      <c r="H382">
        <v>94</v>
      </c>
      <c r="I382">
        <v>23.73</v>
      </c>
      <c r="J382">
        <v>240.9</v>
      </c>
      <c r="K382">
        <v>112</v>
      </c>
      <c r="L382">
        <v>20.48</v>
      </c>
      <c r="M382">
        <v>127.1</v>
      </c>
      <c r="N382">
        <v>88</v>
      </c>
      <c r="O382">
        <v>5.72</v>
      </c>
      <c r="P382">
        <v>8.8000000000000007</v>
      </c>
      <c r="Q382">
        <v>4</v>
      </c>
      <c r="R382">
        <v>2.38</v>
      </c>
      <c r="S382">
        <v>2</v>
      </c>
      <c r="T382" t="b">
        <v>0</v>
      </c>
      <c r="U382">
        <f>IFERROR(SUM(Table1[[#This Row],[Total day minutes]],Table1[[#This Row],[Total eve minutes]],Table1[[#This Row],[Total night minutes]],Table1[[#This Row],[Total intl minutes]]),0)</f>
        <v>516.4</v>
      </c>
      <c r="V382">
        <f>SUM(Table1[[#This Row],[Total intl charge]],Table1[[#This Row],[Total night charge]],Table1[[#This Row],[Total eve charge]],Table1[[#This Row],[Total day charge]])</f>
        <v>52.31</v>
      </c>
      <c r="W382">
        <f>SUM(Table1[[#This Row],[Total intl calls]],Table1[[#This Row],[Total night calls]],Table1[[#This Row],[Total eve calls]],Table1[[#This Row],[Total day calls]])</f>
        <v>298</v>
      </c>
      <c r="X382" t="str" cm="1">
        <f t="array" ref="X382">_xlfn.IFS(Table1[[#This Row],[Customer service calls]]&gt;=4,"High risk",Table1[[#This Row],[Customer service calls]]&gt;=2,"Medium risk",TRUE,"Low risk")</f>
        <v>Medium risk</v>
      </c>
      <c r="Y382" t="str" cm="1">
        <f t="array" ref="Y382">IFERROR(_xlfn.IFS(Table1[[#This Row],[Total usage(Min)]]&gt;=AVERAGE(U:U)*1.1,"High risk",Table1[[#This Row],[Total usage(Min)]]&lt;= AVERAGE(U:U)*0.9,"Low risk",TRUE,"Medium risk"),"N/A")</f>
        <v>Low risk</v>
      </c>
      <c r="Z382" t="str" cm="1">
        <f t="array" ref="Z382">IFERROR(_xlfn.IFS(Table1[[#This Row],[Total charges]]&gt;=AVERAGE(V:V)*1.1,"High risk",Table1[[#This Row],[Total charges]]&lt;=AVERAGE(V:V)*0.9,"Low risk",TRUE,"Medium risk"),"N/A")</f>
        <v>Low risk</v>
      </c>
      <c r="AA3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82" t="str" cm="1">
        <f t="array" ref="AC382">_xlfn.IFS(
AND(Table1[[#This Row],[Customer service risk level]]="High risk", Table1[[#This Row],[Intl usage behaviour]]="Unplanned Usage"),"High Risk",
OR(Table1[[#This Row],[Customer service risk level]]="Medium risk", Table1[[#This Row],[Charges risk level]]="High risk "),"Medium Risk",
TRUE,"Low Risk"
)</f>
        <v>Medium Risk</v>
      </c>
    </row>
    <row r="383" spans="1:29" x14ac:dyDescent="0.25">
      <c r="A383" t="s">
        <v>52</v>
      </c>
      <c r="B383">
        <v>138</v>
      </c>
      <c r="C383">
        <v>510</v>
      </c>
      <c r="D383" t="s">
        <v>21</v>
      </c>
      <c r="E383" t="s">
        <v>27</v>
      </c>
      <c r="F383">
        <v>26</v>
      </c>
      <c r="G383">
        <v>183.9</v>
      </c>
      <c r="H383">
        <v>83</v>
      </c>
      <c r="I383">
        <v>31.26</v>
      </c>
      <c r="J383">
        <v>240.7</v>
      </c>
      <c r="K383">
        <v>93</v>
      </c>
      <c r="L383">
        <v>20.46</v>
      </c>
      <c r="M383">
        <v>185.7</v>
      </c>
      <c r="N383">
        <v>125</v>
      </c>
      <c r="O383">
        <v>8.36</v>
      </c>
      <c r="P383">
        <v>15</v>
      </c>
      <c r="Q383">
        <v>3</v>
      </c>
      <c r="R383">
        <v>4.05</v>
      </c>
      <c r="S383">
        <v>1</v>
      </c>
      <c r="T383" t="b">
        <v>0</v>
      </c>
      <c r="U383">
        <f>IFERROR(SUM(Table1[[#This Row],[Total day minutes]],Table1[[#This Row],[Total eve minutes]],Table1[[#This Row],[Total night minutes]],Table1[[#This Row],[Total intl minutes]]),0)</f>
        <v>625.29999999999995</v>
      </c>
      <c r="V383">
        <f>SUM(Table1[[#This Row],[Total intl charge]],Table1[[#This Row],[Total night charge]],Table1[[#This Row],[Total eve charge]],Table1[[#This Row],[Total day charge]])</f>
        <v>64.13000000000001</v>
      </c>
      <c r="W383">
        <f>SUM(Table1[[#This Row],[Total intl calls]],Table1[[#This Row],[Total night calls]],Table1[[#This Row],[Total eve calls]],Table1[[#This Row],[Total day calls]])</f>
        <v>304</v>
      </c>
      <c r="X383" t="str" cm="1">
        <f t="array" ref="X383">_xlfn.IFS(Table1[[#This Row],[Customer service calls]]&gt;=4,"High risk",Table1[[#This Row],[Customer service calls]]&gt;=2,"Medium risk",TRUE,"Low risk")</f>
        <v>Low risk</v>
      </c>
      <c r="Y383" t="str" cm="1">
        <f t="array" ref="Y383">IFERROR(_xlfn.IFS(Table1[[#This Row],[Total usage(Min)]]&gt;=AVERAGE(U:U)*1.1,"High risk",Table1[[#This Row],[Total usage(Min)]]&lt;= AVERAGE(U:U)*0.9,"Low risk",TRUE,"Medium risk"),"N/A")</f>
        <v>Medium risk</v>
      </c>
      <c r="Z383" t="str" cm="1">
        <f t="array" ref="Z383">IFERROR(_xlfn.IFS(Table1[[#This Row],[Total charges]]&gt;=AVERAGE(V:V)*1.1,"High risk",Table1[[#This Row],[Total charges]]&lt;=AVERAGE(V:V)*0.9,"Low risk",TRUE,"Medium risk"),"N/A")</f>
        <v>Medium risk</v>
      </c>
      <c r="AA3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3" t="str" cm="1">
        <f t="array" ref="AC383">_xlfn.IFS(
AND(Table1[[#This Row],[Customer service risk level]]="High risk", Table1[[#This Row],[Intl usage behaviour]]="Unplanned Usage"),"High Risk",
OR(Table1[[#This Row],[Customer service risk level]]="Medium risk", Table1[[#This Row],[Charges risk level]]="High risk "),"Medium Risk",
TRUE,"Low Risk"
)</f>
        <v>Low Risk</v>
      </c>
    </row>
    <row r="384" spans="1:29" x14ac:dyDescent="0.25">
      <c r="A384" t="s">
        <v>48</v>
      </c>
      <c r="B384">
        <v>120</v>
      </c>
      <c r="C384">
        <v>415</v>
      </c>
      <c r="D384" t="s">
        <v>21</v>
      </c>
      <c r="E384" t="s">
        <v>21</v>
      </c>
      <c r="F384">
        <v>0</v>
      </c>
      <c r="G384">
        <v>203.3</v>
      </c>
      <c r="H384">
        <v>108</v>
      </c>
      <c r="I384">
        <v>34.56</v>
      </c>
      <c r="J384">
        <v>259.89999999999998</v>
      </c>
      <c r="K384">
        <v>66</v>
      </c>
      <c r="L384">
        <v>22.09</v>
      </c>
      <c r="M384">
        <v>115.9</v>
      </c>
      <c r="N384">
        <v>103</v>
      </c>
      <c r="O384">
        <v>5.22</v>
      </c>
      <c r="P384">
        <v>7.8</v>
      </c>
      <c r="Q384">
        <v>2</v>
      </c>
      <c r="R384">
        <v>2.11</v>
      </c>
      <c r="S384">
        <v>3</v>
      </c>
      <c r="T384" t="b">
        <v>0</v>
      </c>
      <c r="U384">
        <f>IFERROR(SUM(Table1[[#This Row],[Total day minutes]],Table1[[#This Row],[Total eve minutes]],Table1[[#This Row],[Total night minutes]],Table1[[#This Row],[Total intl minutes]]),0)</f>
        <v>586.9</v>
      </c>
      <c r="V384">
        <f>SUM(Table1[[#This Row],[Total intl charge]],Table1[[#This Row],[Total night charge]],Table1[[#This Row],[Total eve charge]],Table1[[#This Row],[Total day charge]])</f>
        <v>63.980000000000004</v>
      </c>
      <c r="W384">
        <f>SUM(Table1[[#This Row],[Total intl calls]],Table1[[#This Row],[Total night calls]],Table1[[#This Row],[Total eve calls]],Table1[[#This Row],[Total day calls]])</f>
        <v>279</v>
      </c>
      <c r="X384" t="str" cm="1">
        <f t="array" ref="X384">_xlfn.IFS(Table1[[#This Row],[Customer service calls]]&gt;=4,"High risk",Table1[[#This Row],[Customer service calls]]&gt;=2,"Medium risk",TRUE,"Low risk")</f>
        <v>Medium risk</v>
      </c>
      <c r="Y384" t="str" cm="1">
        <f t="array" ref="Y384">IFERROR(_xlfn.IFS(Table1[[#This Row],[Total usage(Min)]]&gt;=AVERAGE(U:U)*1.1,"High risk",Table1[[#This Row],[Total usage(Min)]]&lt;= AVERAGE(U:U)*0.9,"Low risk",TRUE,"Medium risk"),"N/A")</f>
        <v>Medium risk</v>
      </c>
      <c r="Z384" t="str" cm="1">
        <f t="array" ref="Z384">IFERROR(_xlfn.IFS(Table1[[#This Row],[Total charges]]&gt;=AVERAGE(V:V)*1.1,"High risk",Table1[[#This Row],[Total charges]]&lt;=AVERAGE(V:V)*0.9,"Low risk",TRUE,"Medium risk"),"N/A")</f>
        <v>Medium risk</v>
      </c>
      <c r="AA3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84" t="str" cm="1">
        <f t="array" ref="AC384">_xlfn.IFS(
AND(Table1[[#This Row],[Customer service risk level]]="High risk", Table1[[#This Row],[Intl usage behaviour]]="Unplanned Usage"),"High Risk",
OR(Table1[[#This Row],[Customer service risk level]]="Medium risk", Table1[[#This Row],[Charges risk level]]="High risk "),"Medium Risk",
TRUE,"Low Risk"
)</f>
        <v>Medium Risk</v>
      </c>
    </row>
    <row r="385" spans="1:29" x14ac:dyDescent="0.25">
      <c r="A385" t="s">
        <v>61</v>
      </c>
      <c r="B385">
        <v>141</v>
      </c>
      <c r="C385">
        <v>415</v>
      </c>
      <c r="D385" t="s">
        <v>21</v>
      </c>
      <c r="E385" t="s">
        <v>27</v>
      </c>
      <c r="F385">
        <v>37</v>
      </c>
      <c r="G385">
        <v>185.4</v>
      </c>
      <c r="H385">
        <v>87</v>
      </c>
      <c r="I385">
        <v>31.52</v>
      </c>
      <c r="J385">
        <v>178.5</v>
      </c>
      <c r="K385">
        <v>128</v>
      </c>
      <c r="L385">
        <v>15.17</v>
      </c>
      <c r="M385">
        <v>218.3</v>
      </c>
      <c r="N385">
        <v>107</v>
      </c>
      <c r="O385">
        <v>9.82</v>
      </c>
      <c r="P385">
        <v>8</v>
      </c>
      <c r="Q385">
        <v>3</v>
      </c>
      <c r="R385">
        <v>2.16</v>
      </c>
      <c r="S385">
        <v>4</v>
      </c>
      <c r="T385" t="b">
        <v>0</v>
      </c>
      <c r="U385">
        <f>IFERROR(SUM(Table1[[#This Row],[Total day minutes]],Table1[[#This Row],[Total eve minutes]],Table1[[#This Row],[Total night minutes]],Table1[[#This Row],[Total intl minutes]]),0)</f>
        <v>590.20000000000005</v>
      </c>
      <c r="V385">
        <f>SUM(Table1[[#This Row],[Total intl charge]],Table1[[#This Row],[Total night charge]],Table1[[#This Row],[Total eve charge]],Table1[[#This Row],[Total day charge]])</f>
        <v>58.67</v>
      </c>
      <c r="W385">
        <f>SUM(Table1[[#This Row],[Total intl calls]],Table1[[#This Row],[Total night calls]],Table1[[#This Row],[Total eve calls]],Table1[[#This Row],[Total day calls]])</f>
        <v>325</v>
      </c>
      <c r="X385" t="str" cm="1">
        <f t="array" ref="X385">_xlfn.IFS(Table1[[#This Row],[Customer service calls]]&gt;=4,"High risk",Table1[[#This Row],[Customer service calls]]&gt;=2,"Medium risk",TRUE,"Low risk")</f>
        <v>High risk</v>
      </c>
      <c r="Y385" t="str" cm="1">
        <f t="array" ref="Y385">IFERROR(_xlfn.IFS(Table1[[#This Row],[Total usage(Min)]]&gt;=AVERAGE(U:U)*1.1,"High risk",Table1[[#This Row],[Total usage(Min)]]&lt;= AVERAGE(U:U)*0.9,"Low risk",TRUE,"Medium risk"),"N/A")</f>
        <v>Medium risk</v>
      </c>
      <c r="Z385" t="str" cm="1">
        <f t="array" ref="Z385">IFERROR(_xlfn.IFS(Table1[[#This Row],[Total charges]]&gt;=AVERAGE(V:V)*1.1,"High risk",Table1[[#This Row],[Total charges]]&lt;=AVERAGE(V:V)*0.9,"Low risk",TRUE,"Medium risk"),"N/A")</f>
        <v>Medium risk</v>
      </c>
      <c r="AA3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5" t="str" cm="1">
        <f t="array" ref="AC385">_xlfn.IFS(
AND(Table1[[#This Row],[Customer service risk level]]="High risk", Table1[[#This Row],[Intl usage behaviour]]="Unplanned Usage"),"High Risk",
OR(Table1[[#This Row],[Customer service risk level]]="Medium risk", Table1[[#This Row],[Charges risk level]]="High risk "),"Medium Risk",
TRUE,"Low Risk"
)</f>
        <v>High Risk</v>
      </c>
    </row>
    <row r="386" spans="1:29" x14ac:dyDescent="0.25">
      <c r="A386" t="s">
        <v>47</v>
      </c>
      <c r="B386">
        <v>87</v>
      </c>
      <c r="C386">
        <v>510</v>
      </c>
      <c r="D386" t="s">
        <v>21</v>
      </c>
      <c r="E386" t="s">
        <v>27</v>
      </c>
      <c r="F386">
        <v>22</v>
      </c>
      <c r="G386">
        <v>240.8</v>
      </c>
      <c r="H386">
        <v>102</v>
      </c>
      <c r="I386">
        <v>40.94</v>
      </c>
      <c r="J386">
        <v>75.900000000000006</v>
      </c>
      <c r="K386">
        <v>106</v>
      </c>
      <c r="L386">
        <v>6.45</v>
      </c>
      <c r="M386">
        <v>224.6</v>
      </c>
      <c r="N386">
        <v>115</v>
      </c>
      <c r="O386">
        <v>10.11</v>
      </c>
      <c r="P386">
        <v>7.1</v>
      </c>
      <c r="Q386">
        <v>3</v>
      </c>
      <c r="R386">
        <v>1.92</v>
      </c>
      <c r="S386">
        <v>2</v>
      </c>
      <c r="T386" t="b">
        <v>0</v>
      </c>
      <c r="U386">
        <f>IFERROR(SUM(Table1[[#This Row],[Total day minutes]],Table1[[#This Row],[Total eve minutes]],Table1[[#This Row],[Total night minutes]],Table1[[#This Row],[Total intl minutes]]),0)</f>
        <v>548.40000000000009</v>
      </c>
      <c r="V386">
        <f>SUM(Table1[[#This Row],[Total intl charge]],Table1[[#This Row],[Total night charge]],Table1[[#This Row],[Total eve charge]],Table1[[#This Row],[Total day charge]])</f>
        <v>59.42</v>
      </c>
      <c r="W386">
        <f>SUM(Table1[[#This Row],[Total intl calls]],Table1[[#This Row],[Total night calls]],Table1[[#This Row],[Total eve calls]],Table1[[#This Row],[Total day calls]])</f>
        <v>326</v>
      </c>
      <c r="X386" t="str" cm="1">
        <f t="array" ref="X386">_xlfn.IFS(Table1[[#This Row],[Customer service calls]]&gt;=4,"High risk",Table1[[#This Row],[Customer service calls]]&gt;=2,"Medium risk",TRUE,"Low risk")</f>
        <v>Medium risk</v>
      </c>
      <c r="Y386" t="str" cm="1">
        <f t="array" ref="Y386">IFERROR(_xlfn.IFS(Table1[[#This Row],[Total usage(Min)]]&gt;=AVERAGE(U:U)*1.1,"High risk",Table1[[#This Row],[Total usage(Min)]]&lt;= AVERAGE(U:U)*0.9,"Low risk",TRUE,"Medium risk"),"N/A")</f>
        <v>Medium risk</v>
      </c>
      <c r="Z386" t="str" cm="1">
        <f t="array" ref="Z386">IFERROR(_xlfn.IFS(Table1[[#This Row],[Total charges]]&gt;=AVERAGE(V:V)*1.1,"High risk",Table1[[#This Row],[Total charges]]&lt;=AVERAGE(V:V)*0.9,"Low risk",TRUE,"Medium risk"),"N/A")</f>
        <v>Medium risk</v>
      </c>
      <c r="AA3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6" t="str" cm="1">
        <f t="array" ref="AC386">_xlfn.IFS(
AND(Table1[[#This Row],[Customer service risk level]]="High risk", Table1[[#This Row],[Intl usage behaviour]]="Unplanned Usage"),"High Risk",
OR(Table1[[#This Row],[Customer service risk level]]="Medium risk", Table1[[#This Row],[Charges risk level]]="High risk "),"Medium Risk",
TRUE,"Low Risk"
)</f>
        <v>Medium Risk</v>
      </c>
    </row>
    <row r="387" spans="1:29" x14ac:dyDescent="0.25">
      <c r="A387" t="s">
        <v>40</v>
      </c>
      <c r="B387">
        <v>97</v>
      </c>
      <c r="C387">
        <v>408</v>
      </c>
      <c r="D387" t="s">
        <v>21</v>
      </c>
      <c r="E387" t="s">
        <v>21</v>
      </c>
      <c r="F387">
        <v>0</v>
      </c>
      <c r="G387">
        <v>276.10000000000002</v>
      </c>
      <c r="H387">
        <v>82</v>
      </c>
      <c r="I387">
        <v>46.94</v>
      </c>
      <c r="J387">
        <v>201.1</v>
      </c>
      <c r="K387">
        <v>106</v>
      </c>
      <c r="L387">
        <v>17.09</v>
      </c>
      <c r="M387">
        <v>231.3</v>
      </c>
      <c r="N387">
        <v>73</v>
      </c>
      <c r="O387">
        <v>10.41</v>
      </c>
      <c r="P387">
        <v>8.9</v>
      </c>
      <c r="Q387">
        <v>4</v>
      </c>
      <c r="R387">
        <v>2.4</v>
      </c>
      <c r="S387">
        <v>0</v>
      </c>
      <c r="T387" t="b">
        <v>1</v>
      </c>
      <c r="U387">
        <f>IFERROR(SUM(Table1[[#This Row],[Total day minutes]],Table1[[#This Row],[Total eve minutes]],Table1[[#This Row],[Total night minutes]],Table1[[#This Row],[Total intl minutes]]),0)</f>
        <v>717.4</v>
      </c>
      <c r="V387">
        <f>SUM(Table1[[#This Row],[Total intl charge]],Table1[[#This Row],[Total night charge]],Table1[[#This Row],[Total eve charge]],Table1[[#This Row],[Total day charge]])</f>
        <v>76.84</v>
      </c>
      <c r="W387">
        <f>SUM(Table1[[#This Row],[Total intl calls]],Table1[[#This Row],[Total night calls]],Table1[[#This Row],[Total eve calls]],Table1[[#This Row],[Total day calls]])</f>
        <v>265</v>
      </c>
      <c r="X387" t="str" cm="1">
        <f t="array" ref="X387">_xlfn.IFS(Table1[[#This Row],[Customer service calls]]&gt;=4,"High risk",Table1[[#This Row],[Customer service calls]]&gt;=2,"Medium risk",TRUE,"Low risk")</f>
        <v>Low risk</v>
      </c>
      <c r="Y387" t="str" cm="1">
        <f t="array" ref="Y387">IFERROR(_xlfn.IFS(Table1[[#This Row],[Total usage(Min)]]&gt;=AVERAGE(U:U)*1.1,"High risk",Table1[[#This Row],[Total usage(Min)]]&lt;= AVERAGE(U:U)*0.9,"Low risk",TRUE,"Medium risk"),"N/A")</f>
        <v>High risk</v>
      </c>
      <c r="Z387" t="str" cm="1">
        <f t="array" ref="Z387">IFERROR(_xlfn.IFS(Table1[[#This Row],[Total charges]]&gt;=AVERAGE(V:V)*1.1,"High risk",Table1[[#This Row],[Total charges]]&lt;=AVERAGE(V:V)*0.9,"Low risk",TRUE,"Medium risk"),"N/A")</f>
        <v>High risk</v>
      </c>
      <c r="AA3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87" t="str" cm="1">
        <f t="array" ref="AC387">_xlfn.IFS(
AND(Table1[[#This Row],[Customer service risk level]]="High risk", Table1[[#This Row],[Intl usage behaviour]]="Unplanned Usage"),"High Risk",
OR(Table1[[#This Row],[Customer service risk level]]="Medium risk", Table1[[#This Row],[Charges risk level]]="High risk "),"Medium Risk",
TRUE,"Low Risk"
)</f>
        <v>Low Risk</v>
      </c>
    </row>
    <row r="388" spans="1:29" x14ac:dyDescent="0.25">
      <c r="A388" t="s">
        <v>53</v>
      </c>
      <c r="B388">
        <v>162</v>
      </c>
      <c r="C388">
        <v>408</v>
      </c>
      <c r="D388" t="s">
        <v>21</v>
      </c>
      <c r="E388" t="s">
        <v>27</v>
      </c>
      <c r="F388">
        <v>26</v>
      </c>
      <c r="G388">
        <v>179.7</v>
      </c>
      <c r="H388">
        <v>144</v>
      </c>
      <c r="I388">
        <v>30.55</v>
      </c>
      <c r="J388">
        <v>218.1</v>
      </c>
      <c r="K388">
        <v>129</v>
      </c>
      <c r="L388">
        <v>18.54</v>
      </c>
      <c r="M388">
        <v>212.3</v>
      </c>
      <c r="N388">
        <v>105</v>
      </c>
      <c r="O388">
        <v>9.5500000000000007</v>
      </c>
      <c r="P388">
        <v>9.3000000000000007</v>
      </c>
      <c r="Q388">
        <v>8</v>
      </c>
      <c r="R388">
        <v>2.5099999999999998</v>
      </c>
      <c r="S388">
        <v>1</v>
      </c>
      <c r="T388" t="b">
        <v>1</v>
      </c>
      <c r="U388">
        <f>IFERROR(SUM(Table1[[#This Row],[Total day minutes]],Table1[[#This Row],[Total eve minutes]],Table1[[#This Row],[Total night minutes]],Table1[[#This Row],[Total intl minutes]]),0)</f>
        <v>619.39999999999986</v>
      </c>
      <c r="V388">
        <f>SUM(Table1[[#This Row],[Total intl charge]],Table1[[#This Row],[Total night charge]],Table1[[#This Row],[Total eve charge]],Table1[[#This Row],[Total day charge]])</f>
        <v>61.150000000000006</v>
      </c>
      <c r="W388">
        <f>SUM(Table1[[#This Row],[Total intl calls]],Table1[[#This Row],[Total night calls]],Table1[[#This Row],[Total eve calls]],Table1[[#This Row],[Total day calls]])</f>
        <v>386</v>
      </c>
      <c r="X388" t="str" cm="1">
        <f t="array" ref="X388">_xlfn.IFS(Table1[[#This Row],[Customer service calls]]&gt;=4,"High risk",Table1[[#This Row],[Customer service calls]]&gt;=2,"Medium risk",TRUE,"Low risk")</f>
        <v>Low risk</v>
      </c>
      <c r="Y388" t="str" cm="1">
        <f t="array" ref="Y388">IFERROR(_xlfn.IFS(Table1[[#This Row],[Total usage(Min)]]&gt;=AVERAGE(U:U)*1.1,"High risk",Table1[[#This Row],[Total usage(Min)]]&lt;= AVERAGE(U:U)*0.9,"Low risk",TRUE,"Medium risk"),"N/A")</f>
        <v>Medium risk</v>
      </c>
      <c r="Z388" t="str" cm="1">
        <f t="array" ref="Z388">IFERROR(_xlfn.IFS(Table1[[#This Row],[Total charges]]&gt;=AVERAGE(V:V)*1.1,"High risk",Table1[[#This Row],[Total charges]]&lt;=AVERAGE(V:V)*0.9,"Low risk",TRUE,"Medium risk"),"N/A")</f>
        <v>Medium risk</v>
      </c>
      <c r="AA3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88" t="str" cm="1">
        <f t="array" ref="AC388">_xlfn.IFS(
AND(Table1[[#This Row],[Customer service risk level]]="High risk", Table1[[#This Row],[Intl usage behaviour]]="Unplanned Usage"),"High Risk",
OR(Table1[[#This Row],[Customer service risk level]]="Medium risk", Table1[[#This Row],[Charges risk level]]="High risk "),"Medium Risk",
TRUE,"Low Risk"
)</f>
        <v>Low Risk</v>
      </c>
    </row>
    <row r="389" spans="1:29" x14ac:dyDescent="0.25">
      <c r="A389" t="s">
        <v>48</v>
      </c>
      <c r="B389">
        <v>119</v>
      </c>
      <c r="C389">
        <v>510</v>
      </c>
      <c r="D389" t="s">
        <v>21</v>
      </c>
      <c r="E389" t="s">
        <v>21</v>
      </c>
      <c r="F389">
        <v>0</v>
      </c>
      <c r="G389">
        <v>81.900000000000006</v>
      </c>
      <c r="H389">
        <v>75</v>
      </c>
      <c r="I389">
        <v>13.92</v>
      </c>
      <c r="J389">
        <v>253.8</v>
      </c>
      <c r="K389">
        <v>114</v>
      </c>
      <c r="L389">
        <v>21.57</v>
      </c>
      <c r="M389">
        <v>213.1</v>
      </c>
      <c r="N389">
        <v>125</v>
      </c>
      <c r="O389">
        <v>9.59</v>
      </c>
      <c r="P389">
        <v>8.9</v>
      </c>
      <c r="Q389">
        <v>1</v>
      </c>
      <c r="R389">
        <v>2.4</v>
      </c>
      <c r="S389">
        <v>2</v>
      </c>
      <c r="T389" t="b">
        <v>1</v>
      </c>
      <c r="U389">
        <f>IFERROR(SUM(Table1[[#This Row],[Total day minutes]],Table1[[#This Row],[Total eve minutes]],Table1[[#This Row],[Total night minutes]],Table1[[#This Row],[Total intl minutes]]),0)</f>
        <v>557.70000000000005</v>
      </c>
      <c r="V389">
        <f>SUM(Table1[[#This Row],[Total intl charge]],Table1[[#This Row],[Total night charge]],Table1[[#This Row],[Total eve charge]],Table1[[#This Row],[Total day charge]])</f>
        <v>47.480000000000004</v>
      </c>
      <c r="W389">
        <f>SUM(Table1[[#This Row],[Total intl calls]],Table1[[#This Row],[Total night calls]],Table1[[#This Row],[Total eve calls]],Table1[[#This Row],[Total day calls]])</f>
        <v>315</v>
      </c>
      <c r="X389" t="str" cm="1">
        <f t="array" ref="X389">_xlfn.IFS(Table1[[#This Row],[Customer service calls]]&gt;=4,"High risk",Table1[[#This Row],[Customer service calls]]&gt;=2,"Medium risk",TRUE,"Low risk")</f>
        <v>Medium risk</v>
      </c>
      <c r="Y389" t="str" cm="1">
        <f t="array" ref="Y389">IFERROR(_xlfn.IFS(Table1[[#This Row],[Total usage(Min)]]&gt;=AVERAGE(U:U)*1.1,"High risk",Table1[[#This Row],[Total usage(Min)]]&lt;= AVERAGE(U:U)*0.9,"Low risk",TRUE,"Medium risk"),"N/A")</f>
        <v>Medium risk</v>
      </c>
      <c r="Z389" t="str" cm="1">
        <f t="array" ref="Z389">IFERROR(_xlfn.IFS(Table1[[#This Row],[Total charges]]&gt;=AVERAGE(V:V)*1.1,"High risk",Table1[[#This Row],[Total charges]]&lt;=AVERAGE(V:V)*0.9,"Low risk",TRUE,"Medium risk"),"N/A")</f>
        <v>Low risk</v>
      </c>
      <c r="AA3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8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89" t="str" cm="1">
        <f t="array" ref="AC389">_xlfn.IFS(
AND(Table1[[#This Row],[Customer service risk level]]="High risk", Table1[[#This Row],[Intl usage behaviour]]="Unplanned Usage"),"High Risk",
OR(Table1[[#This Row],[Customer service risk level]]="Medium risk", Table1[[#This Row],[Charges risk level]]="High risk "),"Medium Risk",
TRUE,"Low Risk"
)</f>
        <v>Medium Risk</v>
      </c>
    </row>
    <row r="390" spans="1:29" x14ac:dyDescent="0.25">
      <c r="A390" t="s">
        <v>31</v>
      </c>
      <c r="B390">
        <v>107</v>
      </c>
      <c r="C390">
        <v>510</v>
      </c>
      <c r="D390" t="s">
        <v>21</v>
      </c>
      <c r="E390" t="s">
        <v>27</v>
      </c>
      <c r="F390">
        <v>25</v>
      </c>
      <c r="G390">
        <v>248.6</v>
      </c>
      <c r="H390">
        <v>91</v>
      </c>
      <c r="I390">
        <v>42.26</v>
      </c>
      <c r="J390">
        <v>119.3</v>
      </c>
      <c r="K390">
        <v>115</v>
      </c>
      <c r="L390">
        <v>10.14</v>
      </c>
      <c r="M390">
        <v>194.3</v>
      </c>
      <c r="N390">
        <v>83</v>
      </c>
      <c r="O390">
        <v>8.74</v>
      </c>
      <c r="P390">
        <v>12</v>
      </c>
      <c r="Q390">
        <v>1</v>
      </c>
      <c r="R390">
        <v>3.24</v>
      </c>
      <c r="S390">
        <v>1</v>
      </c>
      <c r="T390" t="b">
        <v>0</v>
      </c>
      <c r="U390">
        <f>IFERROR(SUM(Table1[[#This Row],[Total day minutes]],Table1[[#This Row],[Total eve minutes]],Table1[[#This Row],[Total night minutes]],Table1[[#This Row],[Total intl minutes]]),0)</f>
        <v>574.20000000000005</v>
      </c>
      <c r="V390">
        <f>SUM(Table1[[#This Row],[Total intl charge]],Table1[[#This Row],[Total night charge]],Table1[[#This Row],[Total eve charge]],Table1[[#This Row],[Total day charge]])</f>
        <v>64.38</v>
      </c>
      <c r="W390">
        <f>SUM(Table1[[#This Row],[Total intl calls]],Table1[[#This Row],[Total night calls]],Table1[[#This Row],[Total eve calls]],Table1[[#This Row],[Total day calls]])</f>
        <v>290</v>
      </c>
      <c r="X390" t="str" cm="1">
        <f t="array" ref="X390">_xlfn.IFS(Table1[[#This Row],[Customer service calls]]&gt;=4,"High risk",Table1[[#This Row],[Customer service calls]]&gt;=2,"Medium risk",TRUE,"Low risk")</f>
        <v>Low risk</v>
      </c>
      <c r="Y390" t="str" cm="1">
        <f t="array" ref="Y390">IFERROR(_xlfn.IFS(Table1[[#This Row],[Total usage(Min)]]&gt;=AVERAGE(U:U)*1.1,"High risk",Table1[[#This Row],[Total usage(Min)]]&lt;= AVERAGE(U:U)*0.9,"Low risk",TRUE,"Medium risk"),"N/A")</f>
        <v>Medium risk</v>
      </c>
      <c r="Z390" t="str" cm="1">
        <f t="array" ref="Z390">IFERROR(_xlfn.IFS(Table1[[#This Row],[Total charges]]&gt;=AVERAGE(V:V)*1.1,"High risk",Table1[[#This Row],[Total charges]]&lt;=AVERAGE(V:V)*0.9,"Low risk",TRUE,"Medium risk"),"N/A")</f>
        <v>Medium risk</v>
      </c>
      <c r="AA3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90" t="str" cm="1">
        <f t="array" ref="AC390">_xlfn.IFS(
AND(Table1[[#This Row],[Customer service risk level]]="High risk", Table1[[#This Row],[Intl usage behaviour]]="Unplanned Usage"),"High Risk",
OR(Table1[[#This Row],[Customer service risk level]]="Medium risk", Table1[[#This Row],[Charges risk level]]="High risk "),"Medium Risk",
TRUE,"Low Risk"
)</f>
        <v>Low Risk</v>
      </c>
    </row>
    <row r="391" spans="1:29" x14ac:dyDescent="0.25">
      <c r="A391" t="s">
        <v>24</v>
      </c>
      <c r="B391">
        <v>140</v>
      </c>
      <c r="C391">
        <v>510</v>
      </c>
      <c r="D391" t="s">
        <v>21</v>
      </c>
      <c r="E391" t="s">
        <v>27</v>
      </c>
      <c r="F391">
        <v>28</v>
      </c>
      <c r="G391">
        <v>157.1</v>
      </c>
      <c r="H391">
        <v>77</v>
      </c>
      <c r="I391">
        <v>26.71</v>
      </c>
      <c r="J391">
        <v>172.4</v>
      </c>
      <c r="K391">
        <v>97</v>
      </c>
      <c r="L391">
        <v>14.65</v>
      </c>
      <c r="M391">
        <v>184.5</v>
      </c>
      <c r="N391">
        <v>94</v>
      </c>
      <c r="O391">
        <v>8.3000000000000007</v>
      </c>
      <c r="P391">
        <v>11.1</v>
      </c>
      <c r="Q391">
        <v>9</v>
      </c>
      <c r="R391">
        <v>3</v>
      </c>
      <c r="S391">
        <v>1</v>
      </c>
      <c r="T391" t="b">
        <v>0</v>
      </c>
      <c r="U391">
        <f>IFERROR(SUM(Table1[[#This Row],[Total day minutes]],Table1[[#This Row],[Total eve minutes]],Table1[[#This Row],[Total night minutes]],Table1[[#This Row],[Total intl minutes]]),0)</f>
        <v>525.1</v>
      </c>
      <c r="V391">
        <f>SUM(Table1[[#This Row],[Total intl charge]],Table1[[#This Row],[Total night charge]],Table1[[#This Row],[Total eve charge]],Table1[[#This Row],[Total day charge]])</f>
        <v>52.660000000000004</v>
      </c>
      <c r="W391">
        <f>SUM(Table1[[#This Row],[Total intl calls]],Table1[[#This Row],[Total night calls]],Table1[[#This Row],[Total eve calls]],Table1[[#This Row],[Total day calls]])</f>
        <v>277</v>
      </c>
      <c r="X391" t="str" cm="1">
        <f t="array" ref="X391">_xlfn.IFS(Table1[[#This Row],[Customer service calls]]&gt;=4,"High risk",Table1[[#This Row],[Customer service calls]]&gt;=2,"Medium risk",TRUE,"Low risk")</f>
        <v>Low risk</v>
      </c>
      <c r="Y391" t="str" cm="1">
        <f t="array" ref="Y391">IFERROR(_xlfn.IFS(Table1[[#This Row],[Total usage(Min)]]&gt;=AVERAGE(U:U)*1.1,"High risk",Table1[[#This Row],[Total usage(Min)]]&lt;= AVERAGE(U:U)*0.9,"Low risk",TRUE,"Medium risk"),"N/A")</f>
        <v>Low risk</v>
      </c>
      <c r="Z391" t="str" cm="1">
        <f t="array" ref="Z391">IFERROR(_xlfn.IFS(Table1[[#This Row],[Total charges]]&gt;=AVERAGE(V:V)*1.1,"High risk",Table1[[#This Row],[Total charges]]&lt;=AVERAGE(V:V)*0.9,"Low risk",TRUE,"Medium risk"),"N/A")</f>
        <v>Low risk</v>
      </c>
      <c r="AA3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91" t="str" cm="1">
        <f t="array" ref="AC391">_xlfn.IFS(
AND(Table1[[#This Row],[Customer service risk level]]="High risk", Table1[[#This Row],[Intl usage behaviour]]="Unplanned Usage"),"High Risk",
OR(Table1[[#This Row],[Customer service risk level]]="Medium risk", Table1[[#This Row],[Charges risk level]]="High risk "),"Medium Risk",
TRUE,"Low Risk"
)</f>
        <v>Low Risk</v>
      </c>
    </row>
    <row r="392" spans="1:29" x14ac:dyDescent="0.25">
      <c r="A392" t="s">
        <v>54</v>
      </c>
      <c r="B392">
        <v>91</v>
      </c>
      <c r="C392">
        <v>415</v>
      </c>
      <c r="D392" t="s">
        <v>21</v>
      </c>
      <c r="E392" t="s">
        <v>21</v>
      </c>
      <c r="F392">
        <v>0</v>
      </c>
      <c r="G392">
        <v>153</v>
      </c>
      <c r="H392">
        <v>123</v>
      </c>
      <c r="I392">
        <v>26.01</v>
      </c>
      <c r="J392">
        <v>141.1</v>
      </c>
      <c r="K392">
        <v>127</v>
      </c>
      <c r="L392">
        <v>11.99</v>
      </c>
      <c r="M392">
        <v>171.5</v>
      </c>
      <c r="N392">
        <v>76</v>
      </c>
      <c r="O392">
        <v>7.72</v>
      </c>
      <c r="P392">
        <v>10.3</v>
      </c>
      <c r="Q392">
        <v>15</v>
      </c>
      <c r="R392">
        <v>2.78</v>
      </c>
      <c r="S392">
        <v>1</v>
      </c>
      <c r="T392" t="b">
        <v>1</v>
      </c>
      <c r="U392">
        <f>IFERROR(SUM(Table1[[#This Row],[Total day minutes]],Table1[[#This Row],[Total eve minutes]],Table1[[#This Row],[Total night minutes]],Table1[[#This Row],[Total intl minutes]]),0)</f>
        <v>475.90000000000003</v>
      </c>
      <c r="V392">
        <f>SUM(Table1[[#This Row],[Total intl charge]],Table1[[#This Row],[Total night charge]],Table1[[#This Row],[Total eve charge]],Table1[[#This Row],[Total day charge]])</f>
        <v>48.5</v>
      </c>
      <c r="W392">
        <f>SUM(Table1[[#This Row],[Total intl calls]],Table1[[#This Row],[Total night calls]],Table1[[#This Row],[Total eve calls]],Table1[[#This Row],[Total day calls]])</f>
        <v>341</v>
      </c>
      <c r="X392" t="str" cm="1">
        <f t="array" ref="X392">_xlfn.IFS(Table1[[#This Row],[Customer service calls]]&gt;=4,"High risk",Table1[[#This Row],[Customer service calls]]&gt;=2,"Medium risk",TRUE,"Low risk")</f>
        <v>Low risk</v>
      </c>
      <c r="Y392" t="str" cm="1">
        <f t="array" ref="Y392">IFERROR(_xlfn.IFS(Table1[[#This Row],[Total usage(Min)]]&gt;=AVERAGE(U:U)*1.1,"High risk",Table1[[#This Row],[Total usage(Min)]]&lt;= AVERAGE(U:U)*0.9,"Low risk",TRUE,"Medium risk"),"N/A")</f>
        <v>Low risk</v>
      </c>
      <c r="Z392" t="str" cm="1">
        <f t="array" ref="Z392">IFERROR(_xlfn.IFS(Table1[[#This Row],[Total charges]]&gt;=AVERAGE(V:V)*1.1,"High risk",Table1[[#This Row],[Total charges]]&lt;=AVERAGE(V:V)*0.9,"Low risk",TRUE,"Medium risk"),"N/A")</f>
        <v>Low risk</v>
      </c>
      <c r="AA3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2" t="str" cm="1">
        <f t="array" ref="AC392">_xlfn.IFS(
AND(Table1[[#This Row],[Customer service risk level]]="High risk", Table1[[#This Row],[Intl usage behaviour]]="Unplanned Usage"),"High Risk",
OR(Table1[[#This Row],[Customer service risk level]]="Medium risk", Table1[[#This Row],[Charges risk level]]="High risk "),"Medium Risk",
TRUE,"Low Risk"
)</f>
        <v>Low Risk</v>
      </c>
    </row>
    <row r="393" spans="1:29" x14ac:dyDescent="0.25">
      <c r="A393" t="s">
        <v>42</v>
      </c>
      <c r="B393">
        <v>135</v>
      </c>
      <c r="C393">
        <v>415</v>
      </c>
      <c r="D393" t="s">
        <v>21</v>
      </c>
      <c r="E393" t="s">
        <v>21</v>
      </c>
      <c r="F393">
        <v>0</v>
      </c>
      <c r="G393">
        <v>218.8</v>
      </c>
      <c r="H393">
        <v>123</v>
      </c>
      <c r="I393">
        <v>37.200000000000003</v>
      </c>
      <c r="J393">
        <v>242.8</v>
      </c>
      <c r="K393">
        <v>64</v>
      </c>
      <c r="L393">
        <v>20.64</v>
      </c>
      <c r="M393">
        <v>85.8</v>
      </c>
      <c r="N393">
        <v>80</v>
      </c>
      <c r="O393">
        <v>3.86</v>
      </c>
      <c r="P393">
        <v>10.3</v>
      </c>
      <c r="Q393">
        <v>3</v>
      </c>
      <c r="R393">
        <v>2.78</v>
      </c>
      <c r="S393">
        <v>4</v>
      </c>
      <c r="T393" t="b">
        <v>0</v>
      </c>
      <c r="U393">
        <f>IFERROR(SUM(Table1[[#This Row],[Total day minutes]],Table1[[#This Row],[Total eve minutes]],Table1[[#This Row],[Total night minutes]],Table1[[#This Row],[Total intl minutes]]),0)</f>
        <v>557.69999999999993</v>
      </c>
      <c r="V393">
        <f>SUM(Table1[[#This Row],[Total intl charge]],Table1[[#This Row],[Total night charge]],Table1[[#This Row],[Total eve charge]],Table1[[#This Row],[Total day charge]])</f>
        <v>64.48</v>
      </c>
      <c r="W393">
        <f>SUM(Table1[[#This Row],[Total intl calls]],Table1[[#This Row],[Total night calls]],Table1[[#This Row],[Total eve calls]],Table1[[#This Row],[Total day calls]])</f>
        <v>270</v>
      </c>
      <c r="X393" t="str" cm="1">
        <f t="array" ref="X393">_xlfn.IFS(Table1[[#This Row],[Customer service calls]]&gt;=4,"High risk",Table1[[#This Row],[Customer service calls]]&gt;=2,"Medium risk",TRUE,"Low risk")</f>
        <v>High risk</v>
      </c>
      <c r="Y393" t="str" cm="1">
        <f t="array" ref="Y393">IFERROR(_xlfn.IFS(Table1[[#This Row],[Total usage(Min)]]&gt;=AVERAGE(U:U)*1.1,"High risk",Table1[[#This Row],[Total usage(Min)]]&lt;= AVERAGE(U:U)*0.9,"Low risk",TRUE,"Medium risk"),"N/A")</f>
        <v>Medium risk</v>
      </c>
      <c r="Z393" t="str" cm="1">
        <f t="array" ref="Z393">IFERROR(_xlfn.IFS(Table1[[#This Row],[Total charges]]&gt;=AVERAGE(V:V)*1.1,"High risk",Table1[[#This Row],[Total charges]]&lt;=AVERAGE(V:V)*0.9,"Low risk",TRUE,"Medium risk"),"N/A")</f>
        <v>Medium risk</v>
      </c>
      <c r="AA3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3" t="str" cm="1">
        <f t="array" ref="AC393">_xlfn.IFS(
AND(Table1[[#This Row],[Customer service risk level]]="High risk", Table1[[#This Row],[Intl usage behaviour]]="Unplanned Usage"),"High Risk",
OR(Table1[[#This Row],[Customer service risk level]]="Medium risk", Table1[[#This Row],[Charges risk level]]="High risk "),"Medium Risk",
TRUE,"Low Risk"
)</f>
        <v>High Risk</v>
      </c>
    </row>
    <row r="394" spans="1:29" x14ac:dyDescent="0.25">
      <c r="A394" t="s">
        <v>25</v>
      </c>
      <c r="B394">
        <v>86</v>
      </c>
      <c r="C394">
        <v>408</v>
      </c>
      <c r="D394" t="s">
        <v>21</v>
      </c>
      <c r="E394" t="s">
        <v>27</v>
      </c>
      <c r="F394">
        <v>21</v>
      </c>
      <c r="G394">
        <v>197.9</v>
      </c>
      <c r="H394">
        <v>99</v>
      </c>
      <c r="I394">
        <v>33.64</v>
      </c>
      <c r="J394">
        <v>165.6</v>
      </c>
      <c r="K394">
        <v>100</v>
      </c>
      <c r="L394">
        <v>14.08</v>
      </c>
      <c r="M394">
        <v>208</v>
      </c>
      <c r="N394">
        <v>120</v>
      </c>
      <c r="O394">
        <v>9.36</v>
      </c>
      <c r="P394">
        <v>10.1</v>
      </c>
      <c r="Q394">
        <v>9</v>
      </c>
      <c r="R394">
        <v>2.73</v>
      </c>
      <c r="S394">
        <v>0</v>
      </c>
      <c r="T394" t="b">
        <v>0</v>
      </c>
      <c r="U394">
        <f>IFERROR(SUM(Table1[[#This Row],[Total day minutes]],Table1[[#This Row],[Total eve minutes]],Table1[[#This Row],[Total night minutes]],Table1[[#This Row],[Total intl minutes]]),0)</f>
        <v>581.6</v>
      </c>
      <c r="V394">
        <f>SUM(Table1[[#This Row],[Total intl charge]],Table1[[#This Row],[Total night charge]],Table1[[#This Row],[Total eve charge]],Table1[[#This Row],[Total day charge]])</f>
        <v>59.81</v>
      </c>
      <c r="W394">
        <f>SUM(Table1[[#This Row],[Total intl calls]],Table1[[#This Row],[Total night calls]],Table1[[#This Row],[Total eve calls]],Table1[[#This Row],[Total day calls]])</f>
        <v>328</v>
      </c>
      <c r="X394" t="str" cm="1">
        <f t="array" ref="X394">_xlfn.IFS(Table1[[#This Row],[Customer service calls]]&gt;=4,"High risk",Table1[[#This Row],[Customer service calls]]&gt;=2,"Medium risk",TRUE,"Low risk")</f>
        <v>Low risk</v>
      </c>
      <c r="Y394" t="str" cm="1">
        <f t="array" ref="Y394">IFERROR(_xlfn.IFS(Table1[[#This Row],[Total usage(Min)]]&gt;=AVERAGE(U:U)*1.1,"High risk",Table1[[#This Row],[Total usage(Min)]]&lt;= AVERAGE(U:U)*0.9,"Low risk",TRUE,"Medium risk"),"N/A")</f>
        <v>Medium risk</v>
      </c>
      <c r="Z394" t="str" cm="1">
        <f t="array" ref="Z394">IFERROR(_xlfn.IFS(Table1[[#This Row],[Total charges]]&gt;=AVERAGE(V:V)*1.1,"High risk",Table1[[#This Row],[Total charges]]&lt;=AVERAGE(V:V)*0.9,"Low risk",TRUE,"Medium risk"),"N/A")</f>
        <v>Medium risk</v>
      </c>
      <c r="AA3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94" t="str" cm="1">
        <f t="array" ref="AC394">_xlfn.IFS(
AND(Table1[[#This Row],[Customer service risk level]]="High risk", Table1[[#This Row],[Intl usage behaviour]]="Unplanned Usage"),"High Risk",
OR(Table1[[#This Row],[Customer service risk level]]="Medium risk", Table1[[#This Row],[Charges risk level]]="High risk "),"Medium Risk",
TRUE,"Low Risk"
)</f>
        <v>Low Risk</v>
      </c>
    </row>
    <row r="395" spans="1:29" x14ac:dyDescent="0.25">
      <c r="A395" t="s">
        <v>36</v>
      </c>
      <c r="B395">
        <v>131</v>
      </c>
      <c r="C395">
        <v>415</v>
      </c>
      <c r="D395" t="s">
        <v>21</v>
      </c>
      <c r="E395" t="s">
        <v>21</v>
      </c>
      <c r="F395">
        <v>0</v>
      </c>
      <c r="G395">
        <v>166.5</v>
      </c>
      <c r="H395">
        <v>129</v>
      </c>
      <c r="I395">
        <v>28.31</v>
      </c>
      <c r="J395">
        <v>210.2</v>
      </c>
      <c r="K395">
        <v>107</v>
      </c>
      <c r="L395">
        <v>17.87</v>
      </c>
      <c r="M395">
        <v>257.2</v>
      </c>
      <c r="N395">
        <v>93</v>
      </c>
      <c r="O395">
        <v>11.57</v>
      </c>
      <c r="P395">
        <v>9.9</v>
      </c>
      <c r="Q395">
        <v>5</v>
      </c>
      <c r="R395">
        <v>2.67</v>
      </c>
      <c r="S395">
        <v>1</v>
      </c>
      <c r="T395" t="b">
        <v>0</v>
      </c>
      <c r="U395">
        <f>IFERROR(SUM(Table1[[#This Row],[Total day minutes]],Table1[[#This Row],[Total eve minutes]],Table1[[#This Row],[Total night minutes]],Table1[[#This Row],[Total intl minutes]]),0)</f>
        <v>643.79999999999995</v>
      </c>
      <c r="V395">
        <f>SUM(Table1[[#This Row],[Total intl charge]],Table1[[#This Row],[Total night charge]],Table1[[#This Row],[Total eve charge]],Table1[[#This Row],[Total day charge]])</f>
        <v>60.42</v>
      </c>
      <c r="W395">
        <f>SUM(Table1[[#This Row],[Total intl calls]],Table1[[#This Row],[Total night calls]],Table1[[#This Row],[Total eve calls]],Table1[[#This Row],[Total day calls]])</f>
        <v>334</v>
      </c>
      <c r="X395" t="str" cm="1">
        <f t="array" ref="X395">_xlfn.IFS(Table1[[#This Row],[Customer service calls]]&gt;=4,"High risk",Table1[[#This Row],[Customer service calls]]&gt;=2,"Medium risk",TRUE,"Low risk")</f>
        <v>Low risk</v>
      </c>
      <c r="Y395" t="str" cm="1">
        <f t="array" ref="Y395">IFERROR(_xlfn.IFS(Table1[[#This Row],[Total usage(Min)]]&gt;=AVERAGE(U:U)*1.1,"High risk",Table1[[#This Row],[Total usage(Min)]]&lt;= AVERAGE(U:U)*0.9,"Low risk",TRUE,"Medium risk"),"N/A")</f>
        <v>Medium risk</v>
      </c>
      <c r="Z395" t="str" cm="1">
        <f t="array" ref="Z395">IFERROR(_xlfn.IFS(Table1[[#This Row],[Total charges]]&gt;=AVERAGE(V:V)*1.1,"High risk",Table1[[#This Row],[Total charges]]&lt;=AVERAGE(V:V)*0.9,"Low risk",TRUE,"Medium risk"),"N/A")</f>
        <v>Medium risk</v>
      </c>
      <c r="AA3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5" t="str" cm="1">
        <f t="array" ref="AC395">_xlfn.IFS(
AND(Table1[[#This Row],[Customer service risk level]]="High risk", Table1[[#This Row],[Intl usage behaviour]]="Unplanned Usage"),"High Risk",
OR(Table1[[#This Row],[Customer service risk level]]="Medium risk", Table1[[#This Row],[Charges risk level]]="High risk "),"Medium Risk",
TRUE,"Low Risk"
)</f>
        <v>Low Risk</v>
      </c>
    </row>
    <row r="396" spans="1:29" x14ac:dyDescent="0.25">
      <c r="A396" t="s">
        <v>42</v>
      </c>
      <c r="B396">
        <v>86</v>
      </c>
      <c r="C396">
        <v>415</v>
      </c>
      <c r="D396" t="s">
        <v>21</v>
      </c>
      <c r="E396" t="s">
        <v>27</v>
      </c>
      <c r="F396">
        <v>29</v>
      </c>
      <c r="G396">
        <v>225.4</v>
      </c>
      <c r="H396">
        <v>79</v>
      </c>
      <c r="I396">
        <v>38.32</v>
      </c>
      <c r="J396">
        <v>187.1</v>
      </c>
      <c r="K396">
        <v>112</v>
      </c>
      <c r="L396">
        <v>15.9</v>
      </c>
      <c r="M396">
        <v>281.10000000000002</v>
      </c>
      <c r="N396">
        <v>112</v>
      </c>
      <c r="O396">
        <v>12.65</v>
      </c>
      <c r="P396">
        <v>12.9</v>
      </c>
      <c r="Q396">
        <v>3</v>
      </c>
      <c r="R396">
        <v>3.48</v>
      </c>
      <c r="S396">
        <v>1</v>
      </c>
      <c r="T396" t="b">
        <v>0</v>
      </c>
      <c r="U396">
        <f>IFERROR(SUM(Table1[[#This Row],[Total day minutes]],Table1[[#This Row],[Total eve minutes]],Table1[[#This Row],[Total night minutes]],Table1[[#This Row],[Total intl minutes]]),0)</f>
        <v>706.5</v>
      </c>
      <c r="V396">
        <f>SUM(Table1[[#This Row],[Total intl charge]],Table1[[#This Row],[Total night charge]],Table1[[#This Row],[Total eve charge]],Table1[[#This Row],[Total day charge]])</f>
        <v>70.349999999999994</v>
      </c>
      <c r="W396">
        <f>SUM(Table1[[#This Row],[Total intl calls]],Table1[[#This Row],[Total night calls]],Table1[[#This Row],[Total eve calls]],Table1[[#This Row],[Total day calls]])</f>
        <v>306</v>
      </c>
      <c r="X396" t="str" cm="1">
        <f t="array" ref="X396">_xlfn.IFS(Table1[[#This Row],[Customer service calls]]&gt;=4,"High risk",Table1[[#This Row],[Customer service calls]]&gt;=2,"Medium risk",TRUE,"Low risk")</f>
        <v>Low risk</v>
      </c>
      <c r="Y396" t="str" cm="1">
        <f t="array" ref="Y396">IFERROR(_xlfn.IFS(Table1[[#This Row],[Total usage(Min)]]&gt;=AVERAGE(U:U)*1.1,"High risk",Table1[[#This Row],[Total usage(Min)]]&lt;= AVERAGE(U:U)*0.9,"Low risk",TRUE,"Medium risk"),"N/A")</f>
        <v>High risk</v>
      </c>
      <c r="Z396" t="str" cm="1">
        <f t="array" ref="Z396">IFERROR(_xlfn.IFS(Table1[[#This Row],[Total charges]]&gt;=AVERAGE(V:V)*1.1,"High risk",Table1[[#This Row],[Total charges]]&lt;=AVERAGE(V:V)*0.9,"Low risk",TRUE,"Medium risk"),"N/A")</f>
        <v>High risk</v>
      </c>
      <c r="AA3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96" t="str" cm="1">
        <f t="array" ref="AC396">_xlfn.IFS(
AND(Table1[[#This Row],[Customer service risk level]]="High risk", Table1[[#This Row],[Intl usage behaviour]]="Unplanned Usage"),"High Risk",
OR(Table1[[#This Row],[Customer service risk level]]="Medium risk", Table1[[#This Row],[Charges risk level]]="High risk "),"Medium Risk",
TRUE,"Low Risk"
)</f>
        <v>Low Risk</v>
      </c>
    </row>
    <row r="397" spans="1:29" x14ac:dyDescent="0.25">
      <c r="A397" t="s">
        <v>44</v>
      </c>
      <c r="B397">
        <v>85</v>
      </c>
      <c r="C397">
        <v>415</v>
      </c>
      <c r="D397" t="s">
        <v>21</v>
      </c>
      <c r="E397" t="s">
        <v>21</v>
      </c>
      <c r="F397">
        <v>0</v>
      </c>
      <c r="G397">
        <v>210.3</v>
      </c>
      <c r="H397">
        <v>66</v>
      </c>
      <c r="I397">
        <v>35.75</v>
      </c>
      <c r="J397">
        <v>195.8</v>
      </c>
      <c r="K397">
        <v>76</v>
      </c>
      <c r="L397">
        <v>16.64</v>
      </c>
      <c r="M397">
        <v>221.6</v>
      </c>
      <c r="N397">
        <v>82</v>
      </c>
      <c r="O397">
        <v>9.9700000000000006</v>
      </c>
      <c r="P397">
        <v>11.2</v>
      </c>
      <c r="Q397">
        <v>7</v>
      </c>
      <c r="R397">
        <v>3.02</v>
      </c>
      <c r="S397">
        <v>1</v>
      </c>
      <c r="T397" t="b">
        <v>0</v>
      </c>
      <c r="U397">
        <f>IFERROR(SUM(Table1[[#This Row],[Total day minutes]],Table1[[#This Row],[Total eve minutes]],Table1[[#This Row],[Total night minutes]],Table1[[#This Row],[Total intl minutes]]),0)</f>
        <v>638.90000000000009</v>
      </c>
      <c r="V397">
        <f>SUM(Table1[[#This Row],[Total intl charge]],Table1[[#This Row],[Total night charge]],Table1[[#This Row],[Total eve charge]],Table1[[#This Row],[Total day charge]])</f>
        <v>65.38</v>
      </c>
      <c r="W397">
        <f>SUM(Table1[[#This Row],[Total intl calls]],Table1[[#This Row],[Total night calls]],Table1[[#This Row],[Total eve calls]],Table1[[#This Row],[Total day calls]])</f>
        <v>231</v>
      </c>
      <c r="X397" t="str" cm="1">
        <f t="array" ref="X397">_xlfn.IFS(Table1[[#This Row],[Customer service calls]]&gt;=4,"High risk",Table1[[#This Row],[Customer service calls]]&gt;=2,"Medium risk",TRUE,"Low risk")</f>
        <v>Low risk</v>
      </c>
      <c r="Y397" t="str" cm="1">
        <f t="array" ref="Y397">IFERROR(_xlfn.IFS(Table1[[#This Row],[Total usage(Min)]]&gt;=AVERAGE(U:U)*1.1,"High risk",Table1[[#This Row],[Total usage(Min)]]&lt;= AVERAGE(U:U)*0.9,"Low risk",TRUE,"Medium risk"),"N/A")</f>
        <v>Medium risk</v>
      </c>
      <c r="Z397" t="str" cm="1">
        <f t="array" ref="Z397">IFERROR(_xlfn.IFS(Table1[[#This Row],[Total charges]]&gt;=AVERAGE(V:V)*1.1,"High risk",Table1[[#This Row],[Total charges]]&lt;=AVERAGE(V:V)*0.9,"Low risk",TRUE,"Medium risk"),"N/A")</f>
        <v>Medium risk</v>
      </c>
      <c r="AA3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7" t="str" cm="1">
        <f t="array" ref="AC397">_xlfn.IFS(
AND(Table1[[#This Row],[Customer service risk level]]="High risk", Table1[[#This Row],[Intl usage behaviour]]="Unplanned Usage"),"High Risk",
OR(Table1[[#This Row],[Customer service risk level]]="Medium risk", Table1[[#This Row],[Charges risk level]]="High risk "),"Medium Risk",
TRUE,"Low Risk"
)</f>
        <v>Low Risk</v>
      </c>
    </row>
    <row r="398" spans="1:29" x14ac:dyDescent="0.25">
      <c r="A398" t="s">
        <v>33</v>
      </c>
      <c r="B398">
        <v>195</v>
      </c>
      <c r="C398">
        <v>415</v>
      </c>
      <c r="D398" t="s">
        <v>21</v>
      </c>
      <c r="E398" t="s">
        <v>27</v>
      </c>
      <c r="F398">
        <v>36</v>
      </c>
      <c r="G398">
        <v>231.7</v>
      </c>
      <c r="H398">
        <v>110</v>
      </c>
      <c r="I398">
        <v>39.39</v>
      </c>
      <c r="J398">
        <v>225.1</v>
      </c>
      <c r="K398">
        <v>88</v>
      </c>
      <c r="L398">
        <v>19.13</v>
      </c>
      <c r="M398">
        <v>201.7</v>
      </c>
      <c r="N398">
        <v>89</v>
      </c>
      <c r="O398">
        <v>9.08</v>
      </c>
      <c r="P398">
        <v>12.1</v>
      </c>
      <c r="Q398">
        <v>2</v>
      </c>
      <c r="R398">
        <v>3.27</v>
      </c>
      <c r="S398">
        <v>0</v>
      </c>
      <c r="T398" t="b">
        <v>0</v>
      </c>
      <c r="U398">
        <f>IFERROR(SUM(Table1[[#This Row],[Total day minutes]],Table1[[#This Row],[Total eve minutes]],Table1[[#This Row],[Total night minutes]],Table1[[#This Row],[Total intl minutes]]),0)</f>
        <v>670.6</v>
      </c>
      <c r="V398">
        <f>SUM(Table1[[#This Row],[Total intl charge]],Table1[[#This Row],[Total night charge]],Table1[[#This Row],[Total eve charge]],Table1[[#This Row],[Total day charge]])</f>
        <v>70.87</v>
      </c>
      <c r="W398">
        <f>SUM(Table1[[#This Row],[Total intl calls]],Table1[[#This Row],[Total night calls]],Table1[[#This Row],[Total eve calls]],Table1[[#This Row],[Total day calls]])</f>
        <v>289</v>
      </c>
      <c r="X398" t="str" cm="1">
        <f t="array" ref="X398">_xlfn.IFS(Table1[[#This Row],[Customer service calls]]&gt;=4,"High risk",Table1[[#This Row],[Customer service calls]]&gt;=2,"Medium risk",TRUE,"Low risk")</f>
        <v>Low risk</v>
      </c>
      <c r="Y398" t="str" cm="1">
        <f t="array" ref="Y398">IFERROR(_xlfn.IFS(Table1[[#This Row],[Total usage(Min)]]&gt;=AVERAGE(U:U)*1.1,"High risk",Table1[[#This Row],[Total usage(Min)]]&lt;= AVERAGE(U:U)*0.9,"Low risk",TRUE,"Medium risk"),"N/A")</f>
        <v>High risk</v>
      </c>
      <c r="Z398" t="str" cm="1">
        <f t="array" ref="Z398">IFERROR(_xlfn.IFS(Table1[[#This Row],[Total charges]]&gt;=AVERAGE(V:V)*1.1,"High risk",Table1[[#This Row],[Total charges]]&lt;=AVERAGE(V:V)*0.9,"Low risk",TRUE,"Medium risk"),"N/A")</f>
        <v>High risk</v>
      </c>
      <c r="AA3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398" t="str" cm="1">
        <f t="array" ref="AC398">_xlfn.IFS(
AND(Table1[[#This Row],[Customer service risk level]]="High risk", Table1[[#This Row],[Intl usage behaviour]]="Unplanned Usage"),"High Risk",
OR(Table1[[#This Row],[Customer service risk level]]="Medium risk", Table1[[#This Row],[Charges risk level]]="High risk "),"Medium Risk",
TRUE,"Low Risk"
)</f>
        <v>Low Risk</v>
      </c>
    </row>
    <row r="399" spans="1:29" x14ac:dyDescent="0.25">
      <c r="A399" t="s">
        <v>68</v>
      </c>
      <c r="B399">
        <v>177</v>
      </c>
      <c r="C399">
        <v>408</v>
      </c>
      <c r="D399" t="s">
        <v>21</v>
      </c>
      <c r="E399" t="s">
        <v>21</v>
      </c>
      <c r="F399">
        <v>0</v>
      </c>
      <c r="G399">
        <v>189.5</v>
      </c>
      <c r="H399">
        <v>99</v>
      </c>
      <c r="I399">
        <v>32.22</v>
      </c>
      <c r="J399">
        <v>176.3</v>
      </c>
      <c r="K399">
        <v>117</v>
      </c>
      <c r="L399">
        <v>14.99</v>
      </c>
      <c r="M399">
        <v>225.9</v>
      </c>
      <c r="N399">
        <v>112</v>
      </c>
      <c r="O399">
        <v>10.17</v>
      </c>
      <c r="P399">
        <v>14.2</v>
      </c>
      <c r="Q399">
        <v>2</v>
      </c>
      <c r="R399">
        <v>3.83</v>
      </c>
      <c r="S399">
        <v>1</v>
      </c>
      <c r="T399" t="b">
        <v>0</v>
      </c>
      <c r="U399">
        <f>IFERROR(SUM(Table1[[#This Row],[Total day minutes]],Table1[[#This Row],[Total eve minutes]],Table1[[#This Row],[Total night minutes]],Table1[[#This Row],[Total intl minutes]]),0)</f>
        <v>605.90000000000009</v>
      </c>
      <c r="V399">
        <f>SUM(Table1[[#This Row],[Total intl charge]],Table1[[#This Row],[Total night charge]],Table1[[#This Row],[Total eve charge]],Table1[[#This Row],[Total day charge]])</f>
        <v>61.21</v>
      </c>
      <c r="W399">
        <f>SUM(Table1[[#This Row],[Total intl calls]],Table1[[#This Row],[Total night calls]],Table1[[#This Row],[Total eve calls]],Table1[[#This Row],[Total day calls]])</f>
        <v>330</v>
      </c>
      <c r="X399" t="str" cm="1">
        <f t="array" ref="X399">_xlfn.IFS(Table1[[#This Row],[Customer service calls]]&gt;=4,"High risk",Table1[[#This Row],[Customer service calls]]&gt;=2,"Medium risk",TRUE,"Low risk")</f>
        <v>Low risk</v>
      </c>
      <c r="Y399" t="str" cm="1">
        <f t="array" ref="Y399">IFERROR(_xlfn.IFS(Table1[[#This Row],[Total usage(Min)]]&gt;=AVERAGE(U:U)*1.1,"High risk",Table1[[#This Row],[Total usage(Min)]]&lt;= AVERAGE(U:U)*0.9,"Low risk",TRUE,"Medium risk"),"N/A")</f>
        <v>Medium risk</v>
      </c>
      <c r="Z399" t="str" cm="1">
        <f t="array" ref="Z399">IFERROR(_xlfn.IFS(Table1[[#This Row],[Total charges]]&gt;=AVERAGE(V:V)*1.1,"High risk",Table1[[#This Row],[Total charges]]&lt;=AVERAGE(V:V)*0.9,"Low risk",TRUE,"Medium risk"),"N/A")</f>
        <v>Medium risk</v>
      </c>
      <c r="AA3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39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399" t="str" cm="1">
        <f t="array" ref="AC399">_xlfn.IFS(
AND(Table1[[#This Row],[Customer service risk level]]="High risk", Table1[[#This Row],[Intl usage behaviour]]="Unplanned Usage"),"High Risk",
OR(Table1[[#This Row],[Customer service risk level]]="Medium risk", Table1[[#This Row],[Charges risk level]]="High risk "),"Medium Risk",
TRUE,"Low Risk"
)</f>
        <v>Low Risk</v>
      </c>
    </row>
    <row r="400" spans="1:29" x14ac:dyDescent="0.25">
      <c r="A400" t="s">
        <v>40</v>
      </c>
      <c r="B400">
        <v>100</v>
      </c>
      <c r="C400">
        <v>408</v>
      </c>
      <c r="D400" t="s">
        <v>21</v>
      </c>
      <c r="E400" t="s">
        <v>21</v>
      </c>
      <c r="F400">
        <v>0</v>
      </c>
      <c r="G400">
        <v>70.8</v>
      </c>
      <c r="H400">
        <v>94</v>
      </c>
      <c r="I400">
        <v>12.04</v>
      </c>
      <c r="J400">
        <v>215.6</v>
      </c>
      <c r="K400">
        <v>102</v>
      </c>
      <c r="L400">
        <v>18.329999999999998</v>
      </c>
      <c r="M400">
        <v>230.8</v>
      </c>
      <c r="N400">
        <v>125</v>
      </c>
      <c r="O400">
        <v>10.39</v>
      </c>
      <c r="P400">
        <v>9.5</v>
      </c>
      <c r="Q400">
        <v>1</v>
      </c>
      <c r="R400">
        <v>2.57</v>
      </c>
      <c r="S400">
        <v>6</v>
      </c>
      <c r="T400" t="b">
        <v>1</v>
      </c>
      <c r="U400">
        <f>IFERROR(SUM(Table1[[#This Row],[Total day minutes]],Table1[[#This Row],[Total eve minutes]],Table1[[#This Row],[Total night minutes]],Table1[[#This Row],[Total intl minutes]]),0)</f>
        <v>526.70000000000005</v>
      </c>
      <c r="V400">
        <f>SUM(Table1[[#This Row],[Total intl charge]],Table1[[#This Row],[Total night charge]],Table1[[#This Row],[Total eve charge]],Table1[[#This Row],[Total day charge]])</f>
        <v>43.33</v>
      </c>
      <c r="W400">
        <f>SUM(Table1[[#This Row],[Total intl calls]],Table1[[#This Row],[Total night calls]],Table1[[#This Row],[Total eve calls]],Table1[[#This Row],[Total day calls]])</f>
        <v>322</v>
      </c>
      <c r="X400" t="str" cm="1">
        <f t="array" ref="X400">_xlfn.IFS(Table1[[#This Row],[Customer service calls]]&gt;=4,"High risk",Table1[[#This Row],[Customer service calls]]&gt;=2,"Medium risk",TRUE,"Low risk")</f>
        <v>High risk</v>
      </c>
      <c r="Y400" t="str" cm="1">
        <f t="array" ref="Y400">IFERROR(_xlfn.IFS(Table1[[#This Row],[Total usage(Min)]]&gt;=AVERAGE(U:U)*1.1,"High risk",Table1[[#This Row],[Total usage(Min)]]&lt;= AVERAGE(U:U)*0.9,"Low risk",TRUE,"Medium risk"),"N/A")</f>
        <v>Low risk</v>
      </c>
      <c r="Z400" t="str" cm="1">
        <f t="array" ref="Z400">IFERROR(_xlfn.IFS(Table1[[#This Row],[Total charges]]&gt;=AVERAGE(V:V)*1.1,"High risk",Table1[[#This Row],[Total charges]]&lt;=AVERAGE(V:V)*0.9,"Low risk",TRUE,"Medium risk"),"N/A")</f>
        <v>Low risk</v>
      </c>
      <c r="AA4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0" t="str" cm="1">
        <f t="array" ref="AC400">_xlfn.IFS(
AND(Table1[[#This Row],[Customer service risk level]]="High risk", Table1[[#This Row],[Intl usage behaviour]]="Unplanned Usage"),"High Risk",
OR(Table1[[#This Row],[Customer service risk level]]="Medium risk", Table1[[#This Row],[Charges risk level]]="High risk "),"Medium Risk",
TRUE,"Low Risk"
)</f>
        <v>High Risk</v>
      </c>
    </row>
    <row r="401" spans="1:29" x14ac:dyDescent="0.25">
      <c r="A401" t="s">
        <v>56</v>
      </c>
      <c r="B401">
        <v>124</v>
      </c>
      <c r="C401">
        <v>415</v>
      </c>
      <c r="D401" t="s">
        <v>21</v>
      </c>
      <c r="E401" t="s">
        <v>21</v>
      </c>
      <c r="F401">
        <v>0</v>
      </c>
      <c r="G401">
        <v>131.80000000000001</v>
      </c>
      <c r="H401">
        <v>82</v>
      </c>
      <c r="I401">
        <v>22.41</v>
      </c>
      <c r="J401">
        <v>284.3</v>
      </c>
      <c r="K401">
        <v>119</v>
      </c>
      <c r="L401">
        <v>24.17</v>
      </c>
      <c r="M401">
        <v>305.5</v>
      </c>
      <c r="N401">
        <v>101</v>
      </c>
      <c r="O401">
        <v>13.75</v>
      </c>
      <c r="P401">
        <v>11.3</v>
      </c>
      <c r="Q401">
        <v>2</v>
      </c>
      <c r="R401">
        <v>3.05</v>
      </c>
      <c r="S401">
        <v>1</v>
      </c>
      <c r="T401" t="b">
        <v>0</v>
      </c>
      <c r="U401">
        <f>IFERROR(SUM(Table1[[#This Row],[Total day minutes]],Table1[[#This Row],[Total eve minutes]],Table1[[#This Row],[Total night minutes]],Table1[[#This Row],[Total intl minutes]]),0)</f>
        <v>732.9</v>
      </c>
      <c r="V401">
        <f>SUM(Table1[[#This Row],[Total intl charge]],Table1[[#This Row],[Total night charge]],Table1[[#This Row],[Total eve charge]],Table1[[#This Row],[Total day charge]])</f>
        <v>63.379999999999995</v>
      </c>
      <c r="W401">
        <f>SUM(Table1[[#This Row],[Total intl calls]],Table1[[#This Row],[Total night calls]],Table1[[#This Row],[Total eve calls]],Table1[[#This Row],[Total day calls]])</f>
        <v>304</v>
      </c>
      <c r="X401" t="str" cm="1">
        <f t="array" ref="X401">_xlfn.IFS(Table1[[#This Row],[Customer service calls]]&gt;=4,"High risk",Table1[[#This Row],[Customer service calls]]&gt;=2,"Medium risk",TRUE,"Low risk")</f>
        <v>Low risk</v>
      </c>
      <c r="Y401" t="str" cm="1">
        <f t="array" ref="Y401">IFERROR(_xlfn.IFS(Table1[[#This Row],[Total usage(Min)]]&gt;=AVERAGE(U:U)*1.1,"High risk",Table1[[#This Row],[Total usage(Min)]]&lt;= AVERAGE(U:U)*0.9,"Low risk",TRUE,"Medium risk"),"N/A")</f>
        <v>High risk</v>
      </c>
      <c r="Z401" t="str" cm="1">
        <f t="array" ref="Z401">IFERROR(_xlfn.IFS(Table1[[#This Row],[Total charges]]&gt;=AVERAGE(V:V)*1.1,"High risk",Table1[[#This Row],[Total charges]]&lt;=AVERAGE(V:V)*0.9,"Low risk",TRUE,"Medium risk"),"N/A")</f>
        <v>Medium risk</v>
      </c>
      <c r="AA4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1" t="str" cm="1">
        <f t="array" ref="AC401">_xlfn.IFS(
AND(Table1[[#This Row],[Customer service risk level]]="High risk", Table1[[#This Row],[Intl usage behaviour]]="Unplanned Usage"),"High Risk",
OR(Table1[[#This Row],[Customer service risk level]]="Medium risk", Table1[[#This Row],[Charges risk level]]="High risk "),"Medium Risk",
TRUE,"Low Risk"
)</f>
        <v>Low Risk</v>
      </c>
    </row>
    <row r="402" spans="1:29" x14ac:dyDescent="0.25">
      <c r="A402" t="s">
        <v>58</v>
      </c>
      <c r="B402">
        <v>81</v>
      </c>
      <c r="C402">
        <v>510</v>
      </c>
      <c r="D402" t="s">
        <v>27</v>
      </c>
      <c r="E402" t="s">
        <v>21</v>
      </c>
      <c r="F402">
        <v>0</v>
      </c>
      <c r="G402">
        <v>250.6</v>
      </c>
      <c r="H402">
        <v>85</v>
      </c>
      <c r="I402">
        <v>42.6</v>
      </c>
      <c r="J402">
        <v>187.9</v>
      </c>
      <c r="K402">
        <v>50</v>
      </c>
      <c r="L402">
        <v>15.97</v>
      </c>
      <c r="M402">
        <v>120.3</v>
      </c>
      <c r="N402">
        <v>131</v>
      </c>
      <c r="O402">
        <v>5.41</v>
      </c>
      <c r="P402">
        <v>7.8</v>
      </c>
      <c r="Q402">
        <v>5</v>
      </c>
      <c r="R402">
        <v>2.11</v>
      </c>
      <c r="S402">
        <v>1</v>
      </c>
      <c r="T402" t="b">
        <v>0</v>
      </c>
      <c r="U402">
        <f>IFERROR(SUM(Table1[[#This Row],[Total day minutes]],Table1[[#This Row],[Total eve minutes]],Table1[[#This Row],[Total night minutes]],Table1[[#This Row],[Total intl minutes]]),0)</f>
        <v>566.59999999999991</v>
      </c>
      <c r="V402">
        <f>SUM(Table1[[#This Row],[Total intl charge]],Table1[[#This Row],[Total night charge]],Table1[[#This Row],[Total eve charge]],Table1[[#This Row],[Total day charge]])</f>
        <v>66.09</v>
      </c>
      <c r="W402">
        <f>SUM(Table1[[#This Row],[Total intl calls]],Table1[[#This Row],[Total night calls]],Table1[[#This Row],[Total eve calls]],Table1[[#This Row],[Total day calls]])</f>
        <v>271</v>
      </c>
      <c r="X402" t="str" cm="1">
        <f t="array" ref="X402">_xlfn.IFS(Table1[[#This Row],[Customer service calls]]&gt;=4,"High risk",Table1[[#This Row],[Customer service calls]]&gt;=2,"Medium risk",TRUE,"Low risk")</f>
        <v>Low risk</v>
      </c>
      <c r="Y402" t="str" cm="1">
        <f t="array" ref="Y402">IFERROR(_xlfn.IFS(Table1[[#This Row],[Total usage(Min)]]&gt;=AVERAGE(U:U)*1.1,"High risk",Table1[[#This Row],[Total usage(Min)]]&lt;= AVERAGE(U:U)*0.9,"Low risk",TRUE,"Medium risk"),"N/A")</f>
        <v>Medium risk</v>
      </c>
      <c r="Z402" t="str" cm="1">
        <f t="array" ref="Z402">IFERROR(_xlfn.IFS(Table1[[#This Row],[Total charges]]&gt;=AVERAGE(V:V)*1.1,"High risk",Table1[[#This Row],[Total charges]]&lt;=AVERAGE(V:V)*0.9,"Low risk",TRUE,"Medium risk"),"N/A")</f>
        <v>High risk</v>
      </c>
      <c r="AA4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2" t="str" cm="1">
        <f t="array" ref="AC402">_xlfn.IFS(
AND(Table1[[#This Row],[Customer service risk level]]="High risk", Table1[[#This Row],[Intl usage behaviour]]="Unplanned Usage"),"High Risk",
OR(Table1[[#This Row],[Customer service risk level]]="Medium risk", Table1[[#This Row],[Charges risk level]]="High risk "),"Medium Risk",
TRUE,"Low Risk"
)</f>
        <v>Low Risk</v>
      </c>
    </row>
    <row r="403" spans="1:29" x14ac:dyDescent="0.25">
      <c r="A403" t="s">
        <v>25</v>
      </c>
      <c r="B403">
        <v>105</v>
      </c>
      <c r="C403">
        <v>415</v>
      </c>
      <c r="D403" t="s">
        <v>21</v>
      </c>
      <c r="E403" t="s">
        <v>21</v>
      </c>
      <c r="F403">
        <v>0</v>
      </c>
      <c r="G403">
        <v>281.3</v>
      </c>
      <c r="H403">
        <v>124</v>
      </c>
      <c r="I403">
        <v>47.82</v>
      </c>
      <c r="J403">
        <v>301.5</v>
      </c>
      <c r="K403">
        <v>96</v>
      </c>
      <c r="L403">
        <v>25.63</v>
      </c>
      <c r="M403">
        <v>202.8</v>
      </c>
      <c r="N403">
        <v>109</v>
      </c>
      <c r="O403">
        <v>9.1300000000000008</v>
      </c>
      <c r="P403">
        <v>8.6999999999999993</v>
      </c>
      <c r="Q403">
        <v>3</v>
      </c>
      <c r="R403">
        <v>2.35</v>
      </c>
      <c r="S403">
        <v>0</v>
      </c>
      <c r="T403" t="b">
        <v>1</v>
      </c>
      <c r="U403">
        <f>IFERROR(SUM(Table1[[#This Row],[Total day minutes]],Table1[[#This Row],[Total eve minutes]],Table1[[#This Row],[Total night minutes]],Table1[[#This Row],[Total intl minutes]]),0)</f>
        <v>794.3</v>
      </c>
      <c r="V403">
        <f>SUM(Table1[[#This Row],[Total intl charge]],Table1[[#This Row],[Total night charge]],Table1[[#This Row],[Total eve charge]],Table1[[#This Row],[Total day charge]])</f>
        <v>84.93</v>
      </c>
      <c r="W403">
        <f>SUM(Table1[[#This Row],[Total intl calls]],Table1[[#This Row],[Total night calls]],Table1[[#This Row],[Total eve calls]],Table1[[#This Row],[Total day calls]])</f>
        <v>332</v>
      </c>
      <c r="X403" t="str" cm="1">
        <f t="array" ref="X403">_xlfn.IFS(Table1[[#This Row],[Customer service calls]]&gt;=4,"High risk",Table1[[#This Row],[Customer service calls]]&gt;=2,"Medium risk",TRUE,"Low risk")</f>
        <v>Low risk</v>
      </c>
      <c r="Y403" t="str" cm="1">
        <f t="array" ref="Y403">IFERROR(_xlfn.IFS(Table1[[#This Row],[Total usage(Min)]]&gt;=AVERAGE(U:U)*1.1,"High risk",Table1[[#This Row],[Total usage(Min)]]&lt;= AVERAGE(U:U)*0.9,"Low risk",TRUE,"Medium risk"),"N/A")</f>
        <v>High risk</v>
      </c>
      <c r="Z403" t="str" cm="1">
        <f t="array" ref="Z403">IFERROR(_xlfn.IFS(Table1[[#This Row],[Total charges]]&gt;=AVERAGE(V:V)*1.1,"High risk",Table1[[#This Row],[Total charges]]&lt;=AVERAGE(V:V)*0.9,"Low risk",TRUE,"Medium risk"),"N/A")</f>
        <v>High risk</v>
      </c>
      <c r="AA4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3" t="str" cm="1">
        <f t="array" ref="AC403">_xlfn.IFS(
AND(Table1[[#This Row],[Customer service risk level]]="High risk", Table1[[#This Row],[Intl usage behaviour]]="Unplanned Usage"),"High Risk",
OR(Table1[[#This Row],[Customer service risk level]]="Medium risk", Table1[[#This Row],[Charges risk level]]="High risk "),"Medium Risk",
TRUE,"Low Risk"
)</f>
        <v>Low Risk</v>
      </c>
    </row>
    <row r="404" spans="1:29" x14ac:dyDescent="0.25">
      <c r="A404" t="s">
        <v>28</v>
      </c>
      <c r="B404">
        <v>126</v>
      </c>
      <c r="C404">
        <v>415</v>
      </c>
      <c r="D404" t="s">
        <v>27</v>
      </c>
      <c r="E404" t="s">
        <v>27</v>
      </c>
      <c r="F404">
        <v>26</v>
      </c>
      <c r="G404">
        <v>129.30000000000001</v>
      </c>
      <c r="H404">
        <v>123</v>
      </c>
      <c r="I404">
        <v>21.98</v>
      </c>
      <c r="J404">
        <v>176.5</v>
      </c>
      <c r="K404">
        <v>114</v>
      </c>
      <c r="L404">
        <v>15</v>
      </c>
      <c r="M404">
        <v>154.5</v>
      </c>
      <c r="N404">
        <v>102</v>
      </c>
      <c r="O404">
        <v>6.95</v>
      </c>
      <c r="P404">
        <v>9.6</v>
      </c>
      <c r="Q404">
        <v>7</v>
      </c>
      <c r="R404">
        <v>2.59</v>
      </c>
      <c r="S404">
        <v>1</v>
      </c>
      <c r="T404" t="b">
        <v>0</v>
      </c>
      <c r="U404">
        <f>IFERROR(SUM(Table1[[#This Row],[Total day minutes]],Table1[[#This Row],[Total eve minutes]],Table1[[#This Row],[Total night minutes]],Table1[[#This Row],[Total intl minutes]]),0)</f>
        <v>469.90000000000003</v>
      </c>
      <c r="V404">
        <f>SUM(Table1[[#This Row],[Total intl charge]],Table1[[#This Row],[Total night charge]],Table1[[#This Row],[Total eve charge]],Table1[[#This Row],[Total day charge]])</f>
        <v>46.519999999999996</v>
      </c>
      <c r="W404">
        <f>SUM(Table1[[#This Row],[Total intl calls]],Table1[[#This Row],[Total night calls]],Table1[[#This Row],[Total eve calls]],Table1[[#This Row],[Total day calls]])</f>
        <v>346</v>
      </c>
      <c r="X404" t="str" cm="1">
        <f t="array" ref="X404">_xlfn.IFS(Table1[[#This Row],[Customer service calls]]&gt;=4,"High risk",Table1[[#This Row],[Customer service calls]]&gt;=2,"Medium risk",TRUE,"Low risk")</f>
        <v>Low risk</v>
      </c>
      <c r="Y404" t="str" cm="1">
        <f t="array" ref="Y404">IFERROR(_xlfn.IFS(Table1[[#This Row],[Total usage(Min)]]&gt;=AVERAGE(U:U)*1.1,"High risk",Table1[[#This Row],[Total usage(Min)]]&lt;= AVERAGE(U:U)*0.9,"Low risk",TRUE,"Medium risk"),"N/A")</f>
        <v>Low risk</v>
      </c>
      <c r="Z404" t="str" cm="1">
        <f t="array" ref="Z404">IFERROR(_xlfn.IFS(Table1[[#This Row],[Total charges]]&gt;=AVERAGE(V:V)*1.1,"High risk",Table1[[#This Row],[Total charges]]&lt;=AVERAGE(V:V)*0.9,"Low risk",TRUE,"Medium risk"),"N/A")</f>
        <v>Low risk</v>
      </c>
      <c r="AA4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0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04" t="str" cm="1">
        <f t="array" ref="AC404">_xlfn.IFS(
AND(Table1[[#This Row],[Customer service risk level]]="High risk", Table1[[#This Row],[Intl usage behaviour]]="Unplanned Usage"),"High Risk",
OR(Table1[[#This Row],[Customer service risk level]]="Medium risk", Table1[[#This Row],[Charges risk level]]="High risk "),"Medium Risk",
TRUE,"Low Risk"
)</f>
        <v>Low Risk</v>
      </c>
    </row>
    <row r="405" spans="1:29" x14ac:dyDescent="0.25">
      <c r="A405" t="s">
        <v>68</v>
      </c>
      <c r="B405">
        <v>71</v>
      </c>
      <c r="C405">
        <v>510</v>
      </c>
      <c r="D405" t="s">
        <v>21</v>
      </c>
      <c r="E405" t="s">
        <v>21</v>
      </c>
      <c r="F405">
        <v>0</v>
      </c>
      <c r="G405">
        <v>238</v>
      </c>
      <c r="H405">
        <v>82</v>
      </c>
      <c r="I405">
        <v>40.46</v>
      </c>
      <c r="J405">
        <v>278.5</v>
      </c>
      <c r="K405">
        <v>94</v>
      </c>
      <c r="L405">
        <v>23.67</v>
      </c>
      <c r="M405">
        <v>193.1</v>
      </c>
      <c r="N405">
        <v>134</v>
      </c>
      <c r="O405">
        <v>8.69</v>
      </c>
      <c r="P405">
        <v>11.8</v>
      </c>
      <c r="Q405">
        <v>10</v>
      </c>
      <c r="R405">
        <v>3.19</v>
      </c>
      <c r="S405">
        <v>0</v>
      </c>
      <c r="T405" t="b">
        <v>1</v>
      </c>
      <c r="U405">
        <f>IFERROR(SUM(Table1[[#This Row],[Total day minutes]],Table1[[#This Row],[Total eve minutes]],Table1[[#This Row],[Total night minutes]],Table1[[#This Row],[Total intl minutes]]),0)</f>
        <v>721.4</v>
      </c>
      <c r="V405">
        <f>SUM(Table1[[#This Row],[Total intl charge]],Table1[[#This Row],[Total night charge]],Table1[[#This Row],[Total eve charge]],Table1[[#This Row],[Total day charge]])</f>
        <v>76.009999999999991</v>
      </c>
      <c r="W405">
        <f>SUM(Table1[[#This Row],[Total intl calls]],Table1[[#This Row],[Total night calls]],Table1[[#This Row],[Total eve calls]],Table1[[#This Row],[Total day calls]])</f>
        <v>320</v>
      </c>
      <c r="X405" t="str" cm="1">
        <f t="array" ref="X405">_xlfn.IFS(Table1[[#This Row],[Customer service calls]]&gt;=4,"High risk",Table1[[#This Row],[Customer service calls]]&gt;=2,"Medium risk",TRUE,"Low risk")</f>
        <v>Low risk</v>
      </c>
      <c r="Y405" t="str" cm="1">
        <f t="array" ref="Y405">IFERROR(_xlfn.IFS(Table1[[#This Row],[Total usage(Min)]]&gt;=AVERAGE(U:U)*1.1,"High risk",Table1[[#This Row],[Total usage(Min)]]&lt;= AVERAGE(U:U)*0.9,"Low risk",TRUE,"Medium risk"),"N/A")</f>
        <v>High risk</v>
      </c>
      <c r="Z405" t="str" cm="1">
        <f t="array" ref="Z405">IFERROR(_xlfn.IFS(Table1[[#This Row],[Total charges]]&gt;=AVERAGE(V:V)*1.1,"High risk",Table1[[#This Row],[Total charges]]&lt;=AVERAGE(V:V)*0.9,"Low risk",TRUE,"Medium risk"),"N/A")</f>
        <v>High risk</v>
      </c>
      <c r="AA4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5" t="str" cm="1">
        <f t="array" ref="AC405">_xlfn.IFS(
AND(Table1[[#This Row],[Customer service risk level]]="High risk", Table1[[#This Row],[Intl usage behaviour]]="Unplanned Usage"),"High Risk",
OR(Table1[[#This Row],[Customer service risk level]]="Medium risk", Table1[[#This Row],[Charges risk level]]="High risk "),"Medium Risk",
TRUE,"Low Risk"
)</f>
        <v>Low Risk</v>
      </c>
    </row>
    <row r="406" spans="1:29" x14ac:dyDescent="0.25">
      <c r="A406" t="s">
        <v>41</v>
      </c>
      <c r="B406">
        <v>139</v>
      </c>
      <c r="C406">
        <v>415</v>
      </c>
      <c r="D406" t="s">
        <v>21</v>
      </c>
      <c r="E406" t="s">
        <v>21</v>
      </c>
      <c r="F406">
        <v>0</v>
      </c>
      <c r="G406">
        <v>211.1</v>
      </c>
      <c r="H406">
        <v>103</v>
      </c>
      <c r="I406">
        <v>35.89</v>
      </c>
      <c r="J406">
        <v>206.9</v>
      </c>
      <c r="K406">
        <v>108</v>
      </c>
      <c r="L406">
        <v>17.59</v>
      </c>
      <c r="M406">
        <v>193.9</v>
      </c>
      <c r="N406">
        <v>70</v>
      </c>
      <c r="O406">
        <v>8.73</v>
      </c>
      <c r="P406">
        <v>5.6</v>
      </c>
      <c r="Q406">
        <v>4</v>
      </c>
      <c r="R406">
        <v>1.51</v>
      </c>
      <c r="S406">
        <v>0</v>
      </c>
      <c r="T406" t="b">
        <v>0</v>
      </c>
      <c r="U406">
        <f>IFERROR(SUM(Table1[[#This Row],[Total day minutes]],Table1[[#This Row],[Total eve minutes]],Table1[[#This Row],[Total night minutes]],Table1[[#This Row],[Total intl minutes]]),0)</f>
        <v>617.5</v>
      </c>
      <c r="V406">
        <f>SUM(Table1[[#This Row],[Total intl charge]],Table1[[#This Row],[Total night charge]],Table1[[#This Row],[Total eve charge]],Table1[[#This Row],[Total day charge]])</f>
        <v>63.72</v>
      </c>
      <c r="W406">
        <f>SUM(Table1[[#This Row],[Total intl calls]],Table1[[#This Row],[Total night calls]],Table1[[#This Row],[Total eve calls]],Table1[[#This Row],[Total day calls]])</f>
        <v>285</v>
      </c>
      <c r="X406" t="str" cm="1">
        <f t="array" ref="X406">_xlfn.IFS(Table1[[#This Row],[Customer service calls]]&gt;=4,"High risk",Table1[[#This Row],[Customer service calls]]&gt;=2,"Medium risk",TRUE,"Low risk")</f>
        <v>Low risk</v>
      </c>
      <c r="Y406" t="str" cm="1">
        <f t="array" ref="Y406">IFERROR(_xlfn.IFS(Table1[[#This Row],[Total usage(Min)]]&gt;=AVERAGE(U:U)*1.1,"High risk",Table1[[#This Row],[Total usage(Min)]]&lt;= AVERAGE(U:U)*0.9,"Low risk",TRUE,"Medium risk"),"N/A")</f>
        <v>Medium risk</v>
      </c>
      <c r="Z406" t="str" cm="1">
        <f t="array" ref="Z406">IFERROR(_xlfn.IFS(Table1[[#This Row],[Total charges]]&gt;=AVERAGE(V:V)*1.1,"High risk",Table1[[#This Row],[Total charges]]&lt;=AVERAGE(V:V)*0.9,"Low risk",TRUE,"Medium risk"),"N/A")</f>
        <v>Medium risk</v>
      </c>
      <c r="AA4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6" t="str" cm="1">
        <f t="array" ref="AC406">_xlfn.IFS(
AND(Table1[[#This Row],[Customer service risk level]]="High risk", Table1[[#This Row],[Intl usage behaviour]]="Unplanned Usage"),"High Risk",
OR(Table1[[#This Row],[Customer service risk level]]="Medium risk", Table1[[#This Row],[Charges risk level]]="High risk "),"Medium Risk",
TRUE,"Low Risk"
)</f>
        <v>Low Risk</v>
      </c>
    </row>
    <row r="407" spans="1:29" x14ac:dyDescent="0.25">
      <c r="A407" t="s">
        <v>41</v>
      </c>
      <c r="B407">
        <v>77</v>
      </c>
      <c r="C407">
        <v>415</v>
      </c>
      <c r="D407" t="s">
        <v>21</v>
      </c>
      <c r="E407" t="s">
        <v>21</v>
      </c>
      <c r="F407">
        <v>0</v>
      </c>
      <c r="G407">
        <v>169.4</v>
      </c>
      <c r="H407">
        <v>102</v>
      </c>
      <c r="I407">
        <v>28.8</v>
      </c>
      <c r="J407">
        <v>184.9</v>
      </c>
      <c r="K407">
        <v>144</v>
      </c>
      <c r="L407">
        <v>15.72</v>
      </c>
      <c r="M407">
        <v>234.3</v>
      </c>
      <c r="N407">
        <v>89</v>
      </c>
      <c r="O407">
        <v>10.54</v>
      </c>
      <c r="P407">
        <v>2</v>
      </c>
      <c r="Q407">
        <v>7</v>
      </c>
      <c r="R407">
        <v>0.54</v>
      </c>
      <c r="S407">
        <v>1</v>
      </c>
      <c r="T407" t="b">
        <v>0</v>
      </c>
      <c r="U407">
        <f>IFERROR(SUM(Table1[[#This Row],[Total day minutes]],Table1[[#This Row],[Total eve minutes]],Table1[[#This Row],[Total night minutes]],Table1[[#This Row],[Total intl minutes]]),0)</f>
        <v>590.6</v>
      </c>
      <c r="V407">
        <f>SUM(Table1[[#This Row],[Total intl charge]],Table1[[#This Row],[Total night charge]],Table1[[#This Row],[Total eve charge]],Table1[[#This Row],[Total day charge]])</f>
        <v>55.599999999999994</v>
      </c>
      <c r="W407">
        <f>SUM(Table1[[#This Row],[Total intl calls]],Table1[[#This Row],[Total night calls]],Table1[[#This Row],[Total eve calls]],Table1[[#This Row],[Total day calls]])</f>
        <v>342</v>
      </c>
      <c r="X407" t="str" cm="1">
        <f t="array" ref="X407">_xlfn.IFS(Table1[[#This Row],[Customer service calls]]&gt;=4,"High risk",Table1[[#This Row],[Customer service calls]]&gt;=2,"Medium risk",TRUE,"Low risk")</f>
        <v>Low risk</v>
      </c>
      <c r="Y407" t="str" cm="1">
        <f t="array" ref="Y407">IFERROR(_xlfn.IFS(Table1[[#This Row],[Total usage(Min)]]&gt;=AVERAGE(U:U)*1.1,"High risk",Table1[[#This Row],[Total usage(Min)]]&lt;= AVERAGE(U:U)*0.9,"Low risk",TRUE,"Medium risk"),"N/A")</f>
        <v>Medium risk</v>
      </c>
      <c r="Z407" t="str" cm="1">
        <f t="array" ref="Z407">IFERROR(_xlfn.IFS(Table1[[#This Row],[Total charges]]&gt;=AVERAGE(V:V)*1.1,"High risk",Table1[[#This Row],[Total charges]]&lt;=AVERAGE(V:V)*0.9,"Low risk",TRUE,"Medium risk"),"N/A")</f>
        <v>Medium risk</v>
      </c>
      <c r="AA4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7" t="str" cm="1">
        <f t="array" ref="AC407">_xlfn.IFS(
AND(Table1[[#This Row],[Customer service risk level]]="High risk", Table1[[#This Row],[Intl usage behaviour]]="Unplanned Usage"),"High Risk",
OR(Table1[[#This Row],[Customer service risk level]]="Medium risk", Table1[[#This Row],[Charges risk level]]="High risk "),"Medium Risk",
TRUE,"Low Risk"
)</f>
        <v>Low Risk</v>
      </c>
    </row>
    <row r="408" spans="1:29" x14ac:dyDescent="0.25">
      <c r="A408" t="s">
        <v>36</v>
      </c>
      <c r="B408">
        <v>72</v>
      </c>
      <c r="C408">
        <v>408</v>
      </c>
      <c r="D408" t="s">
        <v>21</v>
      </c>
      <c r="E408" t="s">
        <v>21</v>
      </c>
      <c r="F408">
        <v>0</v>
      </c>
      <c r="G408">
        <v>177.1</v>
      </c>
      <c r="H408">
        <v>97</v>
      </c>
      <c r="I408">
        <v>30.11</v>
      </c>
      <c r="J408">
        <v>184.7</v>
      </c>
      <c r="K408">
        <v>105</v>
      </c>
      <c r="L408">
        <v>15.7</v>
      </c>
      <c r="M408">
        <v>174.1</v>
      </c>
      <c r="N408">
        <v>94</v>
      </c>
      <c r="O408">
        <v>7.83</v>
      </c>
      <c r="P408">
        <v>8</v>
      </c>
      <c r="Q408">
        <v>6</v>
      </c>
      <c r="R408">
        <v>2.16</v>
      </c>
      <c r="S408">
        <v>1</v>
      </c>
      <c r="T408" t="b">
        <v>0</v>
      </c>
      <c r="U408">
        <f>IFERROR(SUM(Table1[[#This Row],[Total day minutes]],Table1[[#This Row],[Total eve minutes]],Table1[[#This Row],[Total night minutes]],Table1[[#This Row],[Total intl minutes]]),0)</f>
        <v>543.9</v>
      </c>
      <c r="V408">
        <f>SUM(Table1[[#This Row],[Total intl charge]],Table1[[#This Row],[Total night charge]],Table1[[#This Row],[Total eve charge]],Table1[[#This Row],[Total day charge]])</f>
        <v>55.8</v>
      </c>
      <c r="W408">
        <f>SUM(Table1[[#This Row],[Total intl calls]],Table1[[#This Row],[Total night calls]],Table1[[#This Row],[Total eve calls]],Table1[[#This Row],[Total day calls]])</f>
        <v>302</v>
      </c>
      <c r="X408" t="str" cm="1">
        <f t="array" ref="X408">_xlfn.IFS(Table1[[#This Row],[Customer service calls]]&gt;=4,"High risk",Table1[[#This Row],[Customer service calls]]&gt;=2,"Medium risk",TRUE,"Low risk")</f>
        <v>Low risk</v>
      </c>
      <c r="Y408" t="str" cm="1">
        <f t="array" ref="Y408">IFERROR(_xlfn.IFS(Table1[[#This Row],[Total usage(Min)]]&gt;=AVERAGE(U:U)*1.1,"High risk",Table1[[#This Row],[Total usage(Min)]]&lt;= AVERAGE(U:U)*0.9,"Low risk",TRUE,"Medium risk"),"N/A")</f>
        <v>Medium risk</v>
      </c>
      <c r="Z408" t="str" cm="1">
        <f t="array" ref="Z408">IFERROR(_xlfn.IFS(Table1[[#This Row],[Total charges]]&gt;=AVERAGE(V:V)*1.1,"High risk",Table1[[#This Row],[Total charges]]&lt;=AVERAGE(V:V)*0.9,"Low risk",TRUE,"Medium risk"),"N/A")</f>
        <v>Medium risk</v>
      </c>
      <c r="AA4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08" t="str" cm="1">
        <f t="array" ref="AC408">_xlfn.IFS(
AND(Table1[[#This Row],[Customer service risk level]]="High risk", Table1[[#This Row],[Intl usage behaviour]]="Unplanned Usage"),"High Risk",
OR(Table1[[#This Row],[Customer service risk level]]="Medium risk", Table1[[#This Row],[Charges risk level]]="High risk "),"Medium Risk",
TRUE,"Low Risk"
)</f>
        <v>Low Risk</v>
      </c>
    </row>
    <row r="409" spans="1:29" x14ac:dyDescent="0.25">
      <c r="A409" t="s">
        <v>52</v>
      </c>
      <c r="B409">
        <v>74</v>
      </c>
      <c r="C409">
        <v>415</v>
      </c>
      <c r="D409" t="s">
        <v>21</v>
      </c>
      <c r="E409" t="s">
        <v>27</v>
      </c>
      <c r="F409">
        <v>32</v>
      </c>
      <c r="G409">
        <v>174.6</v>
      </c>
      <c r="H409">
        <v>107</v>
      </c>
      <c r="I409">
        <v>29.68</v>
      </c>
      <c r="J409">
        <v>310.60000000000002</v>
      </c>
      <c r="K409">
        <v>115</v>
      </c>
      <c r="L409">
        <v>26.4</v>
      </c>
      <c r="M409">
        <v>234.7</v>
      </c>
      <c r="N409">
        <v>92</v>
      </c>
      <c r="O409">
        <v>10.56</v>
      </c>
      <c r="P409">
        <v>9</v>
      </c>
      <c r="Q409">
        <v>4</v>
      </c>
      <c r="R409">
        <v>2.4300000000000002</v>
      </c>
      <c r="S409">
        <v>1</v>
      </c>
      <c r="T409" t="b">
        <v>0</v>
      </c>
      <c r="U409">
        <f>IFERROR(SUM(Table1[[#This Row],[Total day minutes]],Table1[[#This Row],[Total eve minutes]],Table1[[#This Row],[Total night minutes]],Table1[[#This Row],[Total intl minutes]]),0)</f>
        <v>728.90000000000009</v>
      </c>
      <c r="V409">
        <f>SUM(Table1[[#This Row],[Total intl charge]],Table1[[#This Row],[Total night charge]],Table1[[#This Row],[Total eve charge]],Table1[[#This Row],[Total day charge]])</f>
        <v>69.069999999999993</v>
      </c>
      <c r="W409">
        <f>SUM(Table1[[#This Row],[Total intl calls]],Table1[[#This Row],[Total night calls]],Table1[[#This Row],[Total eve calls]],Table1[[#This Row],[Total day calls]])</f>
        <v>318</v>
      </c>
      <c r="X409" t="str" cm="1">
        <f t="array" ref="X409">_xlfn.IFS(Table1[[#This Row],[Customer service calls]]&gt;=4,"High risk",Table1[[#This Row],[Customer service calls]]&gt;=2,"Medium risk",TRUE,"Low risk")</f>
        <v>Low risk</v>
      </c>
      <c r="Y409" t="str" cm="1">
        <f t="array" ref="Y409">IFERROR(_xlfn.IFS(Table1[[#This Row],[Total usage(Min)]]&gt;=AVERAGE(U:U)*1.1,"High risk",Table1[[#This Row],[Total usage(Min)]]&lt;= AVERAGE(U:U)*0.9,"Low risk",TRUE,"Medium risk"),"N/A")</f>
        <v>High risk</v>
      </c>
      <c r="Z409" t="str" cm="1">
        <f t="array" ref="Z409">IFERROR(_xlfn.IFS(Table1[[#This Row],[Total charges]]&gt;=AVERAGE(V:V)*1.1,"High risk",Table1[[#This Row],[Total charges]]&lt;=AVERAGE(V:V)*0.9,"Low risk",TRUE,"Medium risk"),"N/A")</f>
        <v>High risk</v>
      </c>
      <c r="AA4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0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09" t="str" cm="1">
        <f t="array" ref="AC409">_xlfn.IFS(
AND(Table1[[#This Row],[Customer service risk level]]="High risk", Table1[[#This Row],[Intl usage behaviour]]="Unplanned Usage"),"High Risk",
OR(Table1[[#This Row],[Customer service risk level]]="Medium risk", Table1[[#This Row],[Charges risk level]]="High risk "),"Medium Risk",
TRUE,"Low Risk"
)</f>
        <v>Low Risk</v>
      </c>
    </row>
    <row r="410" spans="1:29" x14ac:dyDescent="0.25">
      <c r="A410" t="s">
        <v>68</v>
      </c>
      <c r="B410">
        <v>124</v>
      </c>
      <c r="C410">
        <v>415</v>
      </c>
      <c r="D410" t="s">
        <v>21</v>
      </c>
      <c r="E410" t="s">
        <v>21</v>
      </c>
      <c r="F410">
        <v>0</v>
      </c>
      <c r="G410">
        <v>150.30000000000001</v>
      </c>
      <c r="H410">
        <v>101</v>
      </c>
      <c r="I410">
        <v>25.55</v>
      </c>
      <c r="J410">
        <v>255.9</v>
      </c>
      <c r="K410">
        <v>112</v>
      </c>
      <c r="L410">
        <v>21.75</v>
      </c>
      <c r="M410">
        <v>136.69999999999999</v>
      </c>
      <c r="N410">
        <v>62</v>
      </c>
      <c r="O410">
        <v>6.15</v>
      </c>
      <c r="P410">
        <v>12.5</v>
      </c>
      <c r="Q410">
        <v>4</v>
      </c>
      <c r="R410">
        <v>3.38</v>
      </c>
      <c r="S410">
        <v>2</v>
      </c>
      <c r="T410" t="b">
        <v>0</v>
      </c>
      <c r="U410">
        <f>IFERROR(SUM(Table1[[#This Row],[Total day minutes]],Table1[[#This Row],[Total eve minutes]],Table1[[#This Row],[Total night minutes]],Table1[[#This Row],[Total intl minutes]]),0)</f>
        <v>555.40000000000009</v>
      </c>
      <c r="V410">
        <f>SUM(Table1[[#This Row],[Total intl charge]],Table1[[#This Row],[Total night charge]],Table1[[#This Row],[Total eve charge]],Table1[[#This Row],[Total day charge]])</f>
        <v>56.83</v>
      </c>
      <c r="W410">
        <f>SUM(Table1[[#This Row],[Total intl calls]],Table1[[#This Row],[Total night calls]],Table1[[#This Row],[Total eve calls]],Table1[[#This Row],[Total day calls]])</f>
        <v>279</v>
      </c>
      <c r="X410" t="str" cm="1">
        <f t="array" ref="X410">_xlfn.IFS(Table1[[#This Row],[Customer service calls]]&gt;=4,"High risk",Table1[[#This Row],[Customer service calls]]&gt;=2,"Medium risk",TRUE,"Low risk")</f>
        <v>Medium risk</v>
      </c>
      <c r="Y410" t="str" cm="1">
        <f t="array" ref="Y410">IFERROR(_xlfn.IFS(Table1[[#This Row],[Total usage(Min)]]&gt;=AVERAGE(U:U)*1.1,"High risk",Table1[[#This Row],[Total usage(Min)]]&lt;= AVERAGE(U:U)*0.9,"Low risk",TRUE,"Medium risk"),"N/A")</f>
        <v>Medium risk</v>
      </c>
      <c r="Z410" t="str" cm="1">
        <f t="array" ref="Z410">IFERROR(_xlfn.IFS(Table1[[#This Row],[Total charges]]&gt;=AVERAGE(V:V)*1.1,"High risk",Table1[[#This Row],[Total charges]]&lt;=AVERAGE(V:V)*0.9,"Low risk",TRUE,"Medium risk"),"N/A")</f>
        <v>Medium risk</v>
      </c>
      <c r="AA4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0" t="str" cm="1">
        <f t="array" ref="AC410">_xlfn.IFS(
AND(Table1[[#This Row],[Customer service risk level]]="High risk", Table1[[#This Row],[Intl usage behaviour]]="Unplanned Usage"),"High Risk",
OR(Table1[[#This Row],[Customer service risk level]]="Medium risk", Table1[[#This Row],[Charges risk level]]="High risk "),"Medium Risk",
TRUE,"Low Risk"
)</f>
        <v>Medium Risk</v>
      </c>
    </row>
    <row r="411" spans="1:29" x14ac:dyDescent="0.25">
      <c r="A411" t="s">
        <v>36</v>
      </c>
      <c r="B411">
        <v>113</v>
      </c>
      <c r="C411">
        <v>408</v>
      </c>
      <c r="D411" t="s">
        <v>21</v>
      </c>
      <c r="E411" t="s">
        <v>27</v>
      </c>
      <c r="F411">
        <v>20</v>
      </c>
      <c r="G411">
        <v>157.80000000000001</v>
      </c>
      <c r="H411">
        <v>83</v>
      </c>
      <c r="I411">
        <v>26.83</v>
      </c>
      <c r="J411">
        <v>161.5</v>
      </c>
      <c r="K411">
        <v>56</v>
      </c>
      <c r="L411">
        <v>13.73</v>
      </c>
      <c r="M411">
        <v>271.5</v>
      </c>
      <c r="N411">
        <v>100</v>
      </c>
      <c r="O411">
        <v>12.22</v>
      </c>
      <c r="P411">
        <v>8.6999999999999993</v>
      </c>
      <c r="Q411">
        <v>2</v>
      </c>
      <c r="R411">
        <v>2.35</v>
      </c>
      <c r="S411">
        <v>5</v>
      </c>
      <c r="T411" t="b">
        <v>1</v>
      </c>
      <c r="U411">
        <f>IFERROR(SUM(Table1[[#This Row],[Total day minutes]],Table1[[#This Row],[Total eve minutes]],Table1[[#This Row],[Total night minutes]],Table1[[#This Row],[Total intl minutes]]),0)</f>
        <v>599.5</v>
      </c>
      <c r="V411">
        <f>SUM(Table1[[#This Row],[Total intl charge]],Table1[[#This Row],[Total night charge]],Table1[[#This Row],[Total eve charge]],Table1[[#This Row],[Total day charge]])</f>
        <v>55.129999999999995</v>
      </c>
      <c r="W411">
        <f>SUM(Table1[[#This Row],[Total intl calls]],Table1[[#This Row],[Total night calls]],Table1[[#This Row],[Total eve calls]],Table1[[#This Row],[Total day calls]])</f>
        <v>241</v>
      </c>
      <c r="X411" t="str" cm="1">
        <f t="array" ref="X411">_xlfn.IFS(Table1[[#This Row],[Customer service calls]]&gt;=4,"High risk",Table1[[#This Row],[Customer service calls]]&gt;=2,"Medium risk",TRUE,"Low risk")</f>
        <v>High risk</v>
      </c>
      <c r="Y411" t="str" cm="1">
        <f t="array" ref="Y411">IFERROR(_xlfn.IFS(Table1[[#This Row],[Total usage(Min)]]&gt;=AVERAGE(U:U)*1.1,"High risk",Table1[[#This Row],[Total usage(Min)]]&lt;= AVERAGE(U:U)*0.9,"Low risk",TRUE,"Medium risk"),"N/A")</f>
        <v>Medium risk</v>
      </c>
      <c r="Z411" t="str" cm="1">
        <f t="array" ref="Z411">IFERROR(_xlfn.IFS(Table1[[#This Row],[Total charges]]&gt;=AVERAGE(V:V)*1.1,"High risk",Table1[[#This Row],[Total charges]]&lt;=AVERAGE(V:V)*0.9,"Low risk",TRUE,"Medium risk"),"N/A")</f>
        <v>Medium risk</v>
      </c>
      <c r="AA4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11" t="str" cm="1">
        <f t="array" ref="AC411">_xlfn.IFS(
AND(Table1[[#This Row],[Customer service risk level]]="High risk", Table1[[#This Row],[Intl usage behaviour]]="Unplanned Usage"),"High Risk",
OR(Table1[[#This Row],[Customer service risk level]]="Medium risk", Table1[[#This Row],[Charges risk level]]="High risk "),"Medium Risk",
TRUE,"Low Risk"
)</f>
        <v>High Risk</v>
      </c>
    </row>
    <row r="412" spans="1:29" x14ac:dyDescent="0.25">
      <c r="A412" t="s">
        <v>62</v>
      </c>
      <c r="B412">
        <v>66</v>
      </c>
      <c r="C412">
        <v>510</v>
      </c>
      <c r="D412" t="s">
        <v>21</v>
      </c>
      <c r="E412" t="s">
        <v>21</v>
      </c>
      <c r="F412">
        <v>0</v>
      </c>
      <c r="G412">
        <v>118</v>
      </c>
      <c r="H412">
        <v>133</v>
      </c>
      <c r="I412">
        <v>20.059999999999999</v>
      </c>
      <c r="J412">
        <v>248.1</v>
      </c>
      <c r="K412">
        <v>99</v>
      </c>
      <c r="L412">
        <v>21.09</v>
      </c>
      <c r="M412">
        <v>214.4</v>
      </c>
      <c r="N412">
        <v>122</v>
      </c>
      <c r="O412">
        <v>9.65</v>
      </c>
      <c r="P412">
        <v>5.3</v>
      </c>
      <c r="Q412">
        <v>5</v>
      </c>
      <c r="R412">
        <v>1.43</v>
      </c>
      <c r="S412">
        <v>1</v>
      </c>
      <c r="T412" t="b">
        <v>0</v>
      </c>
      <c r="U412">
        <f>IFERROR(SUM(Table1[[#This Row],[Total day minutes]],Table1[[#This Row],[Total eve minutes]],Table1[[#This Row],[Total night minutes]],Table1[[#This Row],[Total intl minutes]]),0)</f>
        <v>585.79999999999995</v>
      </c>
      <c r="V412">
        <f>SUM(Table1[[#This Row],[Total intl charge]],Table1[[#This Row],[Total night charge]],Table1[[#This Row],[Total eve charge]],Table1[[#This Row],[Total day charge]])</f>
        <v>52.230000000000004</v>
      </c>
      <c r="W412">
        <f>SUM(Table1[[#This Row],[Total intl calls]],Table1[[#This Row],[Total night calls]],Table1[[#This Row],[Total eve calls]],Table1[[#This Row],[Total day calls]])</f>
        <v>359</v>
      </c>
      <c r="X412" t="str" cm="1">
        <f t="array" ref="X412">_xlfn.IFS(Table1[[#This Row],[Customer service calls]]&gt;=4,"High risk",Table1[[#This Row],[Customer service calls]]&gt;=2,"Medium risk",TRUE,"Low risk")</f>
        <v>Low risk</v>
      </c>
      <c r="Y412" t="str" cm="1">
        <f t="array" ref="Y412">IFERROR(_xlfn.IFS(Table1[[#This Row],[Total usage(Min)]]&gt;=AVERAGE(U:U)*1.1,"High risk",Table1[[#This Row],[Total usage(Min)]]&lt;= AVERAGE(U:U)*0.9,"Low risk",TRUE,"Medium risk"),"N/A")</f>
        <v>Medium risk</v>
      </c>
      <c r="Z412" t="str" cm="1">
        <f t="array" ref="Z412">IFERROR(_xlfn.IFS(Table1[[#This Row],[Total charges]]&gt;=AVERAGE(V:V)*1.1,"High risk",Table1[[#This Row],[Total charges]]&lt;=AVERAGE(V:V)*0.9,"Low risk",TRUE,"Medium risk"),"N/A")</f>
        <v>Low risk</v>
      </c>
      <c r="AA4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2" t="str" cm="1">
        <f t="array" ref="AC412">_xlfn.IFS(
AND(Table1[[#This Row],[Customer service risk level]]="High risk", Table1[[#This Row],[Intl usage behaviour]]="Unplanned Usage"),"High Risk",
OR(Table1[[#This Row],[Customer service risk level]]="Medium risk", Table1[[#This Row],[Charges risk level]]="High risk "),"Medium Risk",
TRUE,"Low Risk"
)</f>
        <v>Low Risk</v>
      </c>
    </row>
    <row r="413" spans="1:29" x14ac:dyDescent="0.25">
      <c r="A413" t="s">
        <v>34</v>
      </c>
      <c r="B413">
        <v>124</v>
      </c>
      <c r="C413">
        <v>415</v>
      </c>
      <c r="D413" t="s">
        <v>21</v>
      </c>
      <c r="E413" t="s">
        <v>27</v>
      </c>
      <c r="F413">
        <v>30</v>
      </c>
      <c r="G413">
        <v>144.5</v>
      </c>
      <c r="H413">
        <v>35</v>
      </c>
      <c r="I413">
        <v>24.57</v>
      </c>
      <c r="J413">
        <v>262.3</v>
      </c>
      <c r="K413">
        <v>101</v>
      </c>
      <c r="L413">
        <v>22.3</v>
      </c>
      <c r="M413">
        <v>226.5</v>
      </c>
      <c r="N413">
        <v>82</v>
      </c>
      <c r="O413">
        <v>10.19</v>
      </c>
      <c r="P413">
        <v>12</v>
      </c>
      <c r="Q413">
        <v>7</v>
      </c>
      <c r="R413">
        <v>3.24</v>
      </c>
      <c r="S413">
        <v>2</v>
      </c>
      <c r="T413" t="b">
        <v>0</v>
      </c>
      <c r="U413">
        <f>IFERROR(SUM(Table1[[#This Row],[Total day minutes]],Table1[[#This Row],[Total eve minutes]],Table1[[#This Row],[Total night minutes]],Table1[[#This Row],[Total intl minutes]]),0)</f>
        <v>645.29999999999995</v>
      </c>
      <c r="V413">
        <f>SUM(Table1[[#This Row],[Total intl charge]],Table1[[#This Row],[Total night charge]],Table1[[#This Row],[Total eve charge]],Table1[[#This Row],[Total day charge]])</f>
        <v>60.300000000000004</v>
      </c>
      <c r="W413">
        <f>SUM(Table1[[#This Row],[Total intl calls]],Table1[[#This Row],[Total night calls]],Table1[[#This Row],[Total eve calls]],Table1[[#This Row],[Total day calls]])</f>
        <v>225</v>
      </c>
      <c r="X413" t="str" cm="1">
        <f t="array" ref="X413">_xlfn.IFS(Table1[[#This Row],[Customer service calls]]&gt;=4,"High risk",Table1[[#This Row],[Customer service calls]]&gt;=2,"Medium risk",TRUE,"Low risk")</f>
        <v>Medium risk</v>
      </c>
      <c r="Y413" t="str" cm="1">
        <f t="array" ref="Y413">IFERROR(_xlfn.IFS(Table1[[#This Row],[Total usage(Min)]]&gt;=AVERAGE(U:U)*1.1,"High risk",Table1[[#This Row],[Total usage(Min)]]&lt;= AVERAGE(U:U)*0.9,"Low risk",TRUE,"Medium risk"),"N/A")</f>
        <v>Medium risk</v>
      </c>
      <c r="Z413" t="str" cm="1">
        <f t="array" ref="Z413">IFERROR(_xlfn.IFS(Table1[[#This Row],[Total charges]]&gt;=AVERAGE(V:V)*1.1,"High risk",Table1[[#This Row],[Total charges]]&lt;=AVERAGE(V:V)*0.9,"Low risk",TRUE,"Medium risk"),"N/A")</f>
        <v>Medium risk</v>
      </c>
      <c r="AA4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13" t="str" cm="1">
        <f t="array" ref="AC413">_xlfn.IFS(
AND(Table1[[#This Row],[Customer service risk level]]="High risk", Table1[[#This Row],[Intl usage behaviour]]="Unplanned Usage"),"High Risk",
OR(Table1[[#This Row],[Customer service risk level]]="Medium risk", Table1[[#This Row],[Charges risk level]]="High risk "),"Medium Risk",
TRUE,"Low Risk"
)</f>
        <v>Medium Risk</v>
      </c>
    </row>
    <row r="414" spans="1:29" x14ac:dyDescent="0.25">
      <c r="A414" t="s">
        <v>63</v>
      </c>
      <c r="B414">
        <v>134</v>
      </c>
      <c r="C414">
        <v>408</v>
      </c>
      <c r="D414" t="s">
        <v>21</v>
      </c>
      <c r="E414" t="s">
        <v>21</v>
      </c>
      <c r="F414">
        <v>0</v>
      </c>
      <c r="G414">
        <v>183.8</v>
      </c>
      <c r="H414">
        <v>111</v>
      </c>
      <c r="I414">
        <v>31.25</v>
      </c>
      <c r="J414">
        <v>123.5</v>
      </c>
      <c r="K414">
        <v>92</v>
      </c>
      <c r="L414">
        <v>10.5</v>
      </c>
      <c r="M414">
        <v>160.69999999999999</v>
      </c>
      <c r="N414">
        <v>105</v>
      </c>
      <c r="O414">
        <v>7.23</v>
      </c>
      <c r="P414">
        <v>6.1</v>
      </c>
      <c r="Q414">
        <v>2</v>
      </c>
      <c r="R414">
        <v>1.65</v>
      </c>
      <c r="S414">
        <v>1</v>
      </c>
      <c r="T414" t="b">
        <v>0</v>
      </c>
      <c r="U414">
        <f>IFERROR(SUM(Table1[[#This Row],[Total day minutes]],Table1[[#This Row],[Total eve minutes]],Table1[[#This Row],[Total night minutes]],Table1[[#This Row],[Total intl minutes]]),0)</f>
        <v>474.1</v>
      </c>
      <c r="V414">
        <f>SUM(Table1[[#This Row],[Total intl charge]],Table1[[#This Row],[Total night charge]],Table1[[#This Row],[Total eve charge]],Table1[[#This Row],[Total day charge]])</f>
        <v>50.63</v>
      </c>
      <c r="W414">
        <f>SUM(Table1[[#This Row],[Total intl calls]],Table1[[#This Row],[Total night calls]],Table1[[#This Row],[Total eve calls]],Table1[[#This Row],[Total day calls]])</f>
        <v>310</v>
      </c>
      <c r="X414" t="str" cm="1">
        <f t="array" ref="X414">_xlfn.IFS(Table1[[#This Row],[Customer service calls]]&gt;=4,"High risk",Table1[[#This Row],[Customer service calls]]&gt;=2,"Medium risk",TRUE,"Low risk")</f>
        <v>Low risk</v>
      </c>
      <c r="Y414" t="str" cm="1">
        <f t="array" ref="Y414">IFERROR(_xlfn.IFS(Table1[[#This Row],[Total usage(Min)]]&gt;=AVERAGE(U:U)*1.1,"High risk",Table1[[#This Row],[Total usage(Min)]]&lt;= AVERAGE(U:U)*0.9,"Low risk",TRUE,"Medium risk"),"N/A")</f>
        <v>Low risk</v>
      </c>
      <c r="Z414" t="str" cm="1">
        <f t="array" ref="Z414">IFERROR(_xlfn.IFS(Table1[[#This Row],[Total charges]]&gt;=AVERAGE(V:V)*1.1,"High risk",Table1[[#This Row],[Total charges]]&lt;=AVERAGE(V:V)*0.9,"Low risk",TRUE,"Medium risk"),"N/A")</f>
        <v>Low risk</v>
      </c>
      <c r="AA4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4" t="str" cm="1">
        <f t="array" ref="AC414">_xlfn.IFS(
AND(Table1[[#This Row],[Customer service risk level]]="High risk", Table1[[#This Row],[Intl usage behaviour]]="Unplanned Usage"),"High Risk",
OR(Table1[[#This Row],[Customer service risk level]]="Medium risk", Table1[[#This Row],[Charges risk level]]="High risk "),"Medium Risk",
TRUE,"Low Risk"
)</f>
        <v>Low Risk</v>
      </c>
    </row>
    <row r="415" spans="1:29" x14ac:dyDescent="0.25">
      <c r="A415" t="s">
        <v>62</v>
      </c>
      <c r="B415">
        <v>41</v>
      </c>
      <c r="C415">
        <v>415</v>
      </c>
      <c r="D415" t="s">
        <v>21</v>
      </c>
      <c r="E415" t="s">
        <v>27</v>
      </c>
      <c r="F415">
        <v>30</v>
      </c>
      <c r="G415">
        <v>191.7</v>
      </c>
      <c r="H415">
        <v>109</v>
      </c>
      <c r="I415">
        <v>32.590000000000003</v>
      </c>
      <c r="J415">
        <v>193</v>
      </c>
      <c r="K415">
        <v>86</v>
      </c>
      <c r="L415">
        <v>16.41</v>
      </c>
      <c r="M415">
        <v>149.4</v>
      </c>
      <c r="N415">
        <v>93</v>
      </c>
      <c r="O415">
        <v>6.72</v>
      </c>
      <c r="P415">
        <v>11.1</v>
      </c>
      <c r="Q415">
        <v>4</v>
      </c>
      <c r="R415">
        <v>3</v>
      </c>
      <c r="S415">
        <v>1</v>
      </c>
      <c r="T415" t="b">
        <v>0</v>
      </c>
      <c r="U415">
        <f>IFERROR(SUM(Table1[[#This Row],[Total day minutes]],Table1[[#This Row],[Total eve minutes]],Table1[[#This Row],[Total night minutes]],Table1[[#This Row],[Total intl minutes]]),0)</f>
        <v>545.20000000000005</v>
      </c>
      <c r="V415">
        <f>SUM(Table1[[#This Row],[Total intl charge]],Table1[[#This Row],[Total night charge]],Table1[[#This Row],[Total eve charge]],Table1[[#This Row],[Total day charge]])</f>
        <v>58.72</v>
      </c>
      <c r="W415">
        <f>SUM(Table1[[#This Row],[Total intl calls]],Table1[[#This Row],[Total night calls]],Table1[[#This Row],[Total eve calls]],Table1[[#This Row],[Total day calls]])</f>
        <v>292</v>
      </c>
      <c r="X415" t="str" cm="1">
        <f t="array" ref="X415">_xlfn.IFS(Table1[[#This Row],[Customer service calls]]&gt;=4,"High risk",Table1[[#This Row],[Customer service calls]]&gt;=2,"Medium risk",TRUE,"Low risk")</f>
        <v>Low risk</v>
      </c>
      <c r="Y415" t="str" cm="1">
        <f t="array" ref="Y415">IFERROR(_xlfn.IFS(Table1[[#This Row],[Total usage(Min)]]&gt;=AVERAGE(U:U)*1.1,"High risk",Table1[[#This Row],[Total usage(Min)]]&lt;= AVERAGE(U:U)*0.9,"Low risk",TRUE,"Medium risk"),"N/A")</f>
        <v>Medium risk</v>
      </c>
      <c r="Z415" t="str" cm="1">
        <f t="array" ref="Z415">IFERROR(_xlfn.IFS(Table1[[#This Row],[Total charges]]&gt;=AVERAGE(V:V)*1.1,"High risk",Table1[[#This Row],[Total charges]]&lt;=AVERAGE(V:V)*0.9,"Low risk",TRUE,"Medium risk"),"N/A")</f>
        <v>Medium risk</v>
      </c>
      <c r="AA4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15" t="str" cm="1">
        <f t="array" ref="AC415">_xlfn.IFS(
AND(Table1[[#This Row],[Customer service risk level]]="High risk", Table1[[#This Row],[Intl usage behaviour]]="Unplanned Usage"),"High Risk",
OR(Table1[[#This Row],[Customer service risk level]]="Medium risk", Table1[[#This Row],[Charges risk level]]="High risk "),"Medium Risk",
TRUE,"Low Risk"
)</f>
        <v>Low Risk</v>
      </c>
    </row>
    <row r="416" spans="1:29" x14ac:dyDescent="0.25">
      <c r="A416" t="s">
        <v>24</v>
      </c>
      <c r="B416">
        <v>159</v>
      </c>
      <c r="C416">
        <v>415</v>
      </c>
      <c r="D416" t="s">
        <v>21</v>
      </c>
      <c r="E416" t="s">
        <v>27</v>
      </c>
      <c r="F416">
        <v>23</v>
      </c>
      <c r="G416">
        <v>153.6</v>
      </c>
      <c r="H416">
        <v>93</v>
      </c>
      <c r="I416">
        <v>26.11</v>
      </c>
      <c r="J416">
        <v>216.9</v>
      </c>
      <c r="K416">
        <v>88</v>
      </c>
      <c r="L416">
        <v>18.440000000000001</v>
      </c>
      <c r="M416">
        <v>161.30000000000001</v>
      </c>
      <c r="N416">
        <v>91</v>
      </c>
      <c r="O416">
        <v>7.26</v>
      </c>
      <c r="P416">
        <v>12.6</v>
      </c>
      <c r="Q416">
        <v>3</v>
      </c>
      <c r="R416">
        <v>3.4</v>
      </c>
      <c r="S416">
        <v>2</v>
      </c>
      <c r="T416" t="b">
        <v>0</v>
      </c>
      <c r="U416">
        <f>IFERROR(SUM(Table1[[#This Row],[Total day minutes]],Table1[[#This Row],[Total eve minutes]],Table1[[#This Row],[Total night minutes]],Table1[[#This Row],[Total intl minutes]]),0)</f>
        <v>544.4</v>
      </c>
      <c r="V416">
        <f>SUM(Table1[[#This Row],[Total intl charge]],Table1[[#This Row],[Total night charge]],Table1[[#This Row],[Total eve charge]],Table1[[#This Row],[Total day charge]])</f>
        <v>55.21</v>
      </c>
      <c r="W416">
        <f>SUM(Table1[[#This Row],[Total intl calls]],Table1[[#This Row],[Total night calls]],Table1[[#This Row],[Total eve calls]],Table1[[#This Row],[Total day calls]])</f>
        <v>275</v>
      </c>
      <c r="X416" t="str" cm="1">
        <f t="array" ref="X416">_xlfn.IFS(Table1[[#This Row],[Customer service calls]]&gt;=4,"High risk",Table1[[#This Row],[Customer service calls]]&gt;=2,"Medium risk",TRUE,"Low risk")</f>
        <v>Medium risk</v>
      </c>
      <c r="Y416" t="str" cm="1">
        <f t="array" ref="Y416">IFERROR(_xlfn.IFS(Table1[[#This Row],[Total usage(Min)]]&gt;=AVERAGE(U:U)*1.1,"High risk",Table1[[#This Row],[Total usage(Min)]]&lt;= AVERAGE(U:U)*0.9,"Low risk",TRUE,"Medium risk"),"N/A")</f>
        <v>Medium risk</v>
      </c>
      <c r="Z416" t="str" cm="1">
        <f t="array" ref="Z416">IFERROR(_xlfn.IFS(Table1[[#This Row],[Total charges]]&gt;=AVERAGE(V:V)*1.1,"High risk",Table1[[#This Row],[Total charges]]&lt;=AVERAGE(V:V)*0.9,"Low risk",TRUE,"Medium risk"),"N/A")</f>
        <v>Medium risk</v>
      </c>
      <c r="AA4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16" t="str" cm="1">
        <f t="array" ref="AC416">_xlfn.IFS(
AND(Table1[[#This Row],[Customer service risk level]]="High risk", Table1[[#This Row],[Intl usage behaviour]]="Unplanned Usage"),"High Risk",
OR(Table1[[#This Row],[Customer service risk level]]="Medium risk", Table1[[#This Row],[Charges risk level]]="High risk "),"Medium Risk",
TRUE,"Low Risk"
)</f>
        <v>Medium Risk</v>
      </c>
    </row>
    <row r="417" spans="1:29" x14ac:dyDescent="0.25">
      <c r="A417" t="s">
        <v>63</v>
      </c>
      <c r="B417">
        <v>87</v>
      </c>
      <c r="C417">
        <v>408</v>
      </c>
      <c r="D417" t="s">
        <v>27</v>
      </c>
      <c r="E417" t="s">
        <v>27</v>
      </c>
      <c r="F417">
        <v>36</v>
      </c>
      <c r="G417">
        <v>171.2</v>
      </c>
      <c r="H417">
        <v>138</v>
      </c>
      <c r="I417">
        <v>29.1</v>
      </c>
      <c r="J417">
        <v>185.8</v>
      </c>
      <c r="K417">
        <v>102</v>
      </c>
      <c r="L417">
        <v>15.79</v>
      </c>
      <c r="M417">
        <v>227.6</v>
      </c>
      <c r="N417">
        <v>97</v>
      </c>
      <c r="O417">
        <v>10.24</v>
      </c>
      <c r="P417">
        <v>10.8</v>
      </c>
      <c r="Q417">
        <v>3</v>
      </c>
      <c r="R417">
        <v>2.92</v>
      </c>
      <c r="S417">
        <v>1</v>
      </c>
      <c r="T417" t="b">
        <v>0</v>
      </c>
      <c r="U417">
        <f>IFERROR(SUM(Table1[[#This Row],[Total day minutes]],Table1[[#This Row],[Total eve minutes]],Table1[[#This Row],[Total night minutes]],Table1[[#This Row],[Total intl minutes]]),0)</f>
        <v>595.4</v>
      </c>
      <c r="V417">
        <f>SUM(Table1[[#This Row],[Total intl charge]],Table1[[#This Row],[Total night charge]],Table1[[#This Row],[Total eve charge]],Table1[[#This Row],[Total day charge]])</f>
        <v>58.05</v>
      </c>
      <c r="W417">
        <f>SUM(Table1[[#This Row],[Total intl calls]],Table1[[#This Row],[Total night calls]],Table1[[#This Row],[Total eve calls]],Table1[[#This Row],[Total day calls]])</f>
        <v>340</v>
      </c>
      <c r="X417" t="str" cm="1">
        <f t="array" ref="X417">_xlfn.IFS(Table1[[#This Row],[Customer service calls]]&gt;=4,"High risk",Table1[[#This Row],[Customer service calls]]&gt;=2,"Medium risk",TRUE,"Low risk")</f>
        <v>Low risk</v>
      </c>
      <c r="Y417" t="str" cm="1">
        <f t="array" ref="Y417">IFERROR(_xlfn.IFS(Table1[[#This Row],[Total usage(Min)]]&gt;=AVERAGE(U:U)*1.1,"High risk",Table1[[#This Row],[Total usage(Min)]]&lt;= AVERAGE(U:U)*0.9,"Low risk",TRUE,"Medium risk"),"N/A")</f>
        <v>Medium risk</v>
      </c>
      <c r="Z417" t="str" cm="1">
        <f t="array" ref="Z417">IFERROR(_xlfn.IFS(Table1[[#This Row],[Total charges]]&gt;=AVERAGE(V:V)*1.1,"High risk",Table1[[#This Row],[Total charges]]&lt;=AVERAGE(V:V)*0.9,"Low risk",TRUE,"Medium risk"),"N/A")</f>
        <v>Medium risk</v>
      </c>
      <c r="AA4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1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17" t="str" cm="1">
        <f t="array" ref="AC417">_xlfn.IFS(
AND(Table1[[#This Row],[Customer service risk level]]="High risk", Table1[[#This Row],[Intl usage behaviour]]="Unplanned Usage"),"High Risk",
OR(Table1[[#This Row],[Customer service risk level]]="Medium risk", Table1[[#This Row],[Charges risk level]]="High risk "),"Medium Risk",
TRUE,"Low Risk"
)</f>
        <v>Low Risk</v>
      </c>
    </row>
    <row r="418" spans="1:29" x14ac:dyDescent="0.25">
      <c r="A418" t="s">
        <v>40</v>
      </c>
      <c r="B418">
        <v>132</v>
      </c>
      <c r="C418">
        <v>415</v>
      </c>
      <c r="D418" t="s">
        <v>21</v>
      </c>
      <c r="E418" t="s">
        <v>21</v>
      </c>
      <c r="F418">
        <v>0</v>
      </c>
      <c r="G418">
        <v>240.1</v>
      </c>
      <c r="H418">
        <v>115</v>
      </c>
      <c r="I418">
        <v>40.82</v>
      </c>
      <c r="J418">
        <v>180.4</v>
      </c>
      <c r="K418">
        <v>91</v>
      </c>
      <c r="L418">
        <v>15.33</v>
      </c>
      <c r="M418">
        <v>133.4</v>
      </c>
      <c r="N418">
        <v>122</v>
      </c>
      <c r="O418">
        <v>6</v>
      </c>
      <c r="P418">
        <v>8</v>
      </c>
      <c r="Q418">
        <v>6</v>
      </c>
      <c r="R418">
        <v>2.16</v>
      </c>
      <c r="S418">
        <v>3</v>
      </c>
      <c r="T418" t="b">
        <v>0</v>
      </c>
      <c r="U418">
        <f>IFERROR(SUM(Table1[[#This Row],[Total day minutes]],Table1[[#This Row],[Total eve minutes]],Table1[[#This Row],[Total night minutes]],Table1[[#This Row],[Total intl minutes]]),0)</f>
        <v>561.9</v>
      </c>
      <c r="V418">
        <f>SUM(Table1[[#This Row],[Total intl charge]],Table1[[#This Row],[Total night charge]],Table1[[#This Row],[Total eve charge]],Table1[[#This Row],[Total day charge]])</f>
        <v>64.31</v>
      </c>
      <c r="W418">
        <f>SUM(Table1[[#This Row],[Total intl calls]],Table1[[#This Row],[Total night calls]],Table1[[#This Row],[Total eve calls]],Table1[[#This Row],[Total day calls]])</f>
        <v>334</v>
      </c>
      <c r="X418" t="str" cm="1">
        <f t="array" ref="X418">_xlfn.IFS(Table1[[#This Row],[Customer service calls]]&gt;=4,"High risk",Table1[[#This Row],[Customer service calls]]&gt;=2,"Medium risk",TRUE,"Low risk")</f>
        <v>Medium risk</v>
      </c>
      <c r="Y418" t="str" cm="1">
        <f t="array" ref="Y418">IFERROR(_xlfn.IFS(Table1[[#This Row],[Total usage(Min)]]&gt;=AVERAGE(U:U)*1.1,"High risk",Table1[[#This Row],[Total usage(Min)]]&lt;= AVERAGE(U:U)*0.9,"Low risk",TRUE,"Medium risk"),"N/A")</f>
        <v>Medium risk</v>
      </c>
      <c r="Z418" t="str" cm="1">
        <f t="array" ref="Z418">IFERROR(_xlfn.IFS(Table1[[#This Row],[Total charges]]&gt;=AVERAGE(V:V)*1.1,"High risk",Table1[[#This Row],[Total charges]]&lt;=AVERAGE(V:V)*0.9,"Low risk",TRUE,"Medium risk"),"N/A")</f>
        <v>Medium risk</v>
      </c>
      <c r="AA4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8" t="str" cm="1">
        <f t="array" ref="AC418">_xlfn.IFS(
AND(Table1[[#This Row],[Customer service risk level]]="High risk", Table1[[#This Row],[Intl usage behaviour]]="Unplanned Usage"),"High Risk",
OR(Table1[[#This Row],[Customer service risk level]]="Medium risk", Table1[[#This Row],[Charges risk level]]="High risk "),"Medium Risk",
TRUE,"Low Risk"
)</f>
        <v>Medium Risk</v>
      </c>
    </row>
    <row r="419" spans="1:29" x14ac:dyDescent="0.25">
      <c r="A419" t="s">
        <v>41</v>
      </c>
      <c r="B419">
        <v>86</v>
      </c>
      <c r="C419">
        <v>408</v>
      </c>
      <c r="D419" t="s">
        <v>21</v>
      </c>
      <c r="E419" t="s">
        <v>21</v>
      </c>
      <c r="F419">
        <v>0</v>
      </c>
      <c r="G419">
        <v>83.8</v>
      </c>
      <c r="H419">
        <v>121</v>
      </c>
      <c r="I419">
        <v>14.25</v>
      </c>
      <c r="J419">
        <v>240.2</v>
      </c>
      <c r="K419">
        <v>96</v>
      </c>
      <c r="L419">
        <v>20.420000000000002</v>
      </c>
      <c r="M419">
        <v>158.6</v>
      </c>
      <c r="N419">
        <v>108</v>
      </c>
      <c r="O419">
        <v>7.14</v>
      </c>
      <c r="P419">
        <v>6.7</v>
      </c>
      <c r="Q419">
        <v>8</v>
      </c>
      <c r="R419">
        <v>1.81</v>
      </c>
      <c r="S419">
        <v>1</v>
      </c>
      <c r="T419" t="b">
        <v>0</v>
      </c>
      <c r="U419">
        <f>IFERROR(SUM(Table1[[#This Row],[Total day minutes]],Table1[[#This Row],[Total eve minutes]],Table1[[#This Row],[Total night minutes]],Table1[[#This Row],[Total intl minutes]]),0)</f>
        <v>489.3</v>
      </c>
      <c r="V419">
        <f>SUM(Table1[[#This Row],[Total intl charge]],Table1[[#This Row],[Total night charge]],Table1[[#This Row],[Total eve charge]],Table1[[#This Row],[Total day charge]])</f>
        <v>43.620000000000005</v>
      </c>
      <c r="W419">
        <f>SUM(Table1[[#This Row],[Total intl calls]],Table1[[#This Row],[Total night calls]],Table1[[#This Row],[Total eve calls]],Table1[[#This Row],[Total day calls]])</f>
        <v>333</v>
      </c>
      <c r="X419" t="str" cm="1">
        <f t="array" ref="X419">_xlfn.IFS(Table1[[#This Row],[Customer service calls]]&gt;=4,"High risk",Table1[[#This Row],[Customer service calls]]&gt;=2,"Medium risk",TRUE,"Low risk")</f>
        <v>Low risk</v>
      </c>
      <c r="Y419" t="str" cm="1">
        <f t="array" ref="Y419">IFERROR(_xlfn.IFS(Table1[[#This Row],[Total usage(Min)]]&gt;=AVERAGE(U:U)*1.1,"High risk",Table1[[#This Row],[Total usage(Min)]]&lt;= AVERAGE(U:U)*0.9,"Low risk",TRUE,"Medium risk"),"N/A")</f>
        <v>Low risk</v>
      </c>
      <c r="Z419" t="str" cm="1">
        <f t="array" ref="Z419">IFERROR(_xlfn.IFS(Table1[[#This Row],[Total charges]]&gt;=AVERAGE(V:V)*1.1,"High risk",Table1[[#This Row],[Total charges]]&lt;=AVERAGE(V:V)*0.9,"Low risk",TRUE,"Medium risk"),"N/A")</f>
        <v>Low risk</v>
      </c>
      <c r="AA4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19" t="str" cm="1">
        <f t="array" ref="AC419">_xlfn.IFS(
AND(Table1[[#This Row],[Customer service risk level]]="High risk", Table1[[#This Row],[Intl usage behaviour]]="Unplanned Usage"),"High Risk",
OR(Table1[[#This Row],[Customer service risk level]]="Medium risk", Table1[[#This Row],[Charges risk level]]="High risk "),"Medium Risk",
TRUE,"Low Risk"
)</f>
        <v>Low Risk</v>
      </c>
    </row>
    <row r="420" spans="1:29" x14ac:dyDescent="0.25">
      <c r="A420" t="s">
        <v>63</v>
      </c>
      <c r="B420">
        <v>55</v>
      </c>
      <c r="C420">
        <v>415</v>
      </c>
      <c r="D420" t="s">
        <v>27</v>
      </c>
      <c r="E420" t="s">
        <v>21</v>
      </c>
      <c r="F420">
        <v>0</v>
      </c>
      <c r="G420">
        <v>269.60000000000002</v>
      </c>
      <c r="H420">
        <v>121</v>
      </c>
      <c r="I420">
        <v>45.83</v>
      </c>
      <c r="J420">
        <v>171.7</v>
      </c>
      <c r="K420">
        <v>91</v>
      </c>
      <c r="L420">
        <v>14.59</v>
      </c>
      <c r="M420">
        <v>219</v>
      </c>
      <c r="N420">
        <v>98</v>
      </c>
      <c r="O420">
        <v>9.86</v>
      </c>
      <c r="P420">
        <v>8.1999999999999993</v>
      </c>
      <c r="Q420">
        <v>6</v>
      </c>
      <c r="R420">
        <v>2.21</v>
      </c>
      <c r="S420">
        <v>1</v>
      </c>
      <c r="T420" t="b">
        <v>0</v>
      </c>
      <c r="U420">
        <f>IFERROR(SUM(Table1[[#This Row],[Total day minutes]],Table1[[#This Row],[Total eve minutes]],Table1[[#This Row],[Total night minutes]],Table1[[#This Row],[Total intl minutes]]),0)</f>
        <v>668.5</v>
      </c>
      <c r="V420">
        <f>SUM(Table1[[#This Row],[Total intl charge]],Table1[[#This Row],[Total night charge]],Table1[[#This Row],[Total eve charge]],Table1[[#This Row],[Total day charge]])</f>
        <v>72.489999999999995</v>
      </c>
      <c r="W420">
        <f>SUM(Table1[[#This Row],[Total intl calls]],Table1[[#This Row],[Total night calls]],Table1[[#This Row],[Total eve calls]],Table1[[#This Row],[Total day calls]])</f>
        <v>316</v>
      </c>
      <c r="X420" t="str" cm="1">
        <f t="array" ref="X420">_xlfn.IFS(Table1[[#This Row],[Customer service calls]]&gt;=4,"High risk",Table1[[#This Row],[Customer service calls]]&gt;=2,"Medium risk",TRUE,"Low risk")</f>
        <v>Low risk</v>
      </c>
      <c r="Y420" t="str" cm="1">
        <f t="array" ref="Y420">IFERROR(_xlfn.IFS(Table1[[#This Row],[Total usage(Min)]]&gt;=AVERAGE(U:U)*1.1,"High risk",Table1[[#This Row],[Total usage(Min)]]&lt;= AVERAGE(U:U)*0.9,"Low risk",TRUE,"Medium risk"),"N/A")</f>
        <v>High risk</v>
      </c>
      <c r="Z420" t="str" cm="1">
        <f t="array" ref="Z420">IFERROR(_xlfn.IFS(Table1[[#This Row],[Total charges]]&gt;=AVERAGE(V:V)*1.1,"High risk",Table1[[#This Row],[Total charges]]&lt;=AVERAGE(V:V)*0.9,"Low risk",TRUE,"Medium risk"),"N/A")</f>
        <v>High risk</v>
      </c>
      <c r="AA4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0" t="str" cm="1">
        <f t="array" ref="AC420">_xlfn.IFS(
AND(Table1[[#This Row],[Customer service risk level]]="High risk", Table1[[#This Row],[Intl usage behaviour]]="Unplanned Usage"),"High Risk",
OR(Table1[[#This Row],[Customer service risk level]]="Medium risk", Table1[[#This Row],[Charges risk level]]="High risk "),"Medium Risk",
TRUE,"Low Risk"
)</f>
        <v>Low Risk</v>
      </c>
    </row>
    <row r="421" spans="1:29" x14ac:dyDescent="0.25">
      <c r="A421" t="s">
        <v>33</v>
      </c>
      <c r="B421">
        <v>101</v>
      </c>
      <c r="C421">
        <v>415</v>
      </c>
      <c r="D421" t="s">
        <v>21</v>
      </c>
      <c r="E421" t="s">
        <v>21</v>
      </c>
      <c r="F421">
        <v>0</v>
      </c>
      <c r="G421">
        <v>136.19999999999999</v>
      </c>
      <c r="H421">
        <v>92</v>
      </c>
      <c r="I421">
        <v>23.15</v>
      </c>
      <c r="J421">
        <v>220.9</v>
      </c>
      <c r="K421">
        <v>110</v>
      </c>
      <c r="L421">
        <v>18.78</v>
      </c>
      <c r="M421">
        <v>196.9</v>
      </c>
      <c r="N421">
        <v>116</v>
      </c>
      <c r="O421">
        <v>8.86</v>
      </c>
      <c r="P421">
        <v>13.3</v>
      </c>
      <c r="Q421">
        <v>7</v>
      </c>
      <c r="R421">
        <v>3.59</v>
      </c>
      <c r="S421">
        <v>3</v>
      </c>
      <c r="T421" t="b">
        <v>0</v>
      </c>
      <c r="U421">
        <f>IFERROR(SUM(Table1[[#This Row],[Total day minutes]],Table1[[#This Row],[Total eve minutes]],Table1[[#This Row],[Total night minutes]],Table1[[#This Row],[Total intl minutes]]),0)</f>
        <v>567.29999999999995</v>
      </c>
      <c r="V421">
        <f>SUM(Table1[[#This Row],[Total intl charge]],Table1[[#This Row],[Total night charge]],Table1[[#This Row],[Total eve charge]],Table1[[#This Row],[Total day charge]])</f>
        <v>54.379999999999995</v>
      </c>
      <c r="W421">
        <f>SUM(Table1[[#This Row],[Total intl calls]],Table1[[#This Row],[Total night calls]],Table1[[#This Row],[Total eve calls]],Table1[[#This Row],[Total day calls]])</f>
        <v>325</v>
      </c>
      <c r="X421" t="str" cm="1">
        <f t="array" ref="X421">_xlfn.IFS(Table1[[#This Row],[Customer service calls]]&gt;=4,"High risk",Table1[[#This Row],[Customer service calls]]&gt;=2,"Medium risk",TRUE,"Low risk")</f>
        <v>Medium risk</v>
      </c>
      <c r="Y421" t="str" cm="1">
        <f t="array" ref="Y421">IFERROR(_xlfn.IFS(Table1[[#This Row],[Total usage(Min)]]&gt;=AVERAGE(U:U)*1.1,"High risk",Table1[[#This Row],[Total usage(Min)]]&lt;= AVERAGE(U:U)*0.9,"Low risk",TRUE,"Medium risk"),"N/A")</f>
        <v>Medium risk</v>
      </c>
      <c r="Z421" t="str" cm="1">
        <f t="array" ref="Z421">IFERROR(_xlfn.IFS(Table1[[#This Row],[Total charges]]&gt;=AVERAGE(V:V)*1.1,"High risk",Table1[[#This Row],[Total charges]]&lt;=AVERAGE(V:V)*0.9,"Low risk",TRUE,"Medium risk"),"N/A")</f>
        <v>Medium risk</v>
      </c>
      <c r="AA4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1" t="str" cm="1">
        <f t="array" ref="AC421">_xlfn.IFS(
AND(Table1[[#This Row],[Customer service risk level]]="High risk", Table1[[#This Row],[Intl usage behaviour]]="Unplanned Usage"),"High Risk",
OR(Table1[[#This Row],[Customer service risk level]]="Medium risk", Table1[[#This Row],[Charges risk level]]="High risk "),"Medium Risk",
TRUE,"Low Risk"
)</f>
        <v>Medium Risk</v>
      </c>
    </row>
    <row r="422" spans="1:29" x14ac:dyDescent="0.25">
      <c r="A422" t="s">
        <v>52</v>
      </c>
      <c r="B422">
        <v>94</v>
      </c>
      <c r="C422">
        <v>408</v>
      </c>
      <c r="D422" t="s">
        <v>21</v>
      </c>
      <c r="E422" t="s">
        <v>21</v>
      </c>
      <c r="F422">
        <v>0</v>
      </c>
      <c r="G422">
        <v>269.2</v>
      </c>
      <c r="H422">
        <v>104</v>
      </c>
      <c r="I422">
        <v>45.76</v>
      </c>
      <c r="J422">
        <v>193.8</v>
      </c>
      <c r="K422">
        <v>144</v>
      </c>
      <c r="L422">
        <v>16.47</v>
      </c>
      <c r="M422">
        <v>257.60000000000002</v>
      </c>
      <c r="N422">
        <v>61</v>
      </c>
      <c r="O422">
        <v>11.59</v>
      </c>
      <c r="P422">
        <v>8.9</v>
      </c>
      <c r="Q422">
        <v>2</v>
      </c>
      <c r="R422">
        <v>2.4</v>
      </c>
      <c r="S422">
        <v>3</v>
      </c>
      <c r="T422" t="b">
        <v>1</v>
      </c>
      <c r="U422">
        <f>IFERROR(SUM(Table1[[#This Row],[Total day minutes]],Table1[[#This Row],[Total eve minutes]],Table1[[#This Row],[Total night minutes]],Table1[[#This Row],[Total intl minutes]]),0)</f>
        <v>729.5</v>
      </c>
      <c r="V422">
        <f>SUM(Table1[[#This Row],[Total intl charge]],Table1[[#This Row],[Total night charge]],Table1[[#This Row],[Total eve charge]],Table1[[#This Row],[Total day charge]])</f>
        <v>76.22</v>
      </c>
      <c r="W422">
        <f>SUM(Table1[[#This Row],[Total intl calls]],Table1[[#This Row],[Total night calls]],Table1[[#This Row],[Total eve calls]],Table1[[#This Row],[Total day calls]])</f>
        <v>311</v>
      </c>
      <c r="X422" t="str" cm="1">
        <f t="array" ref="X422">_xlfn.IFS(Table1[[#This Row],[Customer service calls]]&gt;=4,"High risk",Table1[[#This Row],[Customer service calls]]&gt;=2,"Medium risk",TRUE,"Low risk")</f>
        <v>Medium risk</v>
      </c>
      <c r="Y422" t="str" cm="1">
        <f t="array" ref="Y422">IFERROR(_xlfn.IFS(Table1[[#This Row],[Total usage(Min)]]&gt;=AVERAGE(U:U)*1.1,"High risk",Table1[[#This Row],[Total usage(Min)]]&lt;= AVERAGE(U:U)*0.9,"Low risk",TRUE,"Medium risk"),"N/A")</f>
        <v>High risk</v>
      </c>
      <c r="Z422" t="str" cm="1">
        <f t="array" ref="Z422">IFERROR(_xlfn.IFS(Table1[[#This Row],[Total charges]]&gt;=AVERAGE(V:V)*1.1,"High risk",Table1[[#This Row],[Total charges]]&lt;=AVERAGE(V:V)*0.9,"Low risk",TRUE,"Medium risk"),"N/A")</f>
        <v>High risk</v>
      </c>
      <c r="AA4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2" t="str" cm="1">
        <f t="array" ref="AC422">_xlfn.IFS(
AND(Table1[[#This Row],[Customer service risk level]]="High risk", Table1[[#This Row],[Intl usage behaviour]]="Unplanned Usage"),"High Risk",
OR(Table1[[#This Row],[Customer service risk level]]="Medium risk", Table1[[#This Row],[Charges risk level]]="High risk "),"Medium Risk",
TRUE,"Low Risk"
)</f>
        <v>Medium Risk</v>
      </c>
    </row>
    <row r="423" spans="1:29" x14ac:dyDescent="0.25">
      <c r="A423" t="s">
        <v>68</v>
      </c>
      <c r="B423">
        <v>68</v>
      </c>
      <c r="C423">
        <v>408</v>
      </c>
      <c r="D423" t="s">
        <v>21</v>
      </c>
      <c r="E423" t="s">
        <v>21</v>
      </c>
      <c r="F423">
        <v>0</v>
      </c>
      <c r="G423">
        <v>219.6</v>
      </c>
      <c r="H423">
        <v>97</v>
      </c>
      <c r="I423">
        <v>37.33</v>
      </c>
      <c r="J423">
        <v>141.1</v>
      </c>
      <c r="K423">
        <v>144</v>
      </c>
      <c r="L423">
        <v>11.99</v>
      </c>
      <c r="M423">
        <v>205.7</v>
      </c>
      <c r="N423">
        <v>101</v>
      </c>
      <c r="O423">
        <v>9.26</v>
      </c>
      <c r="P423">
        <v>10.8</v>
      </c>
      <c r="Q423">
        <v>4</v>
      </c>
      <c r="R423">
        <v>2.92</v>
      </c>
      <c r="S423">
        <v>2</v>
      </c>
      <c r="T423" t="b">
        <v>0</v>
      </c>
      <c r="U423">
        <f>IFERROR(SUM(Table1[[#This Row],[Total day minutes]],Table1[[#This Row],[Total eve minutes]],Table1[[#This Row],[Total night minutes]],Table1[[#This Row],[Total intl minutes]]),0)</f>
        <v>577.19999999999993</v>
      </c>
      <c r="V423">
        <f>SUM(Table1[[#This Row],[Total intl charge]],Table1[[#This Row],[Total night charge]],Table1[[#This Row],[Total eve charge]],Table1[[#This Row],[Total day charge]])</f>
        <v>61.5</v>
      </c>
      <c r="W423">
        <f>SUM(Table1[[#This Row],[Total intl calls]],Table1[[#This Row],[Total night calls]],Table1[[#This Row],[Total eve calls]],Table1[[#This Row],[Total day calls]])</f>
        <v>346</v>
      </c>
      <c r="X423" t="str" cm="1">
        <f t="array" ref="X423">_xlfn.IFS(Table1[[#This Row],[Customer service calls]]&gt;=4,"High risk",Table1[[#This Row],[Customer service calls]]&gt;=2,"Medium risk",TRUE,"Low risk")</f>
        <v>Medium risk</v>
      </c>
      <c r="Y423" t="str" cm="1">
        <f t="array" ref="Y423">IFERROR(_xlfn.IFS(Table1[[#This Row],[Total usage(Min)]]&gt;=AVERAGE(U:U)*1.1,"High risk",Table1[[#This Row],[Total usage(Min)]]&lt;= AVERAGE(U:U)*0.9,"Low risk",TRUE,"Medium risk"),"N/A")</f>
        <v>Medium risk</v>
      </c>
      <c r="Z423" t="str" cm="1">
        <f t="array" ref="Z423">IFERROR(_xlfn.IFS(Table1[[#This Row],[Total charges]]&gt;=AVERAGE(V:V)*1.1,"High risk",Table1[[#This Row],[Total charges]]&lt;=AVERAGE(V:V)*0.9,"Low risk",TRUE,"Medium risk"),"N/A")</f>
        <v>Medium risk</v>
      </c>
      <c r="AA4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3" t="str" cm="1">
        <f t="array" ref="AC423">_xlfn.IFS(
AND(Table1[[#This Row],[Customer service risk level]]="High risk", Table1[[#This Row],[Intl usage behaviour]]="Unplanned Usage"),"High Risk",
OR(Table1[[#This Row],[Customer service risk level]]="Medium risk", Table1[[#This Row],[Charges risk level]]="High risk "),"Medium Risk",
TRUE,"Low Risk"
)</f>
        <v>Medium Risk</v>
      </c>
    </row>
    <row r="424" spans="1:29" x14ac:dyDescent="0.25">
      <c r="A424" t="s">
        <v>37</v>
      </c>
      <c r="B424">
        <v>98</v>
      </c>
      <c r="C424">
        <v>408</v>
      </c>
      <c r="D424" t="s">
        <v>21</v>
      </c>
      <c r="E424" t="s">
        <v>21</v>
      </c>
      <c r="F424">
        <v>0</v>
      </c>
      <c r="G424">
        <v>236.2</v>
      </c>
      <c r="H424">
        <v>122</v>
      </c>
      <c r="I424">
        <v>40.15</v>
      </c>
      <c r="J424">
        <v>189.4</v>
      </c>
      <c r="K424">
        <v>110</v>
      </c>
      <c r="L424">
        <v>16.100000000000001</v>
      </c>
      <c r="M424">
        <v>153.6</v>
      </c>
      <c r="N424">
        <v>104</v>
      </c>
      <c r="O424">
        <v>6.91</v>
      </c>
      <c r="P424">
        <v>13.3</v>
      </c>
      <c r="Q424">
        <v>4</v>
      </c>
      <c r="R424">
        <v>3.59</v>
      </c>
      <c r="S424">
        <v>0</v>
      </c>
      <c r="T424" t="b">
        <v>0</v>
      </c>
      <c r="U424">
        <f>IFERROR(SUM(Table1[[#This Row],[Total day minutes]],Table1[[#This Row],[Total eve minutes]],Table1[[#This Row],[Total night minutes]],Table1[[#This Row],[Total intl minutes]]),0)</f>
        <v>592.5</v>
      </c>
      <c r="V424">
        <f>SUM(Table1[[#This Row],[Total intl charge]],Table1[[#This Row],[Total night charge]],Table1[[#This Row],[Total eve charge]],Table1[[#This Row],[Total day charge]])</f>
        <v>66.75</v>
      </c>
      <c r="W424">
        <f>SUM(Table1[[#This Row],[Total intl calls]],Table1[[#This Row],[Total night calls]],Table1[[#This Row],[Total eve calls]],Table1[[#This Row],[Total day calls]])</f>
        <v>340</v>
      </c>
      <c r="X424" t="str" cm="1">
        <f t="array" ref="X424">_xlfn.IFS(Table1[[#This Row],[Customer service calls]]&gt;=4,"High risk",Table1[[#This Row],[Customer service calls]]&gt;=2,"Medium risk",TRUE,"Low risk")</f>
        <v>Low risk</v>
      </c>
      <c r="Y424" t="str" cm="1">
        <f t="array" ref="Y424">IFERROR(_xlfn.IFS(Table1[[#This Row],[Total usage(Min)]]&gt;=AVERAGE(U:U)*1.1,"High risk",Table1[[#This Row],[Total usage(Min)]]&lt;= AVERAGE(U:U)*0.9,"Low risk",TRUE,"Medium risk"),"N/A")</f>
        <v>Medium risk</v>
      </c>
      <c r="Z424" t="str" cm="1">
        <f t="array" ref="Z424">IFERROR(_xlfn.IFS(Table1[[#This Row],[Total charges]]&gt;=AVERAGE(V:V)*1.1,"High risk",Table1[[#This Row],[Total charges]]&lt;=AVERAGE(V:V)*0.9,"Low risk",TRUE,"Medium risk"),"N/A")</f>
        <v>High risk</v>
      </c>
      <c r="AA4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4" t="str" cm="1">
        <f t="array" ref="AC424">_xlfn.IFS(
AND(Table1[[#This Row],[Customer service risk level]]="High risk", Table1[[#This Row],[Intl usage behaviour]]="Unplanned Usage"),"High Risk",
OR(Table1[[#This Row],[Customer service risk level]]="Medium risk", Table1[[#This Row],[Charges risk level]]="High risk "),"Medium Risk",
TRUE,"Low Risk"
)</f>
        <v>Low Risk</v>
      </c>
    </row>
    <row r="425" spans="1:29" x14ac:dyDescent="0.25">
      <c r="A425" t="s">
        <v>48</v>
      </c>
      <c r="B425">
        <v>123</v>
      </c>
      <c r="C425">
        <v>408</v>
      </c>
      <c r="D425" t="s">
        <v>21</v>
      </c>
      <c r="E425" t="s">
        <v>21</v>
      </c>
      <c r="F425">
        <v>0</v>
      </c>
      <c r="G425">
        <v>260.89999999999998</v>
      </c>
      <c r="H425">
        <v>85</v>
      </c>
      <c r="I425">
        <v>44.35</v>
      </c>
      <c r="J425">
        <v>168.5</v>
      </c>
      <c r="K425">
        <v>103</v>
      </c>
      <c r="L425">
        <v>14.32</v>
      </c>
      <c r="M425">
        <v>178.3</v>
      </c>
      <c r="N425">
        <v>91</v>
      </c>
      <c r="O425">
        <v>8.02</v>
      </c>
      <c r="P425">
        <v>13.3</v>
      </c>
      <c r="Q425">
        <v>5</v>
      </c>
      <c r="R425">
        <v>3.59</v>
      </c>
      <c r="S425">
        <v>3</v>
      </c>
      <c r="T425" t="b">
        <v>0</v>
      </c>
      <c r="U425">
        <f>IFERROR(SUM(Table1[[#This Row],[Total day minutes]],Table1[[#This Row],[Total eve minutes]],Table1[[#This Row],[Total night minutes]],Table1[[#This Row],[Total intl minutes]]),0)</f>
        <v>621</v>
      </c>
      <c r="V425">
        <f>SUM(Table1[[#This Row],[Total intl charge]],Table1[[#This Row],[Total night charge]],Table1[[#This Row],[Total eve charge]],Table1[[#This Row],[Total day charge]])</f>
        <v>70.28</v>
      </c>
      <c r="W425">
        <f>SUM(Table1[[#This Row],[Total intl calls]],Table1[[#This Row],[Total night calls]],Table1[[#This Row],[Total eve calls]],Table1[[#This Row],[Total day calls]])</f>
        <v>284</v>
      </c>
      <c r="X425" t="str" cm="1">
        <f t="array" ref="X425">_xlfn.IFS(Table1[[#This Row],[Customer service calls]]&gt;=4,"High risk",Table1[[#This Row],[Customer service calls]]&gt;=2,"Medium risk",TRUE,"Low risk")</f>
        <v>Medium risk</v>
      </c>
      <c r="Y425" t="str" cm="1">
        <f t="array" ref="Y425">IFERROR(_xlfn.IFS(Table1[[#This Row],[Total usage(Min)]]&gt;=AVERAGE(U:U)*1.1,"High risk",Table1[[#This Row],[Total usage(Min)]]&lt;= AVERAGE(U:U)*0.9,"Low risk",TRUE,"Medium risk"),"N/A")</f>
        <v>Medium risk</v>
      </c>
      <c r="Z425" t="str" cm="1">
        <f t="array" ref="Z425">IFERROR(_xlfn.IFS(Table1[[#This Row],[Total charges]]&gt;=AVERAGE(V:V)*1.1,"High risk",Table1[[#This Row],[Total charges]]&lt;=AVERAGE(V:V)*0.9,"Low risk",TRUE,"Medium risk"),"N/A")</f>
        <v>High risk</v>
      </c>
      <c r="AA4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5" t="str" cm="1">
        <f t="array" ref="AC425">_xlfn.IFS(
AND(Table1[[#This Row],[Customer service risk level]]="High risk", Table1[[#This Row],[Intl usage behaviour]]="Unplanned Usage"),"High Risk",
OR(Table1[[#This Row],[Customer service risk level]]="Medium risk", Table1[[#This Row],[Charges risk level]]="High risk "),"Medium Risk",
TRUE,"Low Risk"
)</f>
        <v>Medium Risk</v>
      </c>
    </row>
    <row r="426" spans="1:29" x14ac:dyDescent="0.25">
      <c r="A426" t="s">
        <v>39</v>
      </c>
      <c r="B426">
        <v>111</v>
      </c>
      <c r="C426">
        <v>408</v>
      </c>
      <c r="D426" t="s">
        <v>21</v>
      </c>
      <c r="E426" t="s">
        <v>21</v>
      </c>
      <c r="F426">
        <v>0</v>
      </c>
      <c r="G426">
        <v>249.8</v>
      </c>
      <c r="H426">
        <v>109</v>
      </c>
      <c r="I426">
        <v>42.47</v>
      </c>
      <c r="J426">
        <v>242.4</v>
      </c>
      <c r="K426">
        <v>106</v>
      </c>
      <c r="L426">
        <v>20.6</v>
      </c>
      <c r="M426">
        <v>231.8</v>
      </c>
      <c r="N426">
        <v>78</v>
      </c>
      <c r="O426">
        <v>10.43</v>
      </c>
      <c r="P426">
        <v>11.6</v>
      </c>
      <c r="Q426">
        <v>4</v>
      </c>
      <c r="R426">
        <v>3.13</v>
      </c>
      <c r="S426">
        <v>0</v>
      </c>
      <c r="T426" t="b">
        <v>1</v>
      </c>
      <c r="U426">
        <f>IFERROR(SUM(Table1[[#This Row],[Total day minutes]],Table1[[#This Row],[Total eve minutes]],Table1[[#This Row],[Total night minutes]],Table1[[#This Row],[Total intl minutes]]),0)</f>
        <v>735.6</v>
      </c>
      <c r="V426">
        <f>SUM(Table1[[#This Row],[Total intl charge]],Table1[[#This Row],[Total night charge]],Table1[[#This Row],[Total eve charge]],Table1[[#This Row],[Total day charge]])</f>
        <v>76.63</v>
      </c>
      <c r="W426">
        <f>SUM(Table1[[#This Row],[Total intl calls]],Table1[[#This Row],[Total night calls]],Table1[[#This Row],[Total eve calls]],Table1[[#This Row],[Total day calls]])</f>
        <v>297</v>
      </c>
      <c r="X426" t="str" cm="1">
        <f t="array" ref="X426">_xlfn.IFS(Table1[[#This Row],[Customer service calls]]&gt;=4,"High risk",Table1[[#This Row],[Customer service calls]]&gt;=2,"Medium risk",TRUE,"Low risk")</f>
        <v>Low risk</v>
      </c>
      <c r="Y426" t="str" cm="1">
        <f t="array" ref="Y426">IFERROR(_xlfn.IFS(Table1[[#This Row],[Total usage(Min)]]&gt;=AVERAGE(U:U)*1.1,"High risk",Table1[[#This Row],[Total usage(Min)]]&lt;= AVERAGE(U:U)*0.9,"Low risk",TRUE,"Medium risk"),"N/A")</f>
        <v>High risk</v>
      </c>
      <c r="Z426" t="str" cm="1">
        <f t="array" ref="Z426">IFERROR(_xlfn.IFS(Table1[[#This Row],[Total charges]]&gt;=AVERAGE(V:V)*1.1,"High risk",Table1[[#This Row],[Total charges]]&lt;=AVERAGE(V:V)*0.9,"Low risk",TRUE,"Medium risk"),"N/A")</f>
        <v>High risk</v>
      </c>
      <c r="AA4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6" t="str" cm="1">
        <f t="array" ref="AC426">_xlfn.IFS(
AND(Table1[[#This Row],[Customer service risk level]]="High risk", Table1[[#This Row],[Intl usage behaviour]]="Unplanned Usage"),"High Risk",
OR(Table1[[#This Row],[Customer service risk level]]="Medium risk", Table1[[#This Row],[Charges risk level]]="High risk "),"Medium Risk",
TRUE,"Low Risk"
)</f>
        <v>Low Risk</v>
      </c>
    </row>
    <row r="427" spans="1:29" x14ac:dyDescent="0.25">
      <c r="A427" t="s">
        <v>49</v>
      </c>
      <c r="B427">
        <v>69</v>
      </c>
      <c r="C427">
        <v>510</v>
      </c>
      <c r="D427" t="s">
        <v>21</v>
      </c>
      <c r="E427" t="s">
        <v>27</v>
      </c>
      <c r="F427">
        <v>27</v>
      </c>
      <c r="G427">
        <v>268.8</v>
      </c>
      <c r="H427">
        <v>78</v>
      </c>
      <c r="I427">
        <v>45.7</v>
      </c>
      <c r="J427">
        <v>246.6</v>
      </c>
      <c r="K427">
        <v>89</v>
      </c>
      <c r="L427">
        <v>20.96</v>
      </c>
      <c r="M427">
        <v>271.89999999999998</v>
      </c>
      <c r="N427">
        <v>102</v>
      </c>
      <c r="O427">
        <v>12.24</v>
      </c>
      <c r="P427">
        <v>16.399999999999999</v>
      </c>
      <c r="Q427">
        <v>3</v>
      </c>
      <c r="R427">
        <v>4.43</v>
      </c>
      <c r="S427">
        <v>0</v>
      </c>
      <c r="T427" t="b">
        <v>0</v>
      </c>
      <c r="U427">
        <f>IFERROR(SUM(Table1[[#This Row],[Total day minutes]],Table1[[#This Row],[Total eve minutes]],Table1[[#This Row],[Total night minutes]],Table1[[#This Row],[Total intl minutes]]),0)</f>
        <v>803.69999999999993</v>
      </c>
      <c r="V427">
        <f>SUM(Table1[[#This Row],[Total intl charge]],Table1[[#This Row],[Total night charge]],Table1[[#This Row],[Total eve charge]],Table1[[#This Row],[Total day charge]])</f>
        <v>83.330000000000013</v>
      </c>
      <c r="W427">
        <f>SUM(Table1[[#This Row],[Total intl calls]],Table1[[#This Row],[Total night calls]],Table1[[#This Row],[Total eve calls]],Table1[[#This Row],[Total day calls]])</f>
        <v>272</v>
      </c>
      <c r="X427" t="str" cm="1">
        <f t="array" ref="X427">_xlfn.IFS(Table1[[#This Row],[Customer service calls]]&gt;=4,"High risk",Table1[[#This Row],[Customer service calls]]&gt;=2,"Medium risk",TRUE,"Low risk")</f>
        <v>Low risk</v>
      </c>
      <c r="Y427" t="str" cm="1">
        <f t="array" ref="Y427">IFERROR(_xlfn.IFS(Table1[[#This Row],[Total usage(Min)]]&gt;=AVERAGE(U:U)*1.1,"High risk",Table1[[#This Row],[Total usage(Min)]]&lt;= AVERAGE(U:U)*0.9,"Low risk",TRUE,"Medium risk"),"N/A")</f>
        <v>High risk</v>
      </c>
      <c r="Z427" t="str" cm="1">
        <f t="array" ref="Z427">IFERROR(_xlfn.IFS(Table1[[#This Row],[Total charges]]&gt;=AVERAGE(V:V)*1.1,"High risk",Table1[[#This Row],[Total charges]]&lt;=AVERAGE(V:V)*0.9,"Low risk",TRUE,"Medium risk"),"N/A")</f>
        <v>High risk</v>
      </c>
      <c r="AA4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27" t="str" cm="1">
        <f t="array" ref="AC427">_xlfn.IFS(
AND(Table1[[#This Row],[Customer service risk level]]="High risk", Table1[[#This Row],[Intl usage behaviour]]="Unplanned Usage"),"High Risk",
OR(Table1[[#This Row],[Customer service risk level]]="Medium risk", Table1[[#This Row],[Charges risk level]]="High risk "),"Medium Risk",
TRUE,"Low Risk"
)</f>
        <v>Low Risk</v>
      </c>
    </row>
    <row r="428" spans="1:29" x14ac:dyDescent="0.25">
      <c r="A428" t="s">
        <v>57</v>
      </c>
      <c r="B428">
        <v>127</v>
      </c>
      <c r="C428">
        <v>415</v>
      </c>
      <c r="D428" t="s">
        <v>21</v>
      </c>
      <c r="E428" t="s">
        <v>27</v>
      </c>
      <c r="F428">
        <v>27</v>
      </c>
      <c r="G428">
        <v>140.1</v>
      </c>
      <c r="H428">
        <v>59</v>
      </c>
      <c r="I428">
        <v>23.82</v>
      </c>
      <c r="J428">
        <v>223.4</v>
      </c>
      <c r="K428">
        <v>111</v>
      </c>
      <c r="L428">
        <v>18.989999999999998</v>
      </c>
      <c r="M428">
        <v>257.89999999999998</v>
      </c>
      <c r="N428">
        <v>73</v>
      </c>
      <c r="O428">
        <v>11.61</v>
      </c>
      <c r="P428">
        <v>3.8</v>
      </c>
      <c r="Q428">
        <v>10</v>
      </c>
      <c r="R428">
        <v>1.03</v>
      </c>
      <c r="S428">
        <v>1</v>
      </c>
      <c r="T428" t="b">
        <v>0</v>
      </c>
      <c r="U428">
        <f>IFERROR(SUM(Table1[[#This Row],[Total day minutes]],Table1[[#This Row],[Total eve minutes]],Table1[[#This Row],[Total night minutes]],Table1[[#This Row],[Total intl minutes]]),0)</f>
        <v>625.19999999999993</v>
      </c>
      <c r="V428">
        <f>SUM(Table1[[#This Row],[Total intl charge]],Table1[[#This Row],[Total night charge]],Table1[[#This Row],[Total eve charge]],Table1[[#This Row],[Total day charge]])</f>
        <v>55.449999999999996</v>
      </c>
      <c r="W428">
        <f>SUM(Table1[[#This Row],[Total intl calls]],Table1[[#This Row],[Total night calls]],Table1[[#This Row],[Total eve calls]],Table1[[#This Row],[Total day calls]])</f>
        <v>253</v>
      </c>
      <c r="X428" t="str" cm="1">
        <f t="array" ref="X428">_xlfn.IFS(Table1[[#This Row],[Customer service calls]]&gt;=4,"High risk",Table1[[#This Row],[Customer service calls]]&gt;=2,"Medium risk",TRUE,"Low risk")</f>
        <v>Low risk</v>
      </c>
      <c r="Y428" t="str" cm="1">
        <f t="array" ref="Y428">IFERROR(_xlfn.IFS(Table1[[#This Row],[Total usage(Min)]]&gt;=AVERAGE(U:U)*1.1,"High risk",Table1[[#This Row],[Total usage(Min)]]&lt;= AVERAGE(U:U)*0.9,"Low risk",TRUE,"Medium risk"),"N/A")</f>
        <v>Medium risk</v>
      </c>
      <c r="Z428" t="str" cm="1">
        <f t="array" ref="Z428">IFERROR(_xlfn.IFS(Table1[[#This Row],[Total charges]]&gt;=AVERAGE(V:V)*1.1,"High risk",Table1[[#This Row],[Total charges]]&lt;=AVERAGE(V:V)*0.9,"Low risk",TRUE,"Medium risk"),"N/A")</f>
        <v>Medium risk</v>
      </c>
      <c r="AA4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28" t="str" cm="1">
        <f t="array" ref="AC428">_xlfn.IFS(
AND(Table1[[#This Row],[Customer service risk level]]="High risk", Table1[[#This Row],[Intl usage behaviour]]="Unplanned Usage"),"High Risk",
OR(Table1[[#This Row],[Customer service risk level]]="Medium risk", Table1[[#This Row],[Charges risk level]]="High risk "),"Medium Risk",
TRUE,"Low Risk"
)</f>
        <v>Low Risk</v>
      </c>
    </row>
    <row r="429" spans="1:29" x14ac:dyDescent="0.25">
      <c r="A429" t="s">
        <v>46</v>
      </c>
      <c r="B429">
        <v>105</v>
      </c>
      <c r="C429">
        <v>415</v>
      </c>
      <c r="D429" t="s">
        <v>21</v>
      </c>
      <c r="E429" t="s">
        <v>21</v>
      </c>
      <c r="F429">
        <v>0</v>
      </c>
      <c r="G429">
        <v>193.7</v>
      </c>
      <c r="H429">
        <v>108</v>
      </c>
      <c r="I429">
        <v>32.93</v>
      </c>
      <c r="J429">
        <v>183.2</v>
      </c>
      <c r="K429">
        <v>124</v>
      </c>
      <c r="L429">
        <v>15.57</v>
      </c>
      <c r="M429">
        <v>293.7</v>
      </c>
      <c r="N429">
        <v>72</v>
      </c>
      <c r="O429">
        <v>13.22</v>
      </c>
      <c r="P429">
        <v>10.8</v>
      </c>
      <c r="Q429">
        <v>5</v>
      </c>
      <c r="R429">
        <v>2.92</v>
      </c>
      <c r="S429">
        <v>1</v>
      </c>
      <c r="T429" t="b">
        <v>0</v>
      </c>
      <c r="U429">
        <f>IFERROR(SUM(Table1[[#This Row],[Total day minutes]],Table1[[#This Row],[Total eve minutes]],Table1[[#This Row],[Total night minutes]],Table1[[#This Row],[Total intl minutes]]),0)</f>
        <v>681.39999999999986</v>
      </c>
      <c r="V429">
        <f>SUM(Table1[[#This Row],[Total intl charge]],Table1[[#This Row],[Total night charge]],Table1[[#This Row],[Total eve charge]],Table1[[#This Row],[Total day charge]])</f>
        <v>64.64</v>
      </c>
      <c r="W429">
        <f>SUM(Table1[[#This Row],[Total intl calls]],Table1[[#This Row],[Total night calls]],Table1[[#This Row],[Total eve calls]],Table1[[#This Row],[Total day calls]])</f>
        <v>309</v>
      </c>
      <c r="X429" t="str" cm="1">
        <f t="array" ref="X429">_xlfn.IFS(Table1[[#This Row],[Customer service calls]]&gt;=4,"High risk",Table1[[#This Row],[Customer service calls]]&gt;=2,"Medium risk",TRUE,"Low risk")</f>
        <v>Low risk</v>
      </c>
      <c r="Y429" t="str" cm="1">
        <f t="array" ref="Y429">IFERROR(_xlfn.IFS(Table1[[#This Row],[Total usage(Min)]]&gt;=AVERAGE(U:U)*1.1,"High risk",Table1[[#This Row],[Total usage(Min)]]&lt;= AVERAGE(U:U)*0.9,"Low risk",TRUE,"Medium risk"),"N/A")</f>
        <v>High risk</v>
      </c>
      <c r="Z429" t="str" cm="1">
        <f t="array" ref="Z429">IFERROR(_xlfn.IFS(Table1[[#This Row],[Total charges]]&gt;=AVERAGE(V:V)*1.1,"High risk",Table1[[#This Row],[Total charges]]&lt;=AVERAGE(V:V)*0.9,"Low risk",TRUE,"Medium risk"),"N/A")</f>
        <v>Medium risk</v>
      </c>
      <c r="AA4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29" t="str" cm="1">
        <f t="array" ref="AC429">_xlfn.IFS(
AND(Table1[[#This Row],[Customer service risk level]]="High risk", Table1[[#This Row],[Intl usage behaviour]]="Unplanned Usage"),"High Risk",
OR(Table1[[#This Row],[Customer service risk level]]="Medium risk", Table1[[#This Row],[Charges risk level]]="High risk "),"Medium Risk",
TRUE,"Low Risk"
)</f>
        <v>Low Risk</v>
      </c>
    </row>
    <row r="430" spans="1:29" x14ac:dyDescent="0.25">
      <c r="A430" t="s">
        <v>30</v>
      </c>
      <c r="B430">
        <v>75</v>
      </c>
      <c r="C430">
        <v>415</v>
      </c>
      <c r="D430" t="s">
        <v>21</v>
      </c>
      <c r="E430" t="s">
        <v>21</v>
      </c>
      <c r="F430">
        <v>0</v>
      </c>
      <c r="G430">
        <v>224.7</v>
      </c>
      <c r="H430">
        <v>116</v>
      </c>
      <c r="I430">
        <v>38.200000000000003</v>
      </c>
      <c r="J430">
        <v>192</v>
      </c>
      <c r="K430">
        <v>79</v>
      </c>
      <c r="L430">
        <v>16.32</v>
      </c>
      <c r="M430">
        <v>212.2</v>
      </c>
      <c r="N430">
        <v>98</v>
      </c>
      <c r="O430">
        <v>9.5500000000000007</v>
      </c>
      <c r="P430">
        <v>11.3</v>
      </c>
      <c r="Q430">
        <v>11</v>
      </c>
      <c r="R430">
        <v>3.05</v>
      </c>
      <c r="S430">
        <v>3</v>
      </c>
      <c r="T430" t="b">
        <v>0</v>
      </c>
      <c r="U430">
        <f>IFERROR(SUM(Table1[[#This Row],[Total day minutes]],Table1[[#This Row],[Total eve minutes]],Table1[[#This Row],[Total night minutes]],Table1[[#This Row],[Total intl minutes]]),0)</f>
        <v>640.19999999999993</v>
      </c>
      <c r="V430">
        <f>SUM(Table1[[#This Row],[Total intl charge]],Table1[[#This Row],[Total night charge]],Table1[[#This Row],[Total eve charge]],Table1[[#This Row],[Total day charge]])</f>
        <v>67.12</v>
      </c>
      <c r="W430">
        <f>SUM(Table1[[#This Row],[Total intl calls]],Table1[[#This Row],[Total night calls]],Table1[[#This Row],[Total eve calls]],Table1[[#This Row],[Total day calls]])</f>
        <v>304</v>
      </c>
      <c r="X430" t="str" cm="1">
        <f t="array" ref="X430">_xlfn.IFS(Table1[[#This Row],[Customer service calls]]&gt;=4,"High risk",Table1[[#This Row],[Customer service calls]]&gt;=2,"Medium risk",TRUE,"Low risk")</f>
        <v>Medium risk</v>
      </c>
      <c r="Y430" t="str" cm="1">
        <f t="array" ref="Y430">IFERROR(_xlfn.IFS(Table1[[#This Row],[Total usage(Min)]]&gt;=AVERAGE(U:U)*1.1,"High risk",Table1[[#This Row],[Total usage(Min)]]&lt;= AVERAGE(U:U)*0.9,"Low risk",TRUE,"Medium risk"),"N/A")</f>
        <v>Medium risk</v>
      </c>
      <c r="Z430" t="str" cm="1">
        <f t="array" ref="Z430">IFERROR(_xlfn.IFS(Table1[[#This Row],[Total charges]]&gt;=AVERAGE(V:V)*1.1,"High risk",Table1[[#This Row],[Total charges]]&lt;=AVERAGE(V:V)*0.9,"Low risk",TRUE,"Medium risk"),"N/A")</f>
        <v>High risk</v>
      </c>
      <c r="AA4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0" t="str" cm="1">
        <f t="array" ref="AC430">_xlfn.IFS(
AND(Table1[[#This Row],[Customer service risk level]]="High risk", Table1[[#This Row],[Intl usage behaviour]]="Unplanned Usage"),"High Risk",
OR(Table1[[#This Row],[Customer service risk level]]="Medium risk", Table1[[#This Row],[Charges risk level]]="High risk "),"Medium Risk",
TRUE,"Low Risk"
)</f>
        <v>Medium Risk</v>
      </c>
    </row>
    <row r="431" spans="1:29" x14ac:dyDescent="0.25">
      <c r="A431" t="s">
        <v>48</v>
      </c>
      <c r="B431">
        <v>126</v>
      </c>
      <c r="C431">
        <v>415</v>
      </c>
      <c r="D431" t="s">
        <v>21</v>
      </c>
      <c r="E431" t="s">
        <v>21</v>
      </c>
      <c r="F431">
        <v>0</v>
      </c>
      <c r="G431">
        <v>190.9</v>
      </c>
      <c r="H431">
        <v>143</v>
      </c>
      <c r="I431">
        <v>32.450000000000003</v>
      </c>
      <c r="J431">
        <v>149.69999999999999</v>
      </c>
      <c r="K431">
        <v>72</v>
      </c>
      <c r="L431">
        <v>12.72</v>
      </c>
      <c r="M431">
        <v>191.4</v>
      </c>
      <c r="N431">
        <v>87</v>
      </c>
      <c r="O431">
        <v>8.61</v>
      </c>
      <c r="P431">
        <v>13</v>
      </c>
      <c r="Q431">
        <v>3</v>
      </c>
      <c r="R431">
        <v>3.51</v>
      </c>
      <c r="S431">
        <v>1</v>
      </c>
      <c r="T431" t="b">
        <v>0</v>
      </c>
      <c r="U431">
        <f>IFERROR(SUM(Table1[[#This Row],[Total day minutes]],Table1[[#This Row],[Total eve minutes]],Table1[[#This Row],[Total night minutes]],Table1[[#This Row],[Total intl minutes]]),0)</f>
        <v>545</v>
      </c>
      <c r="V431">
        <f>SUM(Table1[[#This Row],[Total intl charge]],Table1[[#This Row],[Total night charge]],Table1[[#This Row],[Total eve charge]],Table1[[#This Row],[Total day charge]])</f>
        <v>57.290000000000006</v>
      </c>
      <c r="W431">
        <f>SUM(Table1[[#This Row],[Total intl calls]],Table1[[#This Row],[Total night calls]],Table1[[#This Row],[Total eve calls]],Table1[[#This Row],[Total day calls]])</f>
        <v>305</v>
      </c>
      <c r="X431" t="str" cm="1">
        <f t="array" ref="X431">_xlfn.IFS(Table1[[#This Row],[Customer service calls]]&gt;=4,"High risk",Table1[[#This Row],[Customer service calls]]&gt;=2,"Medium risk",TRUE,"Low risk")</f>
        <v>Low risk</v>
      </c>
      <c r="Y431" t="str" cm="1">
        <f t="array" ref="Y431">IFERROR(_xlfn.IFS(Table1[[#This Row],[Total usage(Min)]]&gt;=AVERAGE(U:U)*1.1,"High risk",Table1[[#This Row],[Total usage(Min)]]&lt;= AVERAGE(U:U)*0.9,"Low risk",TRUE,"Medium risk"),"N/A")</f>
        <v>Medium risk</v>
      </c>
      <c r="Z431" t="str" cm="1">
        <f t="array" ref="Z431">IFERROR(_xlfn.IFS(Table1[[#This Row],[Total charges]]&gt;=AVERAGE(V:V)*1.1,"High risk",Table1[[#This Row],[Total charges]]&lt;=AVERAGE(V:V)*0.9,"Low risk",TRUE,"Medium risk"),"N/A")</f>
        <v>Medium risk</v>
      </c>
      <c r="AA4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1" t="str" cm="1">
        <f t="array" ref="AC431">_xlfn.IFS(
AND(Table1[[#This Row],[Customer service risk level]]="High risk", Table1[[#This Row],[Intl usage behaviour]]="Unplanned Usage"),"High Risk",
OR(Table1[[#This Row],[Customer service risk level]]="Medium risk", Table1[[#This Row],[Charges risk level]]="High risk "),"Medium Risk",
TRUE,"Low Risk"
)</f>
        <v>Low Risk</v>
      </c>
    </row>
    <row r="432" spans="1:29" x14ac:dyDescent="0.25">
      <c r="A432" t="s">
        <v>46</v>
      </c>
      <c r="B432">
        <v>41</v>
      </c>
      <c r="C432">
        <v>415</v>
      </c>
      <c r="D432" t="s">
        <v>21</v>
      </c>
      <c r="E432" t="s">
        <v>21</v>
      </c>
      <c r="F432">
        <v>0</v>
      </c>
      <c r="G432">
        <v>232.1</v>
      </c>
      <c r="H432">
        <v>74</v>
      </c>
      <c r="I432">
        <v>39.46</v>
      </c>
      <c r="J432">
        <v>327.10000000000002</v>
      </c>
      <c r="K432">
        <v>88</v>
      </c>
      <c r="L432">
        <v>27.8</v>
      </c>
      <c r="M432">
        <v>226.5</v>
      </c>
      <c r="N432">
        <v>119</v>
      </c>
      <c r="O432">
        <v>10.19</v>
      </c>
      <c r="P432">
        <v>10.9</v>
      </c>
      <c r="Q432">
        <v>2</v>
      </c>
      <c r="R432">
        <v>2.94</v>
      </c>
      <c r="S432">
        <v>3</v>
      </c>
      <c r="T432" t="b">
        <v>1</v>
      </c>
      <c r="U432">
        <f>IFERROR(SUM(Table1[[#This Row],[Total day minutes]],Table1[[#This Row],[Total eve minutes]],Table1[[#This Row],[Total night minutes]],Table1[[#This Row],[Total intl minutes]]),0)</f>
        <v>796.6</v>
      </c>
      <c r="V432">
        <f>SUM(Table1[[#This Row],[Total intl charge]],Table1[[#This Row],[Total night charge]],Table1[[#This Row],[Total eve charge]],Table1[[#This Row],[Total day charge]])</f>
        <v>80.39</v>
      </c>
      <c r="W432">
        <f>SUM(Table1[[#This Row],[Total intl calls]],Table1[[#This Row],[Total night calls]],Table1[[#This Row],[Total eve calls]],Table1[[#This Row],[Total day calls]])</f>
        <v>283</v>
      </c>
      <c r="X432" t="str" cm="1">
        <f t="array" ref="X432">_xlfn.IFS(Table1[[#This Row],[Customer service calls]]&gt;=4,"High risk",Table1[[#This Row],[Customer service calls]]&gt;=2,"Medium risk",TRUE,"Low risk")</f>
        <v>Medium risk</v>
      </c>
      <c r="Y432" t="str" cm="1">
        <f t="array" ref="Y432">IFERROR(_xlfn.IFS(Table1[[#This Row],[Total usage(Min)]]&gt;=AVERAGE(U:U)*1.1,"High risk",Table1[[#This Row],[Total usage(Min)]]&lt;= AVERAGE(U:U)*0.9,"Low risk",TRUE,"Medium risk"),"N/A")</f>
        <v>High risk</v>
      </c>
      <c r="Z432" t="str" cm="1">
        <f t="array" ref="Z432">IFERROR(_xlfn.IFS(Table1[[#This Row],[Total charges]]&gt;=AVERAGE(V:V)*1.1,"High risk",Table1[[#This Row],[Total charges]]&lt;=AVERAGE(V:V)*0.9,"Low risk",TRUE,"Medium risk"),"N/A")</f>
        <v>High risk</v>
      </c>
      <c r="AA4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2" t="str" cm="1">
        <f t="array" ref="AC432">_xlfn.IFS(
AND(Table1[[#This Row],[Customer service risk level]]="High risk", Table1[[#This Row],[Intl usage behaviour]]="Unplanned Usage"),"High Risk",
OR(Table1[[#This Row],[Customer service risk level]]="Medium risk", Table1[[#This Row],[Charges risk level]]="High risk "),"Medium Risk",
TRUE,"Low Risk"
)</f>
        <v>Medium Risk</v>
      </c>
    </row>
    <row r="433" spans="1:29" x14ac:dyDescent="0.25">
      <c r="A433" t="s">
        <v>57</v>
      </c>
      <c r="B433">
        <v>113</v>
      </c>
      <c r="C433">
        <v>415</v>
      </c>
      <c r="D433" t="s">
        <v>21</v>
      </c>
      <c r="E433" t="s">
        <v>21</v>
      </c>
      <c r="F433">
        <v>0</v>
      </c>
      <c r="G433">
        <v>90.6</v>
      </c>
      <c r="H433">
        <v>130</v>
      </c>
      <c r="I433">
        <v>15.4</v>
      </c>
      <c r="J433">
        <v>170.6</v>
      </c>
      <c r="K433">
        <v>100</v>
      </c>
      <c r="L433">
        <v>14.5</v>
      </c>
      <c r="M433">
        <v>137.4</v>
      </c>
      <c r="N433">
        <v>74</v>
      </c>
      <c r="O433">
        <v>6.18</v>
      </c>
      <c r="P433">
        <v>5.4</v>
      </c>
      <c r="Q433">
        <v>9</v>
      </c>
      <c r="R433">
        <v>1.46</v>
      </c>
      <c r="S433">
        <v>1</v>
      </c>
      <c r="T433" t="b">
        <v>0</v>
      </c>
      <c r="U433">
        <f>IFERROR(SUM(Table1[[#This Row],[Total day minutes]],Table1[[#This Row],[Total eve minutes]],Table1[[#This Row],[Total night minutes]],Table1[[#This Row],[Total intl minutes]]),0)</f>
        <v>404</v>
      </c>
      <c r="V433">
        <f>SUM(Table1[[#This Row],[Total intl charge]],Table1[[#This Row],[Total night charge]],Table1[[#This Row],[Total eve charge]],Table1[[#This Row],[Total day charge]])</f>
        <v>37.54</v>
      </c>
      <c r="W433">
        <f>SUM(Table1[[#This Row],[Total intl calls]],Table1[[#This Row],[Total night calls]],Table1[[#This Row],[Total eve calls]],Table1[[#This Row],[Total day calls]])</f>
        <v>313</v>
      </c>
      <c r="X433" t="str" cm="1">
        <f t="array" ref="X433">_xlfn.IFS(Table1[[#This Row],[Customer service calls]]&gt;=4,"High risk",Table1[[#This Row],[Customer service calls]]&gt;=2,"Medium risk",TRUE,"Low risk")</f>
        <v>Low risk</v>
      </c>
      <c r="Y433" t="str" cm="1">
        <f t="array" ref="Y433">IFERROR(_xlfn.IFS(Table1[[#This Row],[Total usage(Min)]]&gt;=AVERAGE(U:U)*1.1,"High risk",Table1[[#This Row],[Total usage(Min)]]&lt;= AVERAGE(U:U)*0.9,"Low risk",TRUE,"Medium risk"),"N/A")</f>
        <v>Low risk</v>
      </c>
      <c r="Z433" t="str" cm="1">
        <f t="array" ref="Z433">IFERROR(_xlfn.IFS(Table1[[#This Row],[Total charges]]&gt;=AVERAGE(V:V)*1.1,"High risk",Table1[[#This Row],[Total charges]]&lt;=AVERAGE(V:V)*0.9,"Low risk",TRUE,"Medium risk"),"N/A")</f>
        <v>Low risk</v>
      </c>
      <c r="AA4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3" t="str" cm="1">
        <f t="array" ref="AC433">_xlfn.IFS(
AND(Table1[[#This Row],[Customer service risk level]]="High risk", Table1[[#This Row],[Intl usage behaviour]]="Unplanned Usage"),"High Risk",
OR(Table1[[#This Row],[Customer service risk level]]="Medium risk", Table1[[#This Row],[Charges risk level]]="High risk "),"Medium Risk",
TRUE,"Low Risk"
)</f>
        <v>Low Risk</v>
      </c>
    </row>
    <row r="434" spans="1:29" x14ac:dyDescent="0.25">
      <c r="A434" t="s">
        <v>23</v>
      </c>
      <c r="B434">
        <v>78</v>
      </c>
      <c r="C434">
        <v>510</v>
      </c>
      <c r="D434" t="s">
        <v>21</v>
      </c>
      <c r="E434" t="s">
        <v>21</v>
      </c>
      <c r="F434">
        <v>0</v>
      </c>
      <c r="G434">
        <v>152.9</v>
      </c>
      <c r="H434">
        <v>81</v>
      </c>
      <c r="I434">
        <v>25.99</v>
      </c>
      <c r="J434">
        <v>256.60000000000002</v>
      </c>
      <c r="K434">
        <v>82</v>
      </c>
      <c r="L434">
        <v>21.81</v>
      </c>
      <c r="M434">
        <v>173.6</v>
      </c>
      <c r="N434">
        <v>112</v>
      </c>
      <c r="O434">
        <v>7.81</v>
      </c>
      <c r="P434">
        <v>5.3</v>
      </c>
      <c r="Q434">
        <v>6</v>
      </c>
      <c r="R434">
        <v>1.43</v>
      </c>
      <c r="S434">
        <v>2</v>
      </c>
      <c r="T434" t="b">
        <v>0</v>
      </c>
      <c r="U434">
        <f>IFERROR(SUM(Table1[[#This Row],[Total day minutes]],Table1[[#This Row],[Total eve minutes]],Table1[[#This Row],[Total night minutes]],Table1[[#This Row],[Total intl minutes]]),0)</f>
        <v>588.4</v>
      </c>
      <c r="V434">
        <f>SUM(Table1[[#This Row],[Total intl charge]],Table1[[#This Row],[Total night charge]],Table1[[#This Row],[Total eve charge]],Table1[[#This Row],[Total day charge]])</f>
        <v>57.039999999999992</v>
      </c>
      <c r="W434">
        <f>SUM(Table1[[#This Row],[Total intl calls]],Table1[[#This Row],[Total night calls]],Table1[[#This Row],[Total eve calls]],Table1[[#This Row],[Total day calls]])</f>
        <v>281</v>
      </c>
      <c r="X434" t="str" cm="1">
        <f t="array" ref="X434">_xlfn.IFS(Table1[[#This Row],[Customer service calls]]&gt;=4,"High risk",Table1[[#This Row],[Customer service calls]]&gt;=2,"Medium risk",TRUE,"Low risk")</f>
        <v>Medium risk</v>
      </c>
      <c r="Y434" t="str" cm="1">
        <f t="array" ref="Y434">IFERROR(_xlfn.IFS(Table1[[#This Row],[Total usage(Min)]]&gt;=AVERAGE(U:U)*1.1,"High risk",Table1[[#This Row],[Total usage(Min)]]&lt;= AVERAGE(U:U)*0.9,"Low risk",TRUE,"Medium risk"),"N/A")</f>
        <v>Medium risk</v>
      </c>
      <c r="Z434" t="str" cm="1">
        <f t="array" ref="Z434">IFERROR(_xlfn.IFS(Table1[[#This Row],[Total charges]]&gt;=AVERAGE(V:V)*1.1,"High risk",Table1[[#This Row],[Total charges]]&lt;=AVERAGE(V:V)*0.9,"Low risk",TRUE,"Medium risk"),"N/A")</f>
        <v>Medium risk</v>
      </c>
      <c r="AA4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4" t="str" cm="1">
        <f t="array" ref="AC434">_xlfn.IFS(
AND(Table1[[#This Row],[Customer service risk level]]="High risk", Table1[[#This Row],[Intl usage behaviour]]="Unplanned Usage"),"High Risk",
OR(Table1[[#This Row],[Customer service risk level]]="Medium risk", Table1[[#This Row],[Charges risk level]]="High risk "),"Medium Risk",
TRUE,"Low Risk"
)</f>
        <v>Medium Risk</v>
      </c>
    </row>
    <row r="435" spans="1:29" x14ac:dyDescent="0.25">
      <c r="A435" t="s">
        <v>40</v>
      </c>
      <c r="B435">
        <v>110</v>
      </c>
      <c r="C435">
        <v>415</v>
      </c>
      <c r="D435" t="s">
        <v>21</v>
      </c>
      <c r="E435" t="s">
        <v>21</v>
      </c>
      <c r="F435">
        <v>0</v>
      </c>
      <c r="G435">
        <v>241.2</v>
      </c>
      <c r="H435">
        <v>105</v>
      </c>
      <c r="I435">
        <v>41</v>
      </c>
      <c r="J435">
        <v>174.3</v>
      </c>
      <c r="K435">
        <v>85</v>
      </c>
      <c r="L435">
        <v>14.82</v>
      </c>
      <c r="M435">
        <v>245.3</v>
      </c>
      <c r="N435">
        <v>59</v>
      </c>
      <c r="O435">
        <v>11.04</v>
      </c>
      <c r="P435">
        <v>8.5</v>
      </c>
      <c r="Q435">
        <v>4</v>
      </c>
      <c r="R435">
        <v>2.2999999999999998</v>
      </c>
      <c r="S435">
        <v>2</v>
      </c>
      <c r="T435" t="b">
        <v>0</v>
      </c>
      <c r="U435">
        <f>IFERROR(SUM(Table1[[#This Row],[Total day minutes]],Table1[[#This Row],[Total eve minutes]],Table1[[#This Row],[Total night minutes]],Table1[[#This Row],[Total intl minutes]]),0)</f>
        <v>669.3</v>
      </c>
      <c r="V435">
        <f>SUM(Table1[[#This Row],[Total intl charge]],Table1[[#This Row],[Total night charge]],Table1[[#This Row],[Total eve charge]],Table1[[#This Row],[Total day charge]])</f>
        <v>69.16</v>
      </c>
      <c r="W435">
        <f>SUM(Table1[[#This Row],[Total intl calls]],Table1[[#This Row],[Total night calls]],Table1[[#This Row],[Total eve calls]],Table1[[#This Row],[Total day calls]])</f>
        <v>253</v>
      </c>
      <c r="X435" t="str" cm="1">
        <f t="array" ref="X435">_xlfn.IFS(Table1[[#This Row],[Customer service calls]]&gt;=4,"High risk",Table1[[#This Row],[Customer service calls]]&gt;=2,"Medium risk",TRUE,"Low risk")</f>
        <v>Medium risk</v>
      </c>
      <c r="Y435" t="str" cm="1">
        <f t="array" ref="Y435">IFERROR(_xlfn.IFS(Table1[[#This Row],[Total usage(Min)]]&gt;=AVERAGE(U:U)*1.1,"High risk",Table1[[#This Row],[Total usage(Min)]]&lt;= AVERAGE(U:U)*0.9,"Low risk",TRUE,"Medium risk"),"N/A")</f>
        <v>High risk</v>
      </c>
      <c r="Z435" t="str" cm="1">
        <f t="array" ref="Z435">IFERROR(_xlfn.IFS(Table1[[#This Row],[Total charges]]&gt;=AVERAGE(V:V)*1.1,"High risk",Table1[[#This Row],[Total charges]]&lt;=AVERAGE(V:V)*0.9,"Low risk",TRUE,"Medium risk"),"N/A")</f>
        <v>High risk</v>
      </c>
      <c r="AA4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5" t="str" cm="1">
        <f t="array" ref="AC435">_xlfn.IFS(
AND(Table1[[#This Row],[Customer service risk level]]="High risk", Table1[[#This Row],[Intl usage behaviour]]="Unplanned Usage"),"High Risk",
OR(Table1[[#This Row],[Customer service risk level]]="Medium risk", Table1[[#This Row],[Charges risk level]]="High risk "),"Medium Risk",
TRUE,"Low Risk"
)</f>
        <v>Medium Risk</v>
      </c>
    </row>
    <row r="436" spans="1:29" x14ac:dyDescent="0.25">
      <c r="A436" t="s">
        <v>41</v>
      </c>
      <c r="B436">
        <v>112</v>
      </c>
      <c r="C436">
        <v>415</v>
      </c>
      <c r="D436" t="s">
        <v>27</v>
      </c>
      <c r="E436" t="s">
        <v>27</v>
      </c>
      <c r="F436">
        <v>16</v>
      </c>
      <c r="G436">
        <v>200.3</v>
      </c>
      <c r="H436">
        <v>72</v>
      </c>
      <c r="I436">
        <v>34.049999999999997</v>
      </c>
      <c r="J436">
        <v>197.8</v>
      </c>
      <c r="K436">
        <v>91</v>
      </c>
      <c r="L436">
        <v>16.809999999999999</v>
      </c>
      <c r="M436">
        <v>151.1</v>
      </c>
      <c r="N436">
        <v>92</v>
      </c>
      <c r="O436">
        <v>6.8</v>
      </c>
      <c r="P436">
        <v>10.4</v>
      </c>
      <c r="Q436">
        <v>3</v>
      </c>
      <c r="R436">
        <v>2.81</v>
      </c>
      <c r="S436">
        <v>1</v>
      </c>
      <c r="T436" t="b">
        <v>0</v>
      </c>
      <c r="U436">
        <f>IFERROR(SUM(Table1[[#This Row],[Total day minutes]],Table1[[#This Row],[Total eve minutes]],Table1[[#This Row],[Total night minutes]],Table1[[#This Row],[Total intl minutes]]),0)</f>
        <v>559.6</v>
      </c>
      <c r="V436">
        <f>SUM(Table1[[#This Row],[Total intl charge]],Table1[[#This Row],[Total night charge]],Table1[[#This Row],[Total eve charge]],Table1[[#This Row],[Total day charge]])</f>
        <v>60.47</v>
      </c>
      <c r="W436">
        <f>SUM(Table1[[#This Row],[Total intl calls]],Table1[[#This Row],[Total night calls]],Table1[[#This Row],[Total eve calls]],Table1[[#This Row],[Total day calls]])</f>
        <v>258</v>
      </c>
      <c r="X436" t="str" cm="1">
        <f t="array" ref="X436">_xlfn.IFS(Table1[[#This Row],[Customer service calls]]&gt;=4,"High risk",Table1[[#This Row],[Customer service calls]]&gt;=2,"Medium risk",TRUE,"Low risk")</f>
        <v>Low risk</v>
      </c>
      <c r="Y436" t="str" cm="1">
        <f t="array" ref="Y436">IFERROR(_xlfn.IFS(Table1[[#This Row],[Total usage(Min)]]&gt;=AVERAGE(U:U)*1.1,"High risk",Table1[[#This Row],[Total usage(Min)]]&lt;= AVERAGE(U:U)*0.9,"Low risk",TRUE,"Medium risk"),"N/A")</f>
        <v>Medium risk</v>
      </c>
      <c r="Z436" t="str" cm="1">
        <f t="array" ref="Z436">IFERROR(_xlfn.IFS(Table1[[#This Row],[Total charges]]&gt;=AVERAGE(V:V)*1.1,"High risk",Table1[[#This Row],[Total charges]]&lt;=AVERAGE(V:V)*0.9,"Low risk",TRUE,"Medium risk"),"N/A")</f>
        <v>Medium risk</v>
      </c>
      <c r="AA4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3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36" t="str" cm="1">
        <f t="array" ref="AC436">_xlfn.IFS(
AND(Table1[[#This Row],[Customer service risk level]]="High risk", Table1[[#This Row],[Intl usage behaviour]]="Unplanned Usage"),"High Risk",
OR(Table1[[#This Row],[Customer service risk level]]="Medium risk", Table1[[#This Row],[Charges risk level]]="High risk "),"Medium Risk",
TRUE,"Low Risk"
)</f>
        <v>Low Risk</v>
      </c>
    </row>
    <row r="437" spans="1:29" x14ac:dyDescent="0.25">
      <c r="A437" t="s">
        <v>29</v>
      </c>
      <c r="B437">
        <v>104</v>
      </c>
      <c r="C437">
        <v>510</v>
      </c>
      <c r="D437" t="s">
        <v>21</v>
      </c>
      <c r="E437" t="s">
        <v>21</v>
      </c>
      <c r="F437">
        <v>0</v>
      </c>
      <c r="G437">
        <v>97.2</v>
      </c>
      <c r="H437">
        <v>88</v>
      </c>
      <c r="I437">
        <v>16.52</v>
      </c>
      <c r="J437">
        <v>155.6</v>
      </c>
      <c r="K437">
        <v>85</v>
      </c>
      <c r="L437">
        <v>13.23</v>
      </c>
      <c r="M437">
        <v>261.60000000000002</v>
      </c>
      <c r="N437">
        <v>105</v>
      </c>
      <c r="O437">
        <v>11.77</v>
      </c>
      <c r="P437">
        <v>12.4</v>
      </c>
      <c r="Q437">
        <v>5</v>
      </c>
      <c r="R437">
        <v>3.35</v>
      </c>
      <c r="S437">
        <v>0</v>
      </c>
      <c r="T437" t="b">
        <v>0</v>
      </c>
      <c r="U437">
        <f>IFERROR(SUM(Table1[[#This Row],[Total day minutes]],Table1[[#This Row],[Total eve minutes]],Table1[[#This Row],[Total night minutes]],Table1[[#This Row],[Total intl minutes]]),0)</f>
        <v>526.80000000000007</v>
      </c>
      <c r="V437">
        <f>SUM(Table1[[#This Row],[Total intl charge]],Table1[[#This Row],[Total night charge]],Table1[[#This Row],[Total eve charge]],Table1[[#This Row],[Total day charge]])</f>
        <v>44.870000000000005</v>
      </c>
      <c r="W437">
        <f>SUM(Table1[[#This Row],[Total intl calls]],Table1[[#This Row],[Total night calls]],Table1[[#This Row],[Total eve calls]],Table1[[#This Row],[Total day calls]])</f>
        <v>283</v>
      </c>
      <c r="X437" t="str" cm="1">
        <f t="array" ref="X437">_xlfn.IFS(Table1[[#This Row],[Customer service calls]]&gt;=4,"High risk",Table1[[#This Row],[Customer service calls]]&gt;=2,"Medium risk",TRUE,"Low risk")</f>
        <v>Low risk</v>
      </c>
      <c r="Y437" t="str" cm="1">
        <f t="array" ref="Y437">IFERROR(_xlfn.IFS(Table1[[#This Row],[Total usage(Min)]]&gt;=AVERAGE(U:U)*1.1,"High risk",Table1[[#This Row],[Total usage(Min)]]&lt;= AVERAGE(U:U)*0.9,"Low risk",TRUE,"Medium risk"),"N/A")</f>
        <v>Low risk</v>
      </c>
      <c r="Z437" t="str" cm="1">
        <f t="array" ref="Z437">IFERROR(_xlfn.IFS(Table1[[#This Row],[Total charges]]&gt;=AVERAGE(V:V)*1.1,"High risk",Table1[[#This Row],[Total charges]]&lt;=AVERAGE(V:V)*0.9,"Low risk",TRUE,"Medium risk"),"N/A")</f>
        <v>Low risk</v>
      </c>
      <c r="AA4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7" t="str" cm="1">
        <f t="array" ref="AC437">_xlfn.IFS(
AND(Table1[[#This Row],[Customer service risk level]]="High risk", Table1[[#This Row],[Intl usage behaviour]]="Unplanned Usage"),"High Risk",
OR(Table1[[#This Row],[Customer service risk level]]="Medium risk", Table1[[#This Row],[Charges risk level]]="High risk "),"Medium Risk",
TRUE,"Low Risk"
)</f>
        <v>Low Risk</v>
      </c>
    </row>
    <row r="438" spans="1:29" x14ac:dyDescent="0.25">
      <c r="A438" t="s">
        <v>66</v>
      </c>
      <c r="B438">
        <v>127</v>
      </c>
      <c r="C438">
        <v>510</v>
      </c>
      <c r="D438" t="s">
        <v>21</v>
      </c>
      <c r="E438" t="s">
        <v>21</v>
      </c>
      <c r="F438">
        <v>0</v>
      </c>
      <c r="G438">
        <v>224.3</v>
      </c>
      <c r="H438">
        <v>112</v>
      </c>
      <c r="I438">
        <v>38.130000000000003</v>
      </c>
      <c r="J438">
        <v>185.7</v>
      </c>
      <c r="K438">
        <v>103</v>
      </c>
      <c r="L438">
        <v>15.78</v>
      </c>
      <c r="M438">
        <v>159.4</v>
      </c>
      <c r="N438">
        <v>83</v>
      </c>
      <c r="O438">
        <v>7.17</v>
      </c>
      <c r="P438">
        <v>10</v>
      </c>
      <c r="Q438">
        <v>1</v>
      </c>
      <c r="R438">
        <v>2.7</v>
      </c>
      <c r="S438">
        <v>2</v>
      </c>
      <c r="T438" t="b">
        <v>0</v>
      </c>
      <c r="U438">
        <f>IFERROR(SUM(Table1[[#This Row],[Total day minutes]],Table1[[#This Row],[Total eve minutes]],Table1[[#This Row],[Total night minutes]],Table1[[#This Row],[Total intl minutes]]),0)</f>
        <v>579.4</v>
      </c>
      <c r="V438">
        <f>SUM(Table1[[#This Row],[Total intl charge]],Table1[[#This Row],[Total night charge]],Table1[[#This Row],[Total eve charge]],Table1[[#This Row],[Total day charge]])</f>
        <v>63.78</v>
      </c>
      <c r="W438">
        <f>SUM(Table1[[#This Row],[Total intl calls]],Table1[[#This Row],[Total night calls]],Table1[[#This Row],[Total eve calls]],Table1[[#This Row],[Total day calls]])</f>
        <v>299</v>
      </c>
      <c r="X438" t="str" cm="1">
        <f t="array" ref="X438">_xlfn.IFS(Table1[[#This Row],[Customer service calls]]&gt;=4,"High risk",Table1[[#This Row],[Customer service calls]]&gt;=2,"Medium risk",TRUE,"Low risk")</f>
        <v>Medium risk</v>
      </c>
      <c r="Y438" t="str" cm="1">
        <f t="array" ref="Y438">IFERROR(_xlfn.IFS(Table1[[#This Row],[Total usage(Min)]]&gt;=AVERAGE(U:U)*1.1,"High risk",Table1[[#This Row],[Total usage(Min)]]&lt;= AVERAGE(U:U)*0.9,"Low risk",TRUE,"Medium risk"),"N/A")</f>
        <v>Medium risk</v>
      </c>
      <c r="Z438" t="str" cm="1">
        <f t="array" ref="Z438">IFERROR(_xlfn.IFS(Table1[[#This Row],[Total charges]]&gt;=AVERAGE(V:V)*1.1,"High risk",Table1[[#This Row],[Total charges]]&lt;=AVERAGE(V:V)*0.9,"Low risk",TRUE,"Medium risk"),"N/A")</f>
        <v>Medium risk</v>
      </c>
      <c r="AA4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8" t="str" cm="1">
        <f t="array" ref="AC438">_xlfn.IFS(
AND(Table1[[#This Row],[Customer service risk level]]="High risk", Table1[[#This Row],[Intl usage behaviour]]="Unplanned Usage"),"High Risk",
OR(Table1[[#This Row],[Customer service risk level]]="Medium risk", Table1[[#This Row],[Charges risk level]]="High risk "),"Medium Risk",
TRUE,"Low Risk"
)</f>
        <v>Medium Risk</v>
      </c>
    </row>
    <row r="439" spans="1:29" x14ac:dyDescent="0.25">
      <c r="A439" t="s">
        <v>41</v>
      </c>
      <c r="B439">
        <v>61</v>
      </c>
      <c r="C439">
        <v>408</v>
      </c>
      <c r="D439" t="s">
        <v>21</v>
      </c>
      <c r="E439" t="s">
        <v>21</v>
      </c>
      <c r="F439">
        <v>0</v>
      </c>
      <c r="G439">
        <v>267.10000000000002</v>
      </c>
      <c r="H439">
        <v>104</v>
      </c>
      <c r="I439">
        <v>45.41</v>
      </c>
      <c r="J439">
        <v>180.4</v>
      </c>
      <c r="K439">
        <v>131</v>
      </c>
      <c r="L439">
        <v>15.33</v>
      </c>
      <c r="M439">
        <v>230.6</v>
      </c>
      <c r="N439">
        <v>106</v>
      </c>
      <c r="O439">
        <v>10.38</v>
      </c>
      <c r="P439">
        <v>17.3</v>
      </c>
      <c r="Q439">
        <v>4</v>
      </c>
      <c r="R439">
        <v>4.67</v>
      </c>
      <c r="S439">
        <v>1</v>
      </c>
      <c r="T439" t="b">
        <v>1</v>
      </c>
      <c r="U439">
        <f>IFERROR(SUM(Table1[[#This Row],[Total day minutes]],Table1[[#This Row],[Total eve minutes]],Table1[[#This Row],[Total night minutes]],Table1[[#This Row],[Total intl minutes]]),0)</f>
        <v>695.4</v>
      </c>
      <c r="V439">
        <f>SUM(Table1[[#This Row],[Total intl charge]],Table1[[#This Row],[Total night charge]],Table1[[#This Row],[Total eve charge]],Table1[[#This Row],[Total day charge]])</f>
        <v>75.789999999999992</v>
      </c>
      <c r="W439">
        <f>SUM(Table1[[#This Row],[Total intl calls]],Table1[[#This Row],[Total night calls]],Table1[[#This Row],[Total eve calls]],Table1[[#This Row],[Total day calls]])</f>
        <v>345</v>
      </c>
      <c r="X439" t="str" cm="1">
        <f t="array" ref="X439">_xlfn.IFS(Table1[[#This Row],[Customer service calls]]&gt;=4,"High risk",Table1[[#This Row],[Customer service calls]]&gt;=2,"Medium risk",TRUE,"Low risk")</f>
        <v>Low risk</v>
      </c>
      <c r="Y439" t="str" cm="1">
        <f t="array" ref="Y439">IFERROR(_xlfn.IFS(Table1[[#This Row],[Total usage(Min)]]&gt;=AVERAGE(U:U)*1.1,"High risk",Table1[[#This Row],[Total usage(Min)]]&lt;= AVERAGE(U:U)*0.9,"Low risk",TRUE,"Medium risk"),"N/A")</f>
        <v>High risk</v>
      </c>
      <c r="Z439" t="str" cm="1">
        <f t="array" ref="Z439">IFERROR(_xlfn.IFS(Table1[[#This Row],[Total charges]]&gt;=AVERAGE(V:V)*1.1,"High risk",Table1[[#This Row],[Total charges]]&lt;=AVERAGE(V:V)*0.9,"Low risk",TRUE,"Medium risk"),"N/A")</f>
        <v>High risk</v>
      </c>
      <c r="AA4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39" t="str" cm="1">
        <f t="array" ref="AC439">_xlfn.IFS(
AND(Table1[[#This Row],[Customer service risk level]]="High risk", Table1[[#This Row],[Intl usage behaviour]]="Unplanned Usage"),"High Risk",
OR(Table1[[#This Row],[Customer service risk level]]="Medium risk", Table1[[#This Row],[Charges risk level]]="High risk "),"Medium Risk",
TRUE,"Low Risk"
)</f>
        <v>Low Risk</v>
      </c>
    </row>
    <row r="440" spans="1:29" x14ac:dyDescent="0.25">
      <c r="A440" t="s">
        <v>57</v>
      </c>
      <c r="B440">
        <v>65</v>
      </c>
      <c r="C440">
        <v>415</v>
      </c>
      <c r="D440" t="s">
        <v>21</v>
      </c>
      <c r="E440" t="s">
        <v>27</v>
      </c>
      <c r="F440">
        <v>29</v>
      </c>
      <c r="G440">
        <v>215.5</v>
      </c>
      <c r="H440">
        <v>129</v>
      </c>
      <c r="I440">
        <v>36.64</v>
      </c>
      <c r="J440">
        <v>161.9</v>
      </c>
      <c r="K440">
        <v>77</v>
      </c>
      <c r="L440">
        <v>13.76</v>
      </c>
      <c r="M440">
        <v>128.30000000000001</v>
      </c>
      <c r="N440">
        <v>91</v>
      </c>
      <c r="O440">
        <v>5.77</v>
      </c>
      <c r="P440">
        <v>8.8000000000000007</v>
      </c>
      <c r="Q440">
        <v>5</v>
      </c>
      <c r="R440">
        <v>2.38</v>
      </c>
      <c r="S440">
        <v>2</v>
      </c>
      <c r="T440" t="b">
        <v>0</v>
      </c>
      <c r="U440">
        <f>IFERROR(SUM(Table1[[#This Row],[Total day minutes]],Table1[[#This Row],[Total eve minutes]],Table1[[#This Row],[Total night minutes]],Table1[[#This Row],[Total intl minutes]]),0)</f>
        <v>514.5</v>
      </c>
      <c r="V440">
        <f>SUM(Table1[[#This Row],[Total intl charge]],Table1[[#This Row],[Total night charge]],Table1[[#This Row],[Total eve charge]],Table1[[#This Row],[Total day charge]])</f>
        <v>58.55</v>
      </c>
      <c r="W440">
        <f>SUM(Table1[[#This Row],[Total intl calls]],Table1[[#This Row],[Total night calls]],Table1[[#This Row],[Total eve calls]],Table1[[#This Row],[Total day calls]])</f>
        <v>302</v>
      </c>
      <c r="X440" t="str" cm="1">
        <f t="array" ref="X440">_xlfn.IFS(Table1[[#This Row],[Customer service calls]]&gt;=4,"High risk",Table1[[#This Row],[Customer service calls]]&gt;=2,"Medium risk",TRUE,"Low risk")</f>
        <v>Medium risk</v>
      </c>
      <c r="Y440" t="str" cm="1">
        <f t="array" ref="Y440">IFERROR(_xlfn.IFS(Table1[[#This Row],[Total usage(Min)]]&gt;=AVERAGE(U:U)*1.1,"High risk",Table1[[#This Row],[Total usage(Min)]]&lt;= AVERAGE(U:U)*0.9,"Low risk",TRUE,"Medium risk"),"N/A")</f>
        <v>Low risk</v>
      </c>
      <c r="Z440" t="str" cm="1">
        <f t="array" ref="Z440">IFERROR(_xlfn.IFS(Table1[[#This Row],[Total charges]]&gt;=AVERAGE(V:V)*1.1,"High risk",Table1[[#This Row],[Total charges]]&lt;=AVERAGE(V:V)*0.9,"Low risk",TRUE,"Medium risk"),"N/A")</f>
        <v>Medium risk</v>
      </c>
      <c r="AA4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40" t="str" cm="1">
        <f t="array" ref="AC440">_xlfn.IFS(
AND(Table1[[#This Row],[Customer service risk level]]="High risk", Table1[[#This Row],[Intl usage behaviour]]="Unplanned Usage"),"High Risk",
OR(Table1[[#This Row],[Customer service risk level]]="Medium risk", Table1[[#This Row],[Charges risk level]]="High risk "),"Medium Risk",
TRUE,"Low Risk"
)</f>
        <v>Medium Risk</v>
      </c>
    </row>
    <row r="441" spans="1:29" x14ac:dyDescent="0.25">
      <c r="A441" t="s">
        <v>56</v>
      </c>
      <c r="B441">
        <v>152</v>
      </c>
      <c r="C441">
        <v>408</v>
      </c>
      <c r="D441" t="s">
        <v>21</v>
      </c>
      <c r="E441" t="s">
        <v>27</v>
      </c>
      <c r="F441">
        <v>20</v>
      </c>
      <c r="G441">
        <v>239.1</v>
      </c>
      <c r="H441">
        <v>105</v>
      </c>
      <c r="I441">
        <v>40.65</v>
      </c>
      <c r="J441">
        <v>209.1</v>
      </c>
      <c r="K441">
        <v>111</v>
      </c>
      <c r="L441">
        <v>17.77</v>
      </c>
      <c r="M441">
        <v>268.2</v>
      </c>
      <c r="N441">
        <v>130</v>
      </c>
      <c r="O441">
        <v>12.07</v>
      </c>
      <c r="P441">
        <v>13.3</v>
      </c>
      <c r="Q441">
        <v>3</v>
      </c>
      <c r="R441">
        <v>3.59</v>
      </c>
      <c r="S441">
        <v>5</v>
      </c>
      <c r="T441" t="b">
        <v>0</v>
      </c>
      <c r="U441">
        <f>IFERROR(SUM(Table1[[#This Row],[Total day minutes]],Table1[[#This Row],[Total eve minutes]],Table1[[#This Row],[Total night minutes]],Table1[[#This Row],[Total intl minutes]]),0)</f>
        <v>729.69999999999993</v>
      </c>
      <c r="V441">
        <f>SUM(Table1[[#This Row],[Total intl charge]],Table1[[#This Row],[Total night charge]],Table1[[#This Row],[Total eve charge]],Table1[[#This Row],[Total day charge]])</f>
        <v>74.08</v>
      </c>
      <c r="W441">
        <f>SUM(Table1[[#This Row],[Total intl calls]],Table1[[#This Row],[Total night calls]],Table1[[#This Row],[Total eve calls]],Table1[[#This Row],[Total day calls]])</f>
        <v>349</v>
      </c>
      <c r="X441" t="str" cm="1">
        <f t="array" ref="X441">_xlfn.IFS(Table1[[#This Row],[Customer service calls]]&gt;=4,"High risk",Table1[[#This Row],[Customer service calls]]&gt;=2,"Medium risk",TRUE,"Low risk")</f>
        <v>High risk</v>
      </c>
      <c r="Y441" t="str" cm="1">
        <f t="array" ref="Y441">IFERROR(_xlfn.IFS(Table1[[#This Row],[Total usage(Min)]]&gt;=AVERAGE(U:U)*1.1,"High risk",Table1[[#This Row],[Total usage(Min)]]&lt;= AVERAGE(U:U)*0.9,"Low risk",TRUE,"Medium risk"),"N/A")</f>
        <v>High risk</v>
      </c>
      <c r="Z441" t="str" cm="1">
        <f t="array" ref="Z441">IFERROR(_xlfn.IFS(Table1[[#This Row],[Total charges]]&gt;=AVERAGE(V:V)*1.1,"High risk",Table1[[#This Row],[Total charges]]&lt;=AVERAGE(V:V)*0.9,"Low risk",TRUE,"Medium risk"),"N/A")</f>
        <v>High risk</v>
      </c>
      <c r="AA4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41" t="str" cm="1">
        <f t="array" ref="AC441">_xlfn.IFS(
AND(Table1[[#This Row],[Customer service risk level]]="High risk", Table1[[#This Row],[Intl usage behaviour]]="Unplanned Usage"),"High Risk",
OR(Table1[[#This Row],[Customer service risk level]]="Medium risk", Table1[[#This Row],[Charges risk level]]="High risk "),"Medium Risk",
TRUE,"Low Risk"
)</f>
        <v>High Risk</v>
      </c>
    </row>
    <row r="442" spans="1:29" x14ac:dyDescent="0.25">
      <c r="A442" t="s">
        <v>57</v>
      </c>
      <c r="B442">
        <v>63</v>
      </c>
      <c r="C442">
        <v>415</v>
      </c>
      <c r="D442" t="s">
        <v>27</v>
      </c>
      <c r="E442" t="s">
        <v>21</v>
      </c>
      <c r="F442">
        <v>0</v>
      </c>
      <c r="G442">
        <v>62.9</v>
      </c>
      <c r="H442">
        <v>112</v>
      </c>
      <c r="I442">
        <v>10.69</v>
      </c>
      <c r="J442">
        <v>202.9</v>
      </c>
      <c r="K442">
        <v>111</v>
      </c>
      <c r="L442">
        <v>17.25</v>
      </c>
      <c r="M442">
        <v>259</v>
      </c>
      <c r="N442">
        <v>58</v>
      </c>
      <c r="O442">
        <v>11.66</v>
      </c>
      <c r="P442">
        <v>8.9</v>
      </c>
      <c r="Q442">
        <v>8</v>
      </c>
      <c r="R442">
        <v>2.4</v>
      </c>
      <c r="S442">
        <v>1</v>
      </c>
      <c r="T442" t="b">
        <v>0</v>
      </c>
      <c r="U442">
        <f>IFERROR(SUM(Table1[[#This Row],[Total day minutes]],Table1[[#This Row],[Total eve minutes]],Table1[[#This Row],[Total night minutes]],Table1[[#This Row],[Total intl minutes]]),0)</f>
        <v>533.69999999999993</v>
      </c>
      <c r="V442">
        <f>SUM(Table1[[#This Row],[Total intl charge]],Table1[[#This Row],[Total night charge]],Table1[[#This Row],[Total eve charge]],Table1[[#This Row],[Total day charge]])</f>
        <v>42</v>
      </c>
      <c r="W442">
        <f>SUM(Table1[[#This Row],[Total intl calls]],Table1[[#This Row],[Total night calls]],Table1[[#This Row],[Total eve calls]],Table1[[#This Row],[Total day calls]])</f>
        <v>289</v>
      </c>
      <c r="X442" t="str" cm="1">
        <f t="array" ref="X442">_xlfn.IFS(Table1[[#This Row],[Customer service calls]]&gt;=4,"High risk",Table1[[#This Row],[Customer service calls]]&gt;=2,"Medium risk",TRUE,"Low risk")</f>
        <v>Low risk</v>
      </c>
      <c r="Y442" t="str" cm="1">
        <f t="array" ref="Y442">IFERROR(_xlfn.IFS(Table1[[#This Row],[Total usage(Min)]]&gt;=AVERAGE(U:U)*1.1,"High risk",Table1[[#This Row],[Total usage(Min)]]&lt;= AVERAGE(U:U)*0.9,"Low risk",TRUE,"Medium risk"),"N/A")</f>
        <v>Low risk</v>
      </c>
      <c r="Z442" t="str" cm="1">
        <f t="array" ref="Z442">IFERROR(_xlfn.IFS(Table1[[#This Row],[Total charges]]&gt;=AVERAGE(V:V)*1.1,"High risk",Table1[[#This Row],[Total charges]]&lt;=AVERAGE(V:V)*0.9,"Low risk",TRUE,"Medium risk"),"N/A")</f>
        <v>Low risk</v>
      </c>
      <c r="AA4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4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2" t="str" cm="1">
        <f t="array" ref="AC442">_xlfn.IFS(
AND(Table1[[#This Row],[Customer service risk level]]="High risk", Table1[[#This Row],[Intl usage behaviour]]="Unplanned Usage"),"High Risk",
OR(Table1[[#This Row],[Customer service risk level]]="Medium risk", Table1[[#This Row],[Charges risk level]]="High risk "),"Medium Risk",
TRUE,"Low Risk"
)</f>
        <v>Low Risk</v>
      </c>
    </row>
    <row r="443" spans="1:29" x14ac:dyDescent="0.25">
      <c r="A443" t="s">
        <v>71</v>
      </c>
      <c r="B443">
        <v>100</v>
      </c>
      <c r="C443">
        <v>408</v>
      </c>
      <c r="D443" t="s">
        <v>21</v>
      </c>
      <c r="E443" t="s">
        <v>21</v>
      </c>
      <c r="F443">
        <v>0</v>
      </c>
      <c r="G443">
        <v>210.9</v>
      </c>
      <c r="H443">
        <v>85</v>
      </c>
      <c r="I443">
        <v>35.85</v>
      </c>
      <c r="J443">
        <v>329.3</v>
      </c>
      <c r="K443">
        <v>69</v>
      </c>
      <c r="L443">
        <v>27.99</v>
      </c>
      <c r="M443">
        <v>127.1</v>
      </c>
      <c r="N443">
        <v>78</v>
      </c>
      <c r="O443">
        <v>5.72</v>
      </c>
      <c r="P443">
        <v>9.4</v>
      </c>
      <c r="Q443">
        <v>5</v>
      </c>
      <c r="R443">
        <v>2.54</v>
      </c>
      <c r="S443">
        <v>4</v>
      </c>
      <c r="T443" t="b">
        <v>0</v>
      </c>
      <c r="U443">
        <f>IFERROR(SUM(Table1[[#This Row],[Total day minutes]],Table1[[#This Row],[Total eve minutes]],Table1[[#This Row],[Total night minutes]],Table1[[#This Row],[Total intl minutes]]),0)</f>
        <v>676.7</v>
      </c>
      <c r="V443">
        <f>SUM(Table1[[#This Row],[Total intl charge]],Table1[[#This Row],[Total night charge]],Table1[[#This Row],[Total eve charge]],Table1[[#This Row],[Total day charge]])</f>
        <v>72.099999999999994</v>
      </c>
      <c r="W443">
        <f>SUM(Table1[[#This Row],[Total intl calls]],Table1[[#This Row],[Total night calls]],Table1[[#This Row],[Total eve calls]],Table1[[#This Row],[Total day calls]])</f>
        <v>237</v>
      </c>
      <c r="X443" t="str" cm="1">
        <f t="array" ref="X443">_xlfn.IFS(Table1[[#This Row],[Customer service calls]]&gt;=4,"High risk",Table1[[#This Row],[Customer service calls]]&gt;=2,"Medium risk",TRUE,"Low risk")</f>
        <v>High risk</v>
      </c>
      <c r="Y443" t="str" cm="1">
        <f t="array" ref="Y443">IFERROR(_xlfn.IFS(Table1[[#This Row],[Total usage(Min)]]&gt;=AVERAGE(U:U)*1.1,"High risk",Table1[[#This Row],[Total usage(Min)]]&lt;= AVERAGE(U:U)*0.9,"Low risk",TRUE,"Medium risk"),"N/A")</f>
        <v>High risk</v>
      </c>
      <c r="Z443" t="str" cm="1">
        <f t="array" ref="Z443">IFERROR(_xlfn.IFS(Table1[[#This Row],[Total charges]]&gt;=AVERAGE(V:V)*1.1,"High risk",Table1[[#This Row],[Total charges]]&lt;=AVERAGE(V:V)*0.9,"Low risk",TRUE,"Medium risk"),"N/A")</f>
        <v>High risk</v>
      </c>
      <c r="AA4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3" t="str" cm="1">
        <f t="array" ref="AC443">_xlfn.IFS(
AND(Table1[[#This Row],[Customer service risk level]]="High risk", Table1[[#This Row],[Intl usage behaviour]]="Unplanned Usage"),"High Risk",
OR(Table1[[#This Row],[Customer service risk level]]="Medium risk", Table1[[#This Row],[Charges risk level]]="High risk "),"Medium Risk",
TRUE,"Low Risk"
)</f>
        <v>High Risk</v>
      </c>
    </row>
    <row r="444" spans="1:29" x14ac:dyDescent="0.25">
      <c r="A444" t="s">
        <v>49</v>
      </c>
      <c r="B444">
        <v>29</v>
      </c>
      <c r="C444">
        <v>510</v>
      </c>
      <c r="D444" t="s">
        <v>21</v>
      </c>
      <c r="E444" t="s">
        <v>21</v>
      </c>
      <c r="F444">
        <v>0</v>
      </c>
      <c r="G444">
        <v>313.2</v>
      </c>
      <c r="H444">
        <v>103</v>
      </c>
      <c r="I444">
        <v>53.24</v>
      </c>
      <c r="J444">
        <v>216.3</v>
      </c>
      <c r="K444">
        <v>151</v>
      </c>
      <c r="L444">
        <v>18.39</v>
      </c>
      <c r="M444">
        <v>218.4</v>
      </c>
      <c r="N444">
        <v>106</v>
      </c>
      <c r="O444">
        <v>9.83</v>
      </c>
      <c r="P444">
        <v>12.8</v>
      </c>
      <c r="Q444">
        <v>4</v>
      </c>
      <c r="R444">
        <v>3.46</v>
      </c>
      <c r="S444">
        <v>2</v>
      </c>
      <c r="T444" t="b">
        <v>1</v>
      </c>
      <c r="U444">
        <f>IFERROR(SUM(Table1[[#This Row],[Total day minutes]],Table1[[#This Row],[Total eve minutes]],Table1[[#This Row],[Total night minutes]],Table1[[#This Row],[Total intl minutes]]),0)</f>
        <v>760.69999999999993</v>
      </c>
      <c r="V444">
        <f>SUM(Table1[[#This Row],[Total intl charge]],Table1[[#This Row],[Total night charge]],Table1[[#This Row],[Total eve charge]],Table1[[#This Row],[Total day charge]])</f>
        <v>84.92</v>
      </c>
      <c r="W444">
        <f>SUM(Table1[[#This Row],[Total intl calls]],Table1[[#This Row],[Total night calls]],Table1[[#This Row],[Total eve calls]],Table1[[#This Row],[Total day calls]])</f>
        <v>364</v>
      </c>
      <c r="X444" t="str" cm="1">
        <f t="array" ref="X444">_xlfn.IFS(Table1[[#This Row],[Customer service calls]]&gt;=4,"High risk",Table1[[#This Row],[Customer service calls]]&gt;=2,"Medium risk",TRUE,"Low risk")</f>
        <v>Medium risk</v>
      </c>
      <c r="Y444" t="str" cm="1">
        <f t="array" ref="Y444">IFERROR(_xlfn.IFS(Table1[[#This Row],[Total usage(Min)]]&gt;=AVERAGE(U:U)*1.1,"High risk",Table1[[#This Row],[Total usage(Min)]]&lt;= AVERAGE(U:U)*0.9,"Low risk",TRUE,"Medium risk"),"N/A")</f>
        <v>High risk</v>
      </c>
      <c r="Z444" t="str" cm="1">
        <f t="array" ref="Z444">IFERROR(_xlfn.IFS(Table1[[#This Row],[Total charges]]&gt;=AVERAGE(V:V)*1.1,"High risk",Table1[[#This Row],[Total charges]]&lt;=AVERAGE(V:V)*0.9,"Low risk",TRUE,"Medium risk"),"N/A")</f>
        <v>High risk</v>
      </c>
      <c r="AA4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4" t="str" cm="1">
        <f t="array" ref="AC444">_xlfn.IFS(
AND(Table1[[#This Row],[Customer service risk level]]="High risk", Table1[[#This Row],[Intl usage behaviour]]="Unplanned Usage"),"High Risk",
OR(Table1[[#This Row],[Customer service risk level]]="Medium risk", Table1[[#This Row],[Charges risk level]]="High risk "),"Medium Risk",
TRUE,"Low Risk"
)</f>
        <v>Medium Risk</v>
      </c>
    </row>
    <row r="445" spans="1:29" x14ac:dyDescent="0.25">
      <c r="A445" t="s">
        <v>62</v>
      </c>
      <c r="B445">
        <v>175</v>
      </c>
      <c r="C445">
        <v>415</v>
      </c>
      <c r="D445" t="s">
        <v>21</v>
      </c>
      <c r="E445" t="s">
        <v>21</v>
      </c>
      <c r="F445">
        <v>0</v>
      </c>
      <c r="G445">
        <v>132</v>
      </c>
      <c r="H445">
        <v>95</v>
      </c>
      <c r="I445">
        <v>22.44</v>
      </c>
      <c r="J445">
        <v>231.2</v>
      </c>
      <c r="K445">
        <v>74</v>
      </c>
      <c r="L445">
        <v>19.649999999999999</v>
      </c>
      <c r="M445">
        <v>313.39999999999998</v>
      </c>
      <c r="N445">
        <v>108</v>
      </c>
      <c r="O445">
        <v>14.1</v>
      </c>
      <c r="P445">
        <v>8.6999999999999993</v>
      </c>
      <c r="Q445">
        <v>10</v>
      </c>
      <c r="R445">
        <v>2.35</v>
      </c>
      <c r="S445">
        <v>1</v>
      </c>
      <c r="T445" t="b">
        <v>0</v>
      </c>
      <c r="U445">
        <f>IFERROR(SUM(Table1[[#This Row],[Total day minutes]],Table1[[#This Row],[Total eve minutes]],Table1[[#This Row],[Total night minutes]],Table1[[#This Row],[Total intl minutes]]),0)</f>
        <v>685.3</v>
      </c>
      <c r="V445">
        <f>SUM(Table1[[#This Row],[Total intl charge]],Table1[[#This Row],[Total night charge]],Table1[[#This Row],[Total eve charge]],Table1[[#This Row],[Total day charge]])</f>
        <v>58.539999999999992</v>
      </c>
      <c r="W445">
        <f>SUM(Table1[[#This Row],[Total intl calls]],Table1[[#This Row],[Total night calls]],Table1[[#This Row],[Total eve calls]],Table1[[#This Row],[Total day calls]])</f>
        <v>287</v>
      </c>
      <c r="X445" t="str" cm="1">
        <f t="array" ref="X445">_xlfn.IFS(Table1[[#This Row],[Customer service calls]]&gt;=4,"High risk",Table1[[#This Row],[Customer service calls]]&gt;=2,"Medium risk",TRUE,"Low risk")</f>
        <v>Low risk</v>
      </c>
      <c r="Y445" t="str" cm="1">
        <f t="array" ref="Y445">IFERROR(_xlfn.IFS(Table1[[#This Row],[Total usage(Min)]]&gt;=AVERAGE(U:U)*1.1,"High risk",Table1[[#This Row],[Total usage(Min)]]&lt;= AVERAGE(U:U)*0.9,"Low risk",TRUE,"Medium risk"),"N/A")</f>
        <v>High risk</v>
      </c>
      <c r="Z445" t="str" cm="1">
        <f t="array" ref="Z445">IFERROR(_xlfn.IFS(Table1[[#This Row],[Total charges]]&gt;=AVERAGE(V:V)*1.1,"High risk",Table1[[#This Row],[Total charges]]&lt;=AVERAGE(V:V)*0.9,"Low risk",TRUE,"Medium risk"),"N/A")</f>
        <v>Medium risk</v>
      </c>
      <c r="AA4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5" t="str" cm="1">
        <f t="array" ref="AC445">_xlfn.IFS(
AND(Table1[[#This Row],[Customer service risk level]]="High risk", Table1[[#This Row],[Intl usage behaviour]]="Unplanned Usage"),"High Risk",
OR(Table1[[#This Row],[Customer service risk level]]="Medium risk", Table1[[#This Row],[Charges risk level]]="High risk "),"Medium Risk",
TRUE,"Low Risk"
)</f>
        <v>Low Risk</v>
      </c>
    </row>
    <row r="446" spans="1:29" x14ac:dyDescent="0.25">
      <c r="A446" t="s">
        <v>49</v>
      </c>
      <c r="B446">
        <v>98</v>
      </c>
      <c r="C446">
        <v>415</v>
      </c>
      <c r="D446" t="s">
        <v>27</v>
      </c>
      <c r="E446" t="s">
        <v>27</v>
      </c>
      <c r="F446">
        <v>23</v>
      </c>
      <c r="G446">
        <v>245.5</v>
      </c>
      <c r="H446">
        <v>54</v>
      </c>
      <c r="I446">
        <v>41.74</v>
      </c>
      <c r="J446">
        <v>292.7</v>
      </c>
      <c r="K446">
        <v>83</v>
      </c>
      <c r="L446">
        <v>24.88</v>
      </c>
      <c r="M446">
        <v>184</v>
      </c>
      <c r="N446">
        <v>90</v>
      </c>
      <c r="O446">
        <v>8.2799999999999994</v>
      </c>
      <c r="P446">
        <v>10.8</v>
      </c>
      <c r="Q446">
        <v>7</v>
      </c>
      <c r="R446">
        <v>2.92</v>
      </c>
      <c r="S446">
        <v>1</v>
      </c>
      <c r="T446" t="b">
        <v>0</v>
      </c>
      <c r="U446">
        <f>IFERROR(SUM(Table1[[#This Row],[Total day minutes]],Table1[[#This Row],[Total eve minutes]],Table1[[#This Row],[Total night minutes]],Table1[[#This Row],[Total intl minutes]]),0)</f>
        <v>733</v>
      </c>
      <c r="V446">
        <f>SUM(Table1[[#This Row],[Total intl charge]],Table1[[#This Row],[Total night charge]],Table1[[#This Row],[Total eve charge]],Table1[[#This Row],[Total day charge]])</f>
        <v>77.819999999999993</v>
      </c>
      <c r="W446">
        <f>SUM(Table1[[#This Row],[Total intl calls]],Table1[[#This Row],[Total night calls]],Table1[[#This Row],[Total eve calls]],Table1[[#This Row],[Total day calls]])</f>
        <v>234</v>
      </c>
      <c r="X446" t="str" cm="1">
        <f t="array" ref="X446">_xlfn.IFS(Table1[[#This Row],[Customer service calls]]&gt;=4,"High risk",Table1[[#This Row],[Customer service calls]]&gt;=2,"Medium risk",TRUE,"Low risk")</f>
        <v>Low risk</v>
      </c>
      <c r="Y446" t="str" cm="1">
        <f t="array" ref="Y446">IFERROR(_xlfn.IFS(Table1[[#This Row],[Total usage(Min)]]&gt;=AVERAGE(U:U)*1.1,"High risk",Table1[[#This Row],[Total usage(Min)]]&lt;= AVERAGE(U:U)*0.9,"Low risk",TRUE,"Medium risk"),"N/A")</f>
        <v>High risk</v>
      </c>
      <c r="Z446" t="str" cm="1">
        <f t="array" ref="Z446">IFERROR(_xlfn.IFS(Table1[[#This Row],[Total charges]]&gt;=AVERAGE(V:V)*1.1,"High risk",Table1[[#This Row],[Total charges]]&lt;=AVERAGE(V:V)*0.9,"Low risk",TRUE,"Medium risk"),"N/A")</f>
        <v>High risk</v>
      </c>
      <c r="AA4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4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46" t="str" cm="1">
        <f t="array" ref="AC446">_xlfn.IFS(
AND(Table1[[#This Row],[Customer service risk level]]="High risk", Table1[[#This Row],[Intl usage behaviour]]="Unplanned Usage"),"High Risk",
OR(Table1[[#This Row],[Customer service risk level]]="Medium risk", Table1[[#This Row],[Charges risk level]]="High risk "),"Medium Risk",
TRUE,"Low Risk"
)</f>
        <v>Low Risk</v>
      </c>
    </row>
    <row r="447" spans="1:29" x14ac:dyDescent="0.25">
      <c r="A447" t="s">
        <v>30</v>
      </c>
      <c r="B447">
        <v>121</v>
      </c>
      <c r="C447">
        <v>415</v>
      </c>
      <c r="D447" t="s">
        <v>21</v>
      </c>
      <c r="E447" t="s">
        <v>21</v>
      </c>
      <c r="F447">
        <v>0</v>
      </c>
      <c r="G447">
        <v>134.1</v>
      </c>
      <c r="H447">
        <v>112</v>
      </c>
      <c r="I447">
        <v>22.8</v>
      </c>
      <c r="J447">
        <v>195.1</v>
      </c>
      <c r="K447">
        <v>104</v>
      </c>
      <c r="L447">
        <v>16.579999999999998</v>
      </c>
      <c r="M447">
        <v>159.6</v>
      </c>
      <c r="N447">
        <v>139</v>
      </c>
      <c r="O447">
        <v>7.18</v>
      </c>
      <c r="P447">
        <v>10.5</v>
      </c>
      <c r="Q447">
        <v>2</v>
      </c>
      <c r="R447">
        <v>2.84</v>
      </c>
      <c r="S447">
        <v>2</v>
      </c>
      <c r="T447" t="b">
        <v>0</v>
      </c>
      <c r="U447">
        <f>IFERROR(SUM(Table1[[#This Row],[Total day minutes]],Table1[[#This Row],[Total eve minutes]],Table1[[#This Row],[Total night minutes]],Table1[[#This Row],[Total intl minutes]]),0)</f>
        <v>499.29999999999995</v>
      </c>
      <c r="V447">
        <f>SUM(Table1[[#This Row],[Total intl charge]],Table1[[#This Row],[Total night charge]],Table1[[#This Row],[Total eve charge]],Table1[[#This Row],[Total day charge]])</f>
        <v>49.4</v>
      </c>
      <c r="W447">
        <f>SUM(Table1[[#This Row],[Total intl calls]],Table1[[#This Row],[Total night calls]],Table1[[#This Row],[Total eve calls]],Table1[[#This Row],[Total day calls]])</f>
        <v>357</v>
      </c>
      <c r="X447" t="str" cm="1">
        <f t="array" ref="X447">_xlfn.IFS(Table1[[#This Row],[Customer service calls]]&gt;=4,"High risk",Table1[[#This Row],[Customer service calls]]&gt;=2,"Medium risk",TRUE,"Low risk")</f>
        <v>Medium risk</v>
      </c>
      <c r="Y447" t="str" cm="1">
        <f t="array" ref="Y447">IFERROR(_xlfn.IFS(Table1[[#This Row],[Total usage(Min)]]&gt;=AVERAGE(U:U)*1.1,"High risk",Table1[[#This Row],[Total usage(Min)]]&lt;= AVERAGE(U:U)*0.9,"Low risk",TRUE,"Medium risk"),"N/A")</f>
        <v>Low risk</v>
      </c>
      <c r="Z447" t="str" cm="1">
        <f t="array" ref="Z447">IFERROR(_xlfn.IFS(Table1[[#This Row],[Total charges]]&gt;=AVERAGE(V:V)*1.1,"High risk",Table1[[#This Row],[Total charges]]&lt;=AVERAGE(V:V)*0.9,"Low risk",TRUE,"Medium risk"),"N/A")</f>
        <v>Low risk</v>
      </c>
      <c r="AA4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7" t="str" cm="1">
        <f t="array" ref="AC447">_xlfn.IFS(
AND(Table1[[#This Row],[Customer service risk level]]="High risk", Table1[[#This Row],[Intl usage behaviour]]="Unplanned Usage"),"High Risk",
OR(Table1[[#This Row],[Customer service risk level]]="Medium risk", Table1[[#This Row],[Charges risk level]]="High risk "),"Medium Risk",
TRUE,"Low Risk"
)</f>
        <v>Medium Risk</v>
      </c>
    </row>
    <row r="448" spans="1:29" x14ac:dyDescent="0.25">
      <c r="A448" t="s">
        <v>67</v>
      </c>
      <c r="B448">
        <v>104</v>
      </c>
      <c r="C448">
        <v>415</v>
      </c>
      <c r="D448" t="s">
        <v>21</v>
      </c>
      <c r="E448" t="s">
        <v>21</v>
      </c>
      <c r="F448">
        <v>0</v>
      </c>
      <c r="G448">
        <v>144.5</v>
      </c>
      <c r="H448">
        <v>107</v>
      </c>
      <c r="I448">
        <v>24.57</v>
      </c>
      <c r="J448">
        <v>180.5</v>
      </c>
      <c r="K448">
        <v>85</v>
      </c>
      <c r="L448">
        <v>15.34</v>
      </c>
      <c r="M448">
        <v>226</v>
      </c>
      <c r="N448">
        <v>94</v>
      </c>
      <c r="O448">
        <v>10.17</v>
      </c>
      <c r="P448">
        <v>17</v>
      </c>
      <c r="Q448">
        <v>6</v>
      </c>
      <c r="R448">
        <v>4.59</v>
      </c>
      <c r="S448">
        <v>2</v>
      </c>
      <c r="T448" t="b">
        <v>0</v>
      </c>
      <c r="U448">
        <f>IFERROR(SUM(Table1[[#This Row],[Total day minutes]],Table1[[#This Row],[Total eve minutes]],Table1[[#This Row],[Total night minutes]],Table1[[#This Row],[Total intl minutes]]),0)</f>
        <v>568</v>
      </c>
      <c r="V448">
        <f>SUM(Table1[[#This Row],[Total intl charge]],Table1[[#This Row],[Total night charge]],Table1[[#This Row],[Total eve charge]],Table1[[#This Row],[Total day charge]])</f>
        <v>54.67</v>
      </c>
      <c r="W448">
        <f>SUM(Table1[[#This Row],[Total intl calls]],Table1[[#This Row],[Total night calls]],Table1[[#This Row],[Total eve calls]],Table1[[#This Row],[Total day calls]])</f>
        <v>292</v>
      </c>
      <c r="X448" t="str" cm="1">
        <f t="array" ref="X448">_xlfn.IFS(Table1[[#This Row],[Customer service calls]]&gt;=4,"High risk",Table1[[#This Row],[Customer service calls]]&gt;=2,"Medium risk",TRUE,"Low risk")</f>
        <v>Medium risk</v>
      </c>
      <c r="Y448" t="str" cm="1">
        <f t="array" ref="Y448">IFERROR(_xlfn.IFS(Table1[[#This Row],[Total usage(Min)]]&gt;=AVERAGE(U:U)*1.1,"High risk",Table1[[#This Row],[Total usage(Min)]]&lt;= AVERAGE(U:U)*0.9,"Low risk",TRUE,"Medium risk"),"N/A")</f>
        <v>Medium risk</v>
      </c>
      <c r="Z448" t="str" cm="1">
        <f t="array" ref="Z448">IFERROR(_xlfn.IFS(Table1[[#This Row],[Total charges]]&gt;=AVERAGE(V:V)*1.1,"High risk",Table1[[#This Row],[Total charges]]&lt;=AVERAGE(V:V)*0.9,"Low risk",TRUE,"Medium risk"),"N/A")</f>
        <v>Medium risk</v>
      </c>
      <c r="AA4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8" t="str" cm="1">
        <f t="array" ref="AC448">_xlfn.IFS(
AND(Table1[[#This Row],[Customer service risk level]]="High risk", Table1[[#This Row],[Intl usage behaviour]]="Unplanned Usage"),"High Risk",
OR(Table1[[#This Row],[Customer service risk level]]="Medium risk", Table1[[#This Row],[Charges risk level]]="High risk "),"Medium Risk",
TRUE,"Low Risk"
)</f>
        <v>Medium Risk</v>
      </c>
    </row>
    <row r="449" spans="1:29" x14ac:dyDescent="0.25">
      <c r="A449" t="s">
        <v>41</v>
      </c>
      <c r="B449">
        <v>123</v>
      </c>
      <c r="C449">
        <v>415</v>
      </c>
      <c r="D449" t="s">
        <v>21</v>
      </c>
      <c r="E449" t="s">
        <v>21</v>
      </c>
      <c r="F449">
        <v>0</v>
      </c>
      <c r="G449">
        <v>150</v>
      </c>
      <c r="H449">
        <v>98</v>
      </c>
      <c r="I449">
        <v>25.5</v>
      </c>
      <c r="J449">
        <v>89.8</v>
      </c>
      <c r="K449">
        <v>95</v>
      </c>
      <c r="L449">
        <v>7.63</v>
      </c>
      <c r="M449">
        <v>326</v>
      </c>
      <c r="N449">
        <v>91</v>
      </c>
      <c r="O449">
        <v>14.67</v>
      </c>
      <c r="P449">
        <v>11.1</v>
      </c>
      <c r="Q449">
        <v>3</v>
      </c>
      <c r="R449">
        <v>3</v>
      </c>
      <c r="S449">
        <v>3</v>
      </c>
      <c r="T449" t="b">
        <v>0</v>
      </c>
      <c r="U449">
        <f>IFERROR(SUM(Table1[[#This Row],[Total day minutes]],Table1[[#This Row],[Total eve minutes]],Table1[[#This Row],[Total night minutes]],Table1[[#This Row],[Total intl minutes]]),0)</f>
        <v>576.9</v>
      </c>
      <c r="V449">
        <f>SUM(Table1[[#This Row],[Total intl charge]],Table1[[#This Row],[Total night charge]],Table1[[#This Row],[Total eve charge]],Table1[[#This Row],[Total day charge]])</f>
        <v>50.8</v>
      </c>
      <c r="W449">
        <f>SUM(Table1[[#This Row],[Total intl calls]],Table1[[#This Row],[Total night calls]],Table1[[#This Row],[Total eve calls]],Table1[[#This Row],[Total day calls]])</f>
        <v>287</v>
      </c>
      <c r="X449" t="str" cm="1">
        <f t="array" ref="X449">_xlfn.IFS(Table1[[#This Row],[Customer service calls]]&gt;=4,"High risk",Table1[[#This Row],[Customer service calls]]&gt;=2,"Medium risk",TRUE,"Low risk")</f>
        <v>Medium risk</v>
      </c>
      <c r="Y449" t="str" cm="1">
        <f t="array" ref="Y449">IFERROR(_xlfn.IFS(Table1[[#This Row],[Total usage(Min)]]&gt;=AVERAGE(U:U)*1.1,"High risk",Table1[[#This Row],[Total usage(Min)]]&lt;= AVERAGE(U:U)*0.9,"Low risk",TRUE,"Medium risk"),"N/A")</f>
        <v>Medium risk</v>
      </c>
      <c r="Z449" t="str" cm="1">
        <f t="array" ref="Z449">IFERROR(_xlfn.IFS(Table1[[#This Row],[Total charges]]&gt;=AVERAGE(V:V)*1.1,"High risk",Table1[[#This Row],[Total charges]]&lt;=AVERAGE(V:V)*0.9,"Low risk",TRUE,"Medium risk"),"N/A")</f>
        <v>Low risk</v>
      </c>
      <c r="AA4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4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49" t="str" cm="1">
        <f t="array" ref="AC449">_xlfn.IFS(
AND(Table1[[#This Row],[Customer service risk level]]="High risk", Table1[[#This Row],[Intl usage behaviour]]="Unplanned Usage"),"High Risk",
OR(Table1[[#This Row],[Customer service risk level]]="Medium risk", Table1[[#This Row],[Charges risk level]]="High risk "),"Medium Risk",
TRUE,"Low Risk"
)</f>
        <v>Medium Risk</v>
      </c>
    </row>
    <row r="450" spans="1:29" x14ac:dyDescent="0.25">
      <c r="A450" t="s">
        <v>28</v>
      </c>
      <c r="B450">
        <v>61</v>
      </c>
      <c r="C450">
        <v>415</v>
      </c>
      <c r="D450" t="s">
        <v>21</v>
      </c>
      <c r="E450" t="s">
        <v>27</v>
      </c>
      <c r="F450">
        <v>33</v>
      </c>
      <c r="G450">
        <v>270.7</v>
      </c>
      <c r="H450">
        <v>53</v>
      </c>
      <c r="I450">
        <v>46.02</v>
      </c>
      <c r="J450">
        <v>200.7</v>
      </c>
      <c r="K450">
        <v>116</v>
      </c>
      <c r="L450">
        <v>17.059999999999999</v>
      </c>
      <c r="M450">
        <v>201.7</v>
      </c>
      <c r="N450">
        <v>102</v>
      </c>
      <c r="O450">
        <v>9.08</v>
      </c>
      <c r="P450">
        <v>10.9</v>
      </c>
      <c r="Q450">
        <v>3</v>
      </c>
      <c r="R450">
        <v>2.94</v>
      </c>
      <c r="S450">
        <v>3</v>
      </c>
      <c r="T450" t="b">
        <v>0</v>
      </c>
      <c r="U450">
        <f>IFERROR(SUM(Table1[[#This Row],[Total day minutes]],Table1[[#This Row],[Total eve minutes]],Table1[[#This Row],[Total night minutes]],Table1[[#This Row],[Total intl minutes]]),0)</f>
        <v>683.99999999999989</v>
      </c>
      <c r="V450">
        <f>SUM(Table1[[#This Row],[Total intl charge]],Table1[[#This Row],[Total night charge]],Table1[[#This Row],[Total eve charge]],Table1[[#This Row],[Total day charge]])</f>
        <v>75.099999999999994</v>
      </c>
      <c r="W450">
        <f>SUM(Table1[[#This Row],[Total intl calls]],Table1[[#This Row],[Total night calls]],Table1[[#This Row],[Total eve calls]],Table1[[#This Row],[Total day calls]])</f>
        <v>274</v>
      </c>
      <c r="X450" t="str" cm="1">
        <f t="array" ref="X450">_xlfn.IFS(Table1[[#This Row],[Customer service calls]]&gt;=4,"High risk",Table1[[#This Row],[Customer service calls]]&gt;=2,"Medium risk",TRUE,"Low risk")</f>
        <v>Medium risk</v>
      </c>
      <c r="Y450" t="str" cm="1">
        <f t="array" ref="Y450">IFERROR(_xlfn.IFS(Table1[[#This Row],[Total usage(Min)]]&gt;=AVERAGE(U:U)*1.1,"High risk",Table1[[#This Row],[Total usage(Min)]]&lt;= AVERAGE(U:U)*0.9,"Low risk",TRUE,"Medium risk"),"N/A")</f>
        <v>High risk</v>
      </c>
      <c r="Z450" t="str" cm="1">
        <f t="array" ref="Z450">IFERROR(_xlfn.IFS(Table1[[#This Row],[Total charges]]&gt;=AVERAGE(V:V)*1.1,"High risk",Table1[[#This Row],[Total charges]]&lt;=AVERAGE(V:V)*0.9,"Low risk",TRUE,"Medium risk"),"N/A")</f>
        <v>High risk</v>
      </c>
      <c r="AA4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50" t="str" cm="1">
        <f t="array" ref="AC450">_xlfn.IFS(
AND(Table1[[#This Row],[Customer service risk level]]="High risk", Table1[[#This Row],[Intl usage behaviour]]="Unplanned Usage"),"High Risk",
OR(Table1[[#This Row],[Customer service risk level]]="Medium risk", Table1[[#This Row],[Charges risk level]]="High risk "),"Medium Risk",
TRUE,"Low Risk"
)</f>
        <v>Medium Risk</v>
      </c>
    </row>
    <row r="451" spans="1:29" x14ac:dyDescent="0.25">
      <c r="A451" t="s">
        <v>65</v>
      </c>
      <c r="B451">
        <v>160</v>
      </c>
      <c r="C451">
        <v>415</v>
      </c>
      <c r="D451" t="s">
        <v>21</v>
      </c>
      <c r="E451" t="s">
        <v>21</v>
      </c>
      <c r="F451">
        <v>0</v>
      </c>
      <c r="G451">
        <v>256</v>
      </c>
      <c r="H451">
        <v>111</v>
      </c>
      <c r="I451">
        <v>43.52</v>
      </c>
      <c r="J451">
        <v>187.4</v>
      </c>
      <c r="K451">
        <v>61</v>
      </c>
      <c r="L451">
        <v>15.93</v>
      </c>
      <c r="M451">
        <v>119.1</v>
      </c>
      <c r="N451">
        <v>81</v>
      </c>
      <c r="O451">
        <v>5.36</v>
      </c>
      <c r="P451">
        <v>11.5</v>
      </c>
      <c r="Q451">
        <v>4</v>
      </c>
      <c r="R451">
        <v>3.11</v>
      </c>
      <c r="S451">
        <v>3</v>
      </c>
      <c r="T451" t="b">
        <v>0</v>
      </c>
      <c r="U451">
        <f>IFERROR(SUM(Table1[[#This Row],[Total day minutes]],Table1[[#This Row],[Total eve minutes]],Table1[[#This Row],[Total night minutes]],Table1[[#This Row],[Total intl minutes]]),0)</f>
        <v>574</v>
      </c>
      <c r="V451">
        <f>SUM(Table1[[#This Row],[Total intl charge]],Table1[[#This Row],[Total night charge]],Table1[[#This Row],[Total eve charge]],Table1[[#This Row],[Total day charge]])</f>
        <v>67.92</v>
      </c>
      <c r="W451">
        <f>SUM(Table1[[#This Row],[Total intl calls]],Table1[[#This Row],[Total night calls]],Table1[[#This Row],[Total eve calls]],Table1[[#This Row],[Total day calls]])</f>
        <v>257</v>
      </c>
      <c r="X451" t="str" cm="1">
        <f t="array" ref="X451">_xlfn.IFS(Table1[[#This Row],[Customer service calls]]&gt;=4,"High risk",Table1[[#This Row],[Customer service calls]]&gt;=2,"Medium risk",TRUE,"Low risk")</f>
        <v>Medium risk</v>
      </c>
      <c r="Y451" t="str" cm="1">
        <f t="array" ref="Y451">IFERROR(_xlfn.IFS(Table1[[#This Row],[Total usage(Min)]]&gt;=AVERAGE(U:U)*1.1,"High risk",Table1[[#This Row],[Total usage(Min)]]&lt;= AVERAGE(U:U)*0.9,"Low risk",TRUE,"Medium risk"),"N/A")</f>
        <v>Medium risk</v>
      </c>
      <c r="Z451" t="str" cm="1">
        <f t="array" ref="Z451">IFERROR(_xlfn.IFS(Table1[[#This Row],[Total charges]]&gt;=AVERAGE(V:V)*1.1,"High risk",Table1[[#This Row],[Total charges]]&lt;=AVERAGE(V:V)*0.9,"Low risk",TRUE,"Medium risk"),"N/A")</f>
        <v>High risk</v>
      </c>
      <c r="AA4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1" t="str" cm="1">
        <f t="array" ref="AC451">_xlfn.IFS(
AND(Table1[[#This Row],[Customer service risk level]]="High risk", Table1[[#This Row],[Intl usage behaviour]]="Unplanned Usage"),"High Risk",
OR(Table1[[#This Row],[Customer service risk level]]="Medium risk", Table1[[#This Row],[Charges risk level]]="High risk "),"Medium Risk",
TRUE,"Low Risk"
)</f>
        <v>Medium Risk</v>
      </c>
    </row>
    <row r="452" spans="1:29" x14ac:dyDescent="0.25">
      <c r="A452" t="s">
        <v>69</v>
      </c>
      <c r="B452">
        <v>153</v>
      </c>
      <c r="C452">
        <v>408</v>
      </c>
      <c r="D452" t="s">
        <v>21</v>
      </c>
      <c r="E452" t="s">
        <v>21</v>
      </c>
      <c r="F452">
        <v>0</v>
      </c>
      <c r="G452">
        <v>154.6</v>
      </c>
      <c r="H452">
        <v>56</v>
      </c>
      <c r="I452">
        <v>26.28</v>
      </c>
      <c r="J452">
        <v>263</v>
      </c>
      <c r="K452">
        <v>84</v>
      </c>
      <c r="L452">
        <v>22.36</v>
      </c>
      <c r="M452">
        <v>367.7</v>
      </c>
      <c r="N452">
        <v>89</v>
      </c>
      <c r="O452">
        <v>16.55</v>
      </c>
      <c r="P452">
        <v>15.5</v>
      </c>
      <c r="Q452">
        <v>2</v>
      </c>
      <c r="R452">
        <v>4.1900000000000004</v>
      </c>
      <c r="S452">
        <v>1</v>
      </c>
      <c r="T452" t="b">
        <v>0</v>
      </c>
      <c r="U452">
        <f>IFERROR(SUM(Table1[[#This Row],[Total day minutes]],Table1[[#This Row],[Total eve minutes]],Table1[[#This Row],[Total night minutes]],Table1[[#This Row],[Total intl minutes]]),0)</f>
        <v>800.8</v>
      </c>
      <c r="V452">
        <f>SUM(Table1[[#This Row],[Total intl charge]],Table1[[#This Row],[Total night charge]],Table1[[#This Row],[Total eve charge]],Table1[[#This Row],[Total day charge]])</f>
        <v>69.38</v>
      </c>
      <c r="W452">
        <f>SUM(Table1[[#This Row],[Total intl calls]],Table1[[#This Row],[Total night calls]],Table1[[#This Row],[Total eve calls]],Table1[[#This Row],[Total day calls]])</f>
        <v>231</v>
      </c>
      <c r="X452" t="str" cm="1">
        <f t="array" ref="X452">_xlfn.IFS(Table1[[#This Row],[Customer service calls]]&gt;=4,"High risk",Table1[[#This Row],[Customer service calls]]&gt;=2,"Medium risk",TRUE,"Low risk")</f>
        <v>Low risk</v>
      </c>
      <c r="Y452" t="str" cm="1">
        <f t="array" ref="Y452">IFERROR(_xlfn.IFS(Table1[[#This Row],[Total usage(Min)]]&gt;=AVERAGE(U:U)*1.1,"High risk",Table1[[#This Row],[Total usage(Min)]]&lt;= AVERAGE(U:U)*0.9,"Low risk",TRUE,"Medium risk"),"N/A")</f>
        <v>High risk</v>
      </c>
      <c r="Z452" t="str" cm="1">
        <f t="array" ref="Z452">IFERROR(_xlfn.IFS(Table1[[#This Row],[Total charges]]&gt;=AVERAGE(V:V)*1.1,"High risk",Table1[[#This Row],[Total charges]]&lt;=AVERAGE(V:V)*0.9,"Low risk",TRUE,"Medium risk"),"N/A")</f>
        <v>High risk</v>
      </c>
      <c r="AA4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2" t="str" cm="1">
        <f t="array" ref="AC452">_xlfn.IFS(
AND(Table1[[#This Row],[Customer service risk level]]="High risk", Table1[[#This Row],[Intl usage behaviour]]="Unplanned Usage"),"High Risk",
OR(Table1[[#This Row],[Customer service risk level]]="Medium risk", Table1[[#This Row],[Charges risk level]]="High risk "),"Medium Risk",
TRUE,"Low Risk"
)</f>
        <v>Low Risk</v>
      </c>
    </row>
    <row r="453" spans="1:29" x14ac:dyDescent="0.25">
      <c r="A453" t="s">
        <v>51</v>
      </c>
      <c r="B453">
        <v>31</v>
      </c>
      <c r="C453">
        <v>510</v>
      </c>
      <c r="D453" t="s">
        <v>21</v>
      </c>
      <c r="E453" t="s">
        <v>21</v>
      </c>
      <c r="F453">
        <v>0</v>
      </c>
      <c r="G453">
        <v>165.4</v>
      </c>
      <c r="H453">
        <v>84</v>
      </c>
      <c r="I453">
        <v>28.12</v>
      </c>
      <c r="J453">
        <v>203.7</v>
      </c>
      <c r="K453">
        <v>107</v>
      </c>
      <c r="L453">
        <v>17.309999999999999</v>
      </c>
      <c r="M453">
        <v>201.7</v>
      </c>
      <c r="N453">
        <v>65</v>
      </c>
      <c r="O453">
        <v>9.08</v>
      </c>
      <c r="P453">
        <v>8.1999999999999993</v>
      </c>
      <c r="Q453">
        <v>1</v>
      </c>
      <c r="R453">
        <v>2.21</v>
      </c>
      <c r="S453">
        <v>1</v>
      </c>
      <c r="T453" t="b">
        <v>0</v>
      </c>
      <c r="U453">
        <f>IFERROR(SUM(Table1[[#This Row],[Total day minutes]],Table1[[#This Row],[Total eve minutes]],Table1[[#This Row],[Total night minutes]],Table1[[#This Row],[Total intl minutes]]),0)</f>
        <v>579</v>
      </c>
      <c r="V453">
        <f>SUM(Table1[[#This Row],[Total intl charge]],Table1[[#This Row],[Total night charge]],Table1[[#This Row],[Total eve charge]],Table1[[#This Row],[Total day charge]])</f>
        <v>56.72</v>
      </c>
      <c r="W453">
        <f>SUM(Table1[[#This Row],[Total intl calls]],Table1[[#This Row],[Total night calls]],Table1[[#This Row],[Total eve calls]],Table1[[#This Row],[Total day calls]])</f>
        <v>257</v>
      </c>
      <c r="X453" t="str" cm="1">
        <f t="array" ref="X453">_xlfn.IFS(Table1[[#This Row],[Customer service calls]]&gt;=4,"High risk",Table1[[#This Row],[Customer service calls]]&gt;=2,"Medium risk",TRUE,"Low risk")</f>
        <v>Low risk</v>
      </c>
      <c r="Y453" t="str" cm="1">
        <f t="array" ref="Y453">IFERROR(_xlfn.IFS(Table1[[#This Row],[Total usage(Min)]]&gt;=AVERAGE(U:U)*1.1,"High risk",Table1[[#This Row],[Total usage(Min)]]&lt;= AVERAGE(U:U)*0.9,"Low risk",TRUE,"Medium risk"),"N/A")</f>
        <v>Medium risk</v>
      </c>
      <c r="Z453" t="str" cm="1">
        <f t="array" ref="Z453">IFERROR(_xlfn.IFS(Table1[[#This Row],[Total charges]]&gt;=AVERAGE(V:V)*1.1,"High risk",Table1[[#This Row],[Total charges]]&lt;=AVERAGE(V:V)*0.9,"Low risk",TRUE,"Medium risk"),"N/A")</f>
        <v>Medium risk</v>
      </c>
      <c r="AA4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3" t="str" cm="1">
        <f t="array" ref="AC453">_xlfn.IFS(
AND(Table1[[#This Row],[Customer service risk level]]="High risk", Table1[[#This Row],[Intl usage behaviour]]="Unplanned Usage"),"High Risk",
OR(Table1[[#This Row],[Customer service risk level]]="Medium risk", Table1[[#This Row],[Charges risk level]]="High risk "),"Medium Risk",
TRUE,"Low Risk"
)</f>
        <v>Low Risk</v>
      </c>
    </row>
    <row r="454" spans="1:29" x14ac:dyDescent="0.25">
      <c r="A454" t="s">
        <v>36</v>
      </c>
      <c r="B454">
        <v>122</v>
      </c>
      <c r="C454">
        <v>415</v>
      </c>
      <c r="D454" t="s">
        <v>21</v>
      </c>
      <c r="E454" t="s">
        <v>21</v>
      </c>
      <c r="F454">
        <v>0</v>
      </c>
      <c r="G454">
        <v>168.3</v>
      </c>
      <c r="H454">
        <v>96</v>
      </c>
      <c r="I454">
        <v>28.61</v>
      </c>
      <c r="J454">
        <v>87.6</v>
      </c>
      <c r="K454">
        <v>91</v>
      </c>
      <c r="L454">
        <v>7.45</v>
      </c>
      <c r="M454">
        <v>247.2</v>
      </c>
      <c r="N454">
        <v>87</v>
      </c>
      <c r="O454">
        <v>11.12</v>
      </c>
      <c r="P454">
        <v>8.4</v>
      </c>
      <c r="Q454">
        <v>6</v>
      </c>
      <c r="R454">
        <v>2.27</v>
      </c>
      <c r="S454">
        <v>1</v>
      </c>
      <c r="T454" t="b">
        <v>0</v>
      </c>
      <c r="U454">
        <f>IFERROR(SUM(Table1[[#This Row],[Total day minutes]],Table1[[#This Row],[Total eve minutes]],Table1[[#This Row],[Total night minutes]],Table1[[#This Row],[Total intl minutes]]),0)</f>
        <v>511.5</v>
      </c>
      <c r="V454">
        <f>SUM(Table1[[#This Row],[Total intl charge]],Table1[[#This Row],[Total night charge]],Table1[[#This Row],[Total eve charge]],Table1[[#This Row],[Total day charge]])</f>
        <v>49.45</v>
      </c>
      <c r="W454">
        <f>SUM(Table1[[#This Row],[Total intl calls]],Table1[[#This Row],[Total night calls]],Table1[[#This Row],[Total eve calls]],Table1[[#This Row],[Total day calls]])</f>
        <v>280</v>
      </c>
      <c r="X454" t="str" cm="1">
        <f t="array" ref="X454">_xlfn.IFS(Table1[[#This Row],[Customer service calls]]&gt;=4,"High risk",Table1[[#This Row],[Customer service calls]]&gt;=2,"Medium risk",TRUE,"Low risk")</f>
        <v>Low risk</v>
      </c>
      <c r="Y454" t="str" cm="1">
        <f t="array" ref="Y454">IFERROR(_xlfn.IFS(Table1[[#This Row],[Total usage(Min)]]&gt;=AVERAGE(U:U)*1.1,"High risk",Table1[[#This Row],[Total usage(Min)]]&lt;= AVERAGE(U:U)*0.9,"Low risk",TRUE,"Medium risk"),"N/A")</f>
        <v>Low risk</v>
      </c>
      <c r="Z454" t="str" cm="1">
        <f t="array" ref="Z454">IFERROR(_xlfn.IFS(Table1[[#This Row],[Total charges]]&gt;=AVERAGE(V:V)*1.1,"High risk",Table1[[#This Row],[Total charges]]&lt;=AVERAGE(V:V)*0.9,"Low risk",TRUE,"Medium risk"),"N/A")</f>
        <v>Low risk</v>
      </c>
      <c r="AA4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4" t="str" cm="1">
        <f t="array" ref="AC454">_xlfn.IFS(
AND(Table1[[#This Row],[Customer service risk level]]="High risk", Table1[[#This Row],[Intl usage behaviour]]="Unplanned Usage"),"High Risk",
OR(Table1[[#This Row],[Customer service risk level]]="Medium risk", Table1[[#This Row],[Charges risk level]]="High risk "),"Medium Risk",
TRUE,"Low Risk"
)</f>
        <v>Low Risk</v>
      </c>
    </row>
    <row r="455" spans="1:29" x14ac:dyDescent="0.25">
      <c r="A455" t="s">
        <v>22</v>
      </c>
      <c r="B455">
        <v>46</v>
      </c>
      <c r="C455">
        <v>415</v>
      </c>
      <c r="D455" t="s">
        <v>21</v>
      </c>
      <c r="E455" t="s">
        <v>27</v>
      </c>
      <c r="F455">
        <v>34</v>
      </c>
      <c r="G455">
        <v>191.4</v>
      </c>
      <c r="H455">
        <v>102</v>
      </c>
      <c r="I455">
        <v>32.54</v>
      </c>
      <c r="J455">
        <v>361.8</v>
      </c>
      <c r="K455">
        <v>96</v>
      </c>
      <c r="L455">
        <v>30.75</v>
      </c>
      <c r="M455">
        <v>147.5</v>
      </c>
      <c r="N455">
        <v>132</v>
      </c>
      <c r="O455">
        <v>6.64</v>
      </c>
      <c r="P455">
        <v>7.2</v>
      </c>
      <c r="Q455">
        <v>2</v>
      </c>
      <c r="R455">
        <v>1.94</v>
      </c>
      <c r="S455">
        <v>1</v>
      </c>
      <c r="T455" t="b">
        <v>0</v>
      </c>
      <c r="U455">
        <f>IFERROR(SUM(Table1[[#This Row],[Total day minutes]],Table1[[#This Row],[Total eve minutes]],Table1[[#This Row],[Total night minutes]],Table1[[#This Row],[Total intl minutes]]),0)</f>
        <v>707.90000000000009</v>
      </c>
      <c r="V455">
        <f>SUM(Table1[[#This Row],[Total intl charge]],Table1[[#This Row],[Total night charge]],Table1[[#This Row],[Total eve charge]],Table1[[#This Row],[Total day charge]])</f>
        <v>71.87</v>
      </c>
      <c r="W455">
        <f>SUM(Table1[[#This Row],[Total intl calls]],Table1[[#This Row],[Total night calls]],Table1[[#This Row],[Total eve calls]],Table1[[#This Row],[Total day calls]])</f>
        <v>332</v>
      </c>
      <c r="X455" t="str" cm="1">
        <f t="array" ref="X455">_xlfn.IFS(Table1[[#This Row],[Customer service calls]]&gt;=4,"High risk",Table1[[#This Row],[Customer service calls]]&gt;=2,"Medium risk",TRUE,"Low risk")</f>
        <v>Low risk</v>
      </c>
      <c r="Y455" t="str" cm="1">
        <f t="array" ref="Y455">IFERROR(_xlfn.IFS(Table1[[#This Row],[Total usage(Min)]]&gt;=AVERAGE(U:U)*1.1,"High risk",Table1[[#This Row],[Total usage(Min)]]&lt;= AVERAGE(U:U)*0.9,"Low risk",TRUE,"Medium risk"),"N/A")</f>
        <v>High risk</v>
      </c>
      <c r="Z455" t="str" cm="1">
        <f t="array" ref="Z455">IFERROR(_xlfn.IFS(Table1[[#This Row],[Total charges]]&gt;=AVERAGE(V:V)*1.1,"High risk",Table1[[#This Row],[Total charges]]&lt;=AVERAGE(V:V)*0.9,"Low risk",TRUE,"Medium risk"),"N/A")</f>
        <v>High risk</v>
      </c>
      <c r="AA4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55" t="str" cm="1">
        <f t="array" ref="AC455">_xlfn.IFS(
AND(Table1[[#This Row],[Customer service risk level]]="High risk", Table1[[#This Row],[Intl usage behaviour]]="Unplanned Usage"),"High Risk",
OR(Table1[[#This Row],[Customer service risk level]]="Medium risk", Table1[[#This Row],[Charges risk level]]="High risk "),"Medium Risk",
TRUE,"Low Risk"
)</f>
        <v>Low Risk</v>
      </c>
    </row>
    <row r="456" spans="1:29" x14ac:dyDescent="0.25">
      <c r="A456" t="s">
        <v>51</v>
      </c>
      <c r="B456">
        <v>103</v>
      </c>
      <c r="C456">
        <v>415</v>
      </c>
      <c r="D456" t="s">
        <v>21</v>
      </c>
      <c r="E456" t="s">
        <v>21</v>
      </c>
      <c r="F456">
        <v>0</v>
      </c>
      <c r="G456">
        <v>158.69999999999999</v>
      </c>
      <c r="H456">
        <v>90</v>
      </c>
      <c r="I456">
        <v>26.98</v>
      </c>
      <c r="J456">
        <v>198.4</v>
      </c>
      <c r="K456">
        <v>117</v>
      </c>
      <c r="L456">
        <v>16.86</v>
      </c>
      <c r="M456">
        <v>181.1</v>
      </c>
      <c r="N456">
        <v>76</v>
      </c>
      <c r="O456">
        <v>8.15</v>
      </c>
      <c r="P456">
        <v>10.5</v>
      </c>
      <c r="Q456">
        <v>4</v>
      </c>
      <c r="R456">
        <v>2.84</v>
      </c>
      <c r="S456">
        <v>1</v>
      </c>
      <c r="T456" t="b">
        <v>0</v>
      </c>
      <c r="U456">
        <f>IFERROR(SUM(Table1[[#This Row],[Total day minutes]],Table1[[#This Row],[Total eve minutes]],Table1[[#This Row],[Total night minutes]],Table1[[#This Row],[Total intl minutes]]),0)</f>
        <v>548.70000000000005</v>
      </c>
      <c r="V456">
        <f>SUM(Table1[[#This Row],[Total intl charge]],Table1[[#This Row],[Total night charge]],Table1[[#This Row],[Total eve charge]],Table1[[#This Row],[Total day charge]])</f>
        <v>54.83</v>
      </c>
      <c r="W456">
        <f>SUM(Table1[[#This Row],[Total intl calls]],Table1[[#This Row],[Total night calls]],Table1[[#This Row],[Total eve calls]],Table1[[#This Row],[Total day calls]])</f>
        <v>287</v>
      </c>
      <c r="X456" t="str" cm="1">
        <f t="array" ref="X456">_xlfn.IFS(Table1[[#This Row],[Customer service calls]]&gt;=4,"High risk",Table1[[#This Row],[Customer service calls]]&gt;=2,"Medium risk",TRUE,"Low risk")</f>
        <v>Low risk</v>
      </c>
      <c r="Y456" t="str" cm="1">
        <f t="array" ref="Y456">IFERROR(_xlfn.IFS(Table1[[#This Row],[Total usage(Min)]]&gt;=AVERAGE(U:U)*1.1,"High risk",Table1[[#This Row],[Total usage(Min)]]&lt;= AVERAGE(U:U)*0.9,"Low risk",TRUE,"Medium risk"),"N/A")</f>
        <v>Medium risk</v>
      </c>
      <c r="Z456" t="str" cm="1">
        <f t="array" ref="Z456">IFERROR(_xlfn.IFS(Table1[[#This Row],[Total charges]]&gt;=AVERAGE(V:V)*1.1,"High risk",Table1[[#This Row],[Total charges]]&lt;=AVERAGE(V:V)*0.9,"Low risk",TRUE,"Medium risk"),"N/A")</f>
        <v>Medium risk</v>
      </c>
      <c r="AA4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6" t="str" cm="1">
        <f t="array" ref="AC456">_xlfn.IFS(
AND(Table1[[#This Row],[Customer service risk level]]="High risk", Table1[[#This Row],[Intl usage behaviour]]="Unplanned Usage"),"High Risk",
OR(Table1[[#This Row],[Customer service risk level]]="Medium risk", Table1[[#This Row],[Charges risk level]]="High risk "),"Medium Risk",
TRUE,"Low Risk"
)</f>
        <v>Low Risk</v>
      </c>
    </row>
    <row r="457" spans="1:29" x14ac:dyDescent="0.25">
      <c r="A457" t="s">
        <v>63</v>
      </c>
      <c r="B457">
        <v>68</v>
      </c>
      <c r="C457">
        <v>415</v>
      </c>
      <c r="D457" t="s">
        <v>27</v>
      </c>
      <c r="E457" t="s">
        <v>27</v>
      </c>
      <c r="F457">
        <v>29</v>
      </c>
      <c r="G457">
        <v>195.5</v>
      </c>
      <c r="H457">
        <v>113</v>
      </c>
      <c r="I457">
        <v>33.24</v>
      </c>
      <c r="J457">
        <v>171.6</v>
      </c>
      <c r="K457">
        <v>96</v>
      </c>
      <c r="L457">
        <v>14.59</v>
      </c>
      <c r="M457">
        <v>204</v>
      </c>
      <c r="N457">
        <v>85</v>
      </c>
      <c r="O457">
        <v>9.18</v>
      </c>
      <c r="P457">
        <v>13.5</v>
      </c>
      <c r="Q457">
        <v>9</v>
      </c>
      <c r="R457">
        <v>3.65</v>
      </c>
      <c r="S457">
        <v>1</v>
      </c>
      <c r="T457" t="b">
        <v>1</v>
      </c>
      <c r="U457">
        <f>IFERROR(SUM(Table1[[#This Row],[Total day minutes]],Table1[[#This Row],[Total eve minutes]],Table1[[#This Row],[Total night minutes]],Table1[[#This Row],[Total intl minutes]]),0)</f>
        <v>584.6</v>
      </c>
      <c r="V457">
        <f>SUM(Table1[[#This Row],[Total intl charge]],Table1[[#This Row],[Total night charge]],Table1[[#This Row],[Total eve charge]],Table1[[#This Row],[Total day charge]])</f>
        <v>60.660000000000004</v>
      </c>
      <c r="W457">
        <f>SUM(Table1[[#This Row],[Total intl calls]],Table1[[#This Row],[Total night calls]],Table1[[#This Row],[Total eve calls]],Table1[[#This Row],[Total day calls]])</f>
        <v>303</v>
      </c>
      <c r="X457" t="str" cm="1">
        <f t="array" ref="X457">_xlfn.IFS(Table1[[#This Row],[Customer service calls]]&gt;=4,"High risk",Table1[[#This Row],[Customer service calls]]&gt;=2,"Medium risk",TRUE,"Low risk")</f>
        <v>Low risk</v>
      </c>
      <c r="Y457" t="str" cm="1">
        <f t="array" ref="Y457">IFERROR(_xlfn.IFS(Table1[[#This Row],[Total usage(Min)]]&gt;=AVERAGE(U:U)*1.1,"High risk",Table1[[#This Row],[Total usage(Min)]]&lt;= AVERAGE(U:U)*0.9,"Low risk",TRUE,"Medium risk"),"N/A")</f>
        <v>Medium risk</v>
      </c>
      <c r="Z457" t="str" cm="1">
        <f t="array" ref="Z457">IFERROR(_xlfn.IFS(Table1[[#This Row],[Total charges]]&gt;=AVERAGE(V:V)*1.1,"High risk",Table1[[#This Row],[Total charges]]&lt;=AVERAGE(V:V)*0.9,"Low risk",TRUE,"Medium risk"),"N/A")</f>
        <v>Medium risk</v>
      </c>
      <c r="AA4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5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57" t="str" cm="1">
        <f t="array" ref="AC457">_xlfn.IFS(
AND(Table1[[#This Row],[Customer service risk level]]="High risk", Table1[[#This Row],[Intl usage behaviour]]="Unplanned Usage"),"High Risk",
OR(Table1[[#This Row],[Customer service risk level]]="Medium risk", Table1[[#This Row],[Charges risk level]]="High risk "),"Medium Risk",
TRUE,"Low Risk"
)</f>
        <v>Low Risk</v>
      </c>
    </row>
    <row r="458" spans="1:29" x14ac:dyDescent="0.25">
      <c r="A458" t="s">
        <v>44</v>
      </c>
      <c r="B458">
        <v>149</v>
      </c>
      <c r="C458">
        <v>415</v>
      </c>
      <c r="D458" t="s">
        <v>21</v>
      </c>
      <c r="E458" t="s">
        <v>27</v>
      </c>
      <c r="F458">
        <v>20</v>
      </c>
      <c r="G458">
        <v>264.39999999999998</v>
      </c>
      <c r="H458">
        <v>102</v>
      </c>
      <c r="I458">
        <v>44.95</v>
      </c>
      <c r="J458">
        <v>219.6</v>
      </c>
      <c r="K458">
        <v>123</v>
      </c>
      <c r="L458">
        <v>18.670000000000002</v>
      </c>
      <c r="M458">
        <v>200.4</v>
      </c>
      <c r="N458">
        <v>89</v>
      </c>
      <c r="O458">
        <v>9.02</v>
      </c>
      <c r="P458">
        <v>11.3</v>
      </c>
      <c r="Q458">
        <v>3</v>
      </c>
      <c r="R458">
        <v>3.05</v>
      </c>
      <c r="S458">
        <v>2</v>
      </c>
      <c r="T458" t="b">
        <v>0</v>
      </c>
      <c r="U458">
        <f>IFERROR(SUM(Table1[[#This Row],[Total day minutes]],Table1[[#This Row],[Total eve minutes]],Table1[[#This Row],[Total night minutes]],Table1[[#This Row],[Total intl minutes]]),0)</f>
        <v>695.69999999999993</v>
      </c>
      <c r="V458">
        <f>SUM(Table1[[#This Row],[Total intl charge]],Table1[[#This Row],[Total night charge]],Table1[[#This Row],[Total eve charge]],Table1[[#This Row],[Total day charge]])</f>
        <v>75.69</v>
      </c>
      <c r="W458">
        <f>SUM(Table1[[#This Row],[Total intl calls]],Table1[[#This Row],[Total night calls]],Table1[[#This Row],[Total eve calls]],Table1[[#This Row],[Total day calls]])</f>
        <v>317</v>
      </c>
      <c r="X458" t="str" cm="1">
        <f t="array" ref="X458">_xlfn.IFS(Table1[[#This Row],[Customer service calls]]&gt;=4,"High risk",Table1[[#This Row],[Customer service calls]]&gt;=2,"Medium risk",TRUE,"Low risk")</f>
        <v>Medium risk</v>
      </c>
      <c r="Y458" t="str" cm="1">
        <f t="array" ref="Y458">IFERROR(_xlfn.IFS(Table1[[#This Row],[Total usage(Min)]]&gt;=AVERAGE(U:U)*1.1,"High risk",Table1[[#This Row],[Total usage(Min)]]&lt;= AVERAGE(U:U)*0.9,"Low risk",TRUE,"Medium risk"),"N/A")</f>
        <v>High risk</v>
      </c>
      <c r="Z458" t="str" cm="1">
        <f t="array" ref="Z458">IFERROR(_xlfn.IFS(Table1[[#This Row],[Total charges]]&gt;=AVERAGE(V:V)*1.1,"High risk",Table1[[#This Row],[Total charges]]&lt;=AVERAGE(V:V)*0.9,"Low risk",TRUE,"Medium risk"),"N/A")</f>
        <v>High risk</v>
      </c>
      <c r="AA4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58" t="str" cm="1">
        <f t="array" ref="AC458">_xlfn.IFS(
AND(Table1[[#This Row],[Customer service risk level]]="High risk", Table1[[#This Row],[Intl usage behaviour]]="Unplanned Usage"),"High Risk",
OR(Table1[[#This Row],[Customer service risk level]]="Medium risk", Table1[[#This Row],[Charges risk level]]="High risk "),"Medium Risk",
TRUE,"Low Risk"
)</f>
        <v>Medium Risk</v>
      </c>
    </row>
    <row r="459" spans="1:29" x14ac:dyDescent="0.25">
      <c r="A459" t="s">
        <v>34</v>
      </c>
      <c r="B459">
        <v>102</v>
      </c>
      <c r="C459">
        <v>408</v>
      </c>
      <c r="D459" t="s">
        <v>21</v>
      </c>
      <c r="E459" t="s">
        <v>21</v>
      </c>
      <c r="F459">
        <v>0</v>
      </c>
      <c r="G459">
        <v>273.2</v>
      </c>
      <c r="H459">
        <v>85</v>
      </c>
      <c r="I459">
        <v>46.44</v>
      </c>
      <c r="J459">
        <v>211.1</v>
      </c>
      <c r="K459">
        <v>82</v>
      </c>
      <c r="L459">
        <v>17.940000000000001</v>
      </c>
      <c r="M459">
        <v>203.7</v>
      </c>
      <c r="N459">
        <v>129</v>
      </c>
      <c r="O459">
        <v>9.17</v>
      </c>
      <c r="P459">
        <v>13.1</v>
      </c>
      <c r="Q459">
        <v>7</v>
      </c>
      <c r="R459">
        <v>3.54</v>
      </c>
      <c r="S459">
        <v>2</v>
      </c>
      <c r="T459" t="b">
        <v>1</v>
      </c>
      <c r="U459">
        <f>IFERROR(SUM(Table1[[#This Row],[Total day minutes]],Table1[[#This Row],[Total eve minutes]],Table1[[#This Row],[Total night minutes]],Table1[[#This Row],[Total intl minutes]]),0)</f>
        <v>701.1</v>
      </c>
      <c r="V459">
        <f>SUM(Table1[[#This Row],[Total intl charge]],Table1[[#This Row],[Total night charge]],Table1[[#This Row],[Total eve charge]],Table1[[#This Row],[Total day charge]])</f>
        <v>77.09</v>
      </c>
      <c r="W459">
        <f>SUM(Table1[[#This Row],[Total intl calls]],Table1[[#This Row],[Total night calls]],Table1[[#This Row],[Total eve calls]],Table1[[#This Row],[Total day calls]])</f>
        <v>303</v>
      </c>
      <c r="X459" t="str" cm="1">
        <f t="array" ref="X459">_xlfn.IFS(Table1[[#This Row],[Customer service calls]]&gt;=4,"High risk",Table1[[#This Row],[Customer service calls]]&gt;=2,"Medium risk",TRUE,"Low risk")</f>
        <v>Medium risk</v>
      </c>
      <c r="Y459" t="str" cm="1">
        <f t="array" ref="Y459">IFERROR(_xlfn.IFS(Table1[[#This Row],[Total usage(Min)]]&gt;=AVERAGE(U:U)*1.1,"High risk",Table1[[#This Row],[Total usage(Min)]]&lt;= AVERAGE(U:U)*0.9,"Low risk",TRUE,"Medium risk"),"N/A")</f>
        <v>High risk</v>
      </c>
      <c r="Z459" t="str" cm="1">
        <f t="array" ref="Z459">IFERROR(_xlfn.IFS(Table1[[#This Row],[Total charges]]&gt;=AVERAGE(V:V)*1.1,"High risk",Table1[[#This Row],[Total charges]]&lt;=AVERAGE(V:V)*0.9,"Low risk",TRUE,"Medium risk"),"N/A")</f>
        <v>High risk</v>
      </c>
      <c r="AA4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5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59" t="str" cm="1">
        <f t="array" ref="AC459">_xlfn.IFS(
AND(Table1[[#This Row],[Customer service risk level]]="High risk", Table1[[#This Row],[Intl usage behaviour]]="Unplanned Usage"),"High Risk",
OR(Table1[[#This Row],[Customer service risk level]]="Medium risk", Table1[[#This Row],[Charges risk level]]="High risk "),"Medium Risk",
TRUE,"Low Risk"
)</f>
        <v>Medium Risk</v>
      </c>
    </row>
    <row r="460" spans="1:29" x14ac:dyDescent="0.25">
      <c r="A460" t="s">
        <v>31</v>
      </c>
      <c r="B460">
        <v>153</v>
      </c>
      <c r="C460">
        <v>510</v>
      </c>
      <c r="D460" t="s">
        <v>21</v>
      </c>
      <c r="E460" t="s">
        <v>21</v>
      </c>
      <c r="F460">
        <v>0</v>
      </c>
      <c r="G460">
        <v>159.5</v>
      </c>
      <c r="H460">
        <v>103</v>
      </c>
      <c r="I460">
        <v>27.12</v>
      </c>
      <c r="J460">
        <v>275.5</v>
      </c>
      <c r="K460">
        <v>90</v>
      </c>
      <c r="L460">
        <v>23.42</v>
      </c>
      <c r="M460">
        <v>176.7</v>
      </c>
      <c r="N460">
        <v>126</v>
      </c>
      <c r="O460">
        <v>7.95</v>
      </c>
      <c r="P460">
        <v>10.1</v>
      </c>
      <c r="Q460">
        <v>2</v>
      </c>
      <c r="R460">
        <v>2.73</v>
      </c>
      <c r="S460">
        <v>1</v>
      </c>
      <c r="T460" t="b">
        <v>1</v>
      </c>
      <c r="U460">
        <f>IFERROR(SUM(Table1[[#This Row],[Total day minutes]],Table1[[#This Row],[Total eve minutes]],Table1[[#This Row],[Total night minutes]],Table1[[#This Row],[Total intl minutes]]),0)</f>
        <v>621.80000000000007</v>
      </c>
      <c r="V460">
        <f>SUM(Table1[[#This Row],[Total intl charge]],Table1[[#This Row],[Total night charge]],Table1[[#This Row],[Total eve charge]],Table1[[#This Row],[Total day charge]])</f>
        <v>61.22</v>
      </c>
      <c r="W460">
        <f>SUM(Table1[[#This Row],[Total intl calls]],Table1[[#This Row],[Total night calls]],Table1[[#This Row],[Total eve calls]],Table1[[#This Row],[Total day calls]])</f>
        <v>321</v>
      </c>
      <c r="X460" t="str" cm="1">
        <f t="array" ref="X460">_xlfn.IFS(Table1[[#This Row],[Customer service calls]]&gt;=4,"High risk",Table1[[#This Row],[Customer service calls]]&gt;=2,"Medium risk",TRUE,"Low risk")</f>
        <v>Low risk</v>
      </c>
      <c r="Y460" t="str" cm="1">
        <f t="array" ref="Y460">IFERROR(_xlfn.IFS(Table1[[#This Row],[Total usage(Min)]]&gt;=AVERAGE(U:U)*1.1,"High risk",Table1[[#This Row],[Total usage(Min)]]&lt;= AVERAGE(U:U)*0.9,"Low risk",TRUE,"Medium risk"),"N/A")</f>
        <v>Medium risk</v>
      </c>
      <c r="Z460" t="str" cm="1">
        <f t="array" ref="Z460">IFERROR(_xlfn.IFS(Table1[[#This Row],[Total charges]]&gt;=AVERAGE(V:V)*1.1,"High risk",Table1[[#This Row],[Total charges]]&lt;=AVERAGE(V:V)*0.9,"Low risk",TRUE,"Medium risk"),"N/A")</f>
        <v>Medium risk</v>
      </c>
      <c r="AA4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0" t="str" cm="1">
        <f t="array" ref="AC460">_xlfn.IFS(
AND(Table1[[#This Row],[Customer service risk level]]="High risk", Table1[[#This Row],[Intl usage behaviour]]="Unplanned Usage"),"High Risk",
OR(Table1[[#This Row],[Customer service risk level]]="Medium risk", Table1[[#This Row],[Charges risk level]]="High risk "),"Medium Risk",
TRUE,"Low Risk"
)</f>
        <v>Low Risk</v>
      </c>
    </row>
    <row r="461" spans="1:29" x14ac:dyDescent="0.25">
      <c r="A461" t="s">
        <v>23</v>
      </c>
      <c r="B461">
        <v>122</v>
      </c>
      <c r="C461">
        <v>510</v>
      </c>
      <c r="D461" t="s">
        <v>21</v>
      </c>
      <c r="E461" t="s">
        <v>21</v>
      </c>
      <c r="F461">
        <v>0</v>
      </c>
      <c r="G461">
        <v>145.6</v>
      </c>
      <c r="H461">
        <v>102</v>
      </c>
      <c r="I461">
        <v>24.75</v>
      </c>
      <c r="J461">
        <v>284.7</v>
      </c>
      <c r="K461">
        <v>111</v>
      </c>
      <c r="L461">
        <v>24.2</v>
      </c>
      <c r="M461">
        <v>228.2</v>
      </c>
      <c r="N461">
        <v>91</v>
      </c>
      <c r="O461">
        <v>10.27</v>
      </c>
      <c r="P461">
        <v>12.2</v>
      </c>
      <c r="Q461">
        <v>5</v>
      </c>
      <c r="R461">
        <v>3.29</v>
      </c>
      <c r="S461">
        <v>0</v>
      </c>
      <c r="T461" t="b">
        <v>0</v>
      </c>
      <c r="U461">
        <f>IFERROR(SUM(Table1[[#This Row],[Total day minutes]],Table1[[#This Row],[Total eve minutes]],Table1[[#This Row],[Total night minutes]],Table1[[#This Row],[Total intl minutes]]),0)</f>
        <v>670.7</v>
      </c>
      <c r="V461">
        <f>SUM(Table1[[#This Row],[Total intl charge]],Table1[[#This Row],[Total night charge]],Table1[[#This Row],[Total eve charge]],Table1[[#This Row],[Total day charge]])</f>
        <v>62.51</v>
      </c>
      <c r="W461">
        <f>SUM(Table1[[#This Row],[Total intl calls]],Table1[[#This Row],[Total night calls]],Table1[[#This Row],[Total eve calls]],Table1[[#This Row],[Total day calls]])</f>
        <v>309</v>
      </c>
      <c r="X461" t="str" cm="1">
        <f t="array" ref="X461">_xlfn.IFS(Table1[[#This Row],[Customer service calls]]&gt;=4,"High risk",Table1[[#This Row],[Customer service calls]]&gt;=2,"Medium risk",TRUE,"Low risk")</f>
        <v>Low risk</v>
      </c>
      <c r="Y461" t="str" cm="1">
        <f t="array" ref="Y461">IFERROR(_xlfn.IFS(Table1[[#This Row],[Total usage(Min)]]&gt;=AVERAGE(U:U)*1.1,"High risk",Table1[[#This Row],[Total usage(Min)]]&lt;= AVERAGE(U:U)*0.9,"Low risk",TRUE,"Medium risk"),"N/A")</f>
        <v>High risk</v>
      </c>
      <c r="Z461" t="str" cm="1">
        <f t="array" ref="Z461">IFERROR(_xlfn.IFS(Table1[[#This Row],[Total charges]]&gt;=AVERAGE(V:V)*1.1,"High risk",Table1[[#This Row],[Total charges]]&lt;=AVERAGE(V:V)*0.9,"Low risk",TRUE,"Medium risk"),"N/A")</f>
        <v>Medium risk</v>
      </c>
      <c r="AA4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1" t="str" cm="1">
        <f t="array" ref="AC461">_xlfn.IFS(
AND(Table1[[#This Row],[Customer service risk level]]="High risk", Table1[[#This Row],[Intl usage behaviour]]="Unplanned Usage"),"High Risk",
OR(Table1[[#This Row],[Customer service risk level]]="Medium risk", Table1[[#This Row],[Charges risk level]]="High risk "),"Medium Risk",
TRUE,"Low Risk"
)</f>
        <v>Low Risk</v>
      </c>
    </row>
    <row r="462" spans="1:29" x14ac:dyDescent="0.25">
      <c r="A462" t="s">
        <v>50</v>
      </c>
      <c r="B462">
        <v>127</v>
      </c>
      <c r="C462">
        <v>510</v>
      </c>
      <c r="D462" t="s">
        <v>27</v>
      </c>
      <c r="E462" t="s">
        <v>21</v>
      </c>
      <c r="F462">
        <v>0</v>
      </c>
      <c r="G462">
        <v>247.5</v>
      </c>
      <c r="H462">
        <v>99</v>
      </c>
      <c r="I462">
        <v>42.08</v>
      </c>
      <c r="J462">
        <v>108.5</v>
      </c>
      <c r="K462">
        <v>118</v>
      </c>
      <c r="L462">
        <v>9.2200000000000006</v>
      </c>
      <c r="M462">
        <v>232</v>
      </c>
      <c r="N462">
        <v>72</v>
      </c>
      <c r="O462">
        <v>10.44</v>
      </c>
      <c r="P462">
        <v>10.6</v>
      </c>
      <c r="Q462">
        <v>3</v>
      </c>
      <c r="R462">
        <v>2.86</v>
      </c>
      <c r="S462">
        <v>2</v>
      </c>
      <c r="T462" t="b">
        <v>0</v>
      </c>
      <c r="U462">
        <f>IFERROR(SUM(Table1[[#This Row],[Total day minutes]],Table1[[#This Row],[Total eve minutes]],Table1[[#This Row],[Total night minutes]],Table1[[#This Row],[Total intl minutes]]),0)</f>
        <v>598.6</v>
      </c>
      <c r="V462">
        <f>SUM(Table1[[#This Row],[Total intl charge]],Table1[[#This Row],[Total night charge]],Table1[[#This Row],[Total eve charge]],Table1[[#This Row],[Total day charge]])</f>
        <v>64.599999999999994</v>
      </c>
      <c r="W462">
        <f>SUM(Table1[[#This Row],[Total intl calls]],Table1[[#This Row],[Total night calls]],Table1[[#This Row],[Total eve calls]],Table1[[#This Row],[Total day calls]])</f>
        <v>292</v>
      </c>
      <c r="X462" t="str" cm="1">
        <f t="array" ref="X462">_xlfn.IFS(Table1[[#This Row],[Customer service calls]]&gt;=4,"High risk",Table1[[#This Row],[Customer service calls]]&gt;=2,"Medium risk",TRUE,"Low risk")</f>
        <v>Medium risk</v>
      </c>
      <c r="Y462" t="str" cm="1">
        <f t="array" ref="Y462">IFERROR(_xlfn.IFS(Table1[[#This Row],[Total usage(Min)]]&gt;=AVERAGE(U:U)*1.1,"High risk",Table1[[#This Row],[Total usage(Min)]]&lt;= AVERAGE(U:U)*0.9,"Low risk",TRUE,"Medium risk"),"N/A")</f>
        <v>Medium risk</v>
      </c>
      <c r="Z462" t="str" cm="1">
        <f t="array" ref="Z462">IFERROR(_xlfn.IFS(Table1[[#This Row],[Total charges]]&gt;=AVERAGE(V:V)*1.1,"High risk",Table1[[#This Row],[Total charges]]&lt;=AVERAGE(V:V)*0.9,"Low risk",TRUE,"Medium risk"),"N/A")</f>
        <v>Medium risk</v>
      </c>
      <c r="AA4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2" t="str" cm="1">
        <f t="array" ref="AC462">_xlfn.IFS(
AND(Table1[[#This Row],[Customer service risk level]]="High risk", Table1[[#This Row],[Intl usage behaviour]]="Unplanned Usage"),"High Risk",
OR(Table1[[#This Row],[Customer service risk level]]="Medium risk", Table1[[#This Row],[Charges risk level]]="High risk "),"Medium Risk",
TRUE,"Low Risk"
)</f>
        <v>Medium Risk</v>
      </c>
    </row>
    <row r="463" spans="1:29" x14ac:dyDescent="0.25">
      <c r="A463" t="s">
        <v>23</v>
      </c>
      <c r="B463">
        <v>126</v>
      </c>
      <c r="C463">
        <v>415</v>
      </c>
      <c r="D463" t="s">
        <v>27</v>
      </c>
      <c r="E463" t="s">
        <v>21</v>
      </c>
      <c r="F463">
        <v>0</v>
      </c>
      <c r="G463">
        <v>239.7</v>
      </c>
      <c r="H463">
        <v>87</v>
      </c>
      <c r="I463">
        <v>40.75</v>
      </c>
      <c r="J463">
        <v>281.7</v>
      </c>
      <c r="K463">
        <v>92</v>
      </c>
      <c r="L463">
        <v>23.94</v>
      </c>
      <c r="M463">
        <v>183.5</v>
      </c>
      <c r="N463">
        <v>113</v>
      </c>
      <c r="O463">
        <v>8.26</v>
      </c>
      <c r="P463">
        <v>11.4</v>
      </c>
      <c r="Q463">
        <v>1</v>
      </c>
      <c r="R463">
        <v>3.08</v>
      </c>
      <c r="S463">
        <v>1</v>
      </c>
      <c r="T463" t="b">
        <v>1</v>
      </c>
      <c r="U463">
        <f>IFERROR(SUM(Table1[[#This Row],[Total day minutes]],Table1[[#This Row],[Total eve minutes]],Table1[[#This Row],[Total night minutes]],Table1[[#This Row],[Total intl minutes]]),0)</f>
        <v>716.3</v>
      </c>
      <c r="V463">
        <f>SUM(Table1[[#This Row],[Total intl charge]],Table1[[#This Row],[Total night charge]],Table1[[#This Row],[Total eve charge]],Table1[[#This Row],[Total day charge]])</f>
        <v>76.03</v>
      </c>
      <c r="W463">
        <f>SUM(Table1[[#This Row],[Total intl calls]],Table1[[#This Row],[Total night calls]],Table1[[#This Row],[Total eve calls]],Table1[[#This Row],[Total day calls]])</f>
        <v>293</v>
      </c>
      <c r="X463" t="str" cm="1">
        <f t="array" ref="X463">_xlfn.IFS(Table1[[#This Row],[Customer service calls]]&gt;=4,"High risk",Table1[[#This Row],[Customer service calls]]&gt;=2,"Medium risk",TRUE,"Low risk")</f>
        <v>Low risk</v>
      </c>
      <c r="Y463" t="str" cm="1">
        <f t="array" ref="Y463">IFERROR(_xlfn.IFS(Table1[[#This Row],[Total usage(Min)]]&gt;=AVERAGE(U:U)*1.1,"High risk",Table1[[#This Row],[Total usage(Min)]]&lt;= AVERAGE(U:U)*0.9,"Low risk",TRUE,"Medium risk"),"N/A")</f>
        <v>High risk</v>
      </c>
      <c r="Z463" t="str" cm="1">
        <f t="array" ref="Z463">IFERROR(_xlfn.IFS(Table1[[#This Row],[Total charges]]&gt;=AVERAGE(V:V)*1.1,"High risk",Table1[[#This Row],[Total charges]]&lt;=AVERAGE(V:V)*0.9,"Low risk",TRUE,"Medium risk"),"N/A")</f>
        <v>High risk</v>
      </c>
      <c r="AA4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6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3" t="str" cm="1">
        <f t="array" ref="AC463">_xlfn.IFS(
AND(Table1[[#This Row],[Customer service risk level]]="High risk", Table1[[#This Row],[Intl usage behaviour]]="Unplanned Usage"),"High Risk",
OR(Table1[[#This Row],[Customer service risk level]]="Medium risk", Table1[[#This Row],[Charges risk level]]="High risk "),"Medium Risk",
TRUE,"Low Risk"
)</f>
        <v>Low Risk</v>
      </c>
    </row>
    <row r="464" spans="1:29" x14ac:dyDescent="0.25">
      <c r="A464" t="s">
        <v>37</v>
      </c>
      <c r="B464">
        <v>90</v>
      </c>
      <c r="C464">
        <v>408</v>
      </c>
      <c r="D464" t="s">
        <v>21</v>
      </c>
      <c r="E464" t="s">
        <v>21</v>
      </c>
      <c r="F464">
        <v>0</v>
      </c>
      <c r="G464">
        <v>109.9</v>
      </c>
      <c r="H464">
        <v>102</v>
      </c>
      <c r="I464">
        <v>18.68</v>
      </c>
      <c r="J464">
        <v>220.8</v>
      </c>
      <c r="K464">
        <v>114</v>
      </c>
      <c r="L464">
        <v>18.77</v>
      </c>
      <c r="M464">
        <v>104</v>
      </c>
      <c r="N464">
        <v>133</v>
      </c>
      <c r="O464">
        <v>4.68</v>
      </c>
      <c r="P464">
        <v>10.9</v>
      </c>
      <c r="Q464">
        <v>6</v>
      </c>
      <c r="R464">
        <v>2.94</v>
      </c>
      <c r="S464">
        <v>0</v>
      </c>
      <c r="T464" t="b">
        <v>0</v>
      </c>
      <c r="U464">
        <f>IFERROR(SUM(Table1[[#This Row],[Total day minutes]],Table1[[#This Row],[Total eve minutes]],Table1[[#This Row],[Total night minutes]],Table1[[#This Row],[Total intl minutes]]),0)</f>
        <v>445.6</v>
      </c>
      <c r="V464">
        <f>SUM(Table1[[#This Row],[Total intl charge]],Table1[[#This Row],[Total night charge]],Table1[[#This Row],[Total eve charge]],Table1[[#This Row],[Total day charge]])</f>
        <v>45.07</v>
      </c>
      <c r="W464">
        <f>SUM(Table1[[#This Row],[Total intl calls]],Table1[[#This Row],[Total night calls]],Table1[[#This Row],[Total eve calls]],Table1[[#This Row],[Total day calls]])</f>
        <v>355</v>
      </c>
      <c r="X464" t="str" cm="1">
        <f t="array" ref="X464">_xlfn.IFS(Table1[[#This Row],[Customer service calls]]&gt;=4,"High risk",Table1[[#This Row],[Customer service calls]]&gt;=2,"Medium risk",TRUE,"Low risk")</f>
        <v>Low risk</v>
      </c>
      <c r="Y464" t="str" cm="1">
        <f t="array" ref="Y464">IFERROR(_xlfn.IFS(Table1[[#This Row],[Total usage(Min)]]&gt;=AVERAGE(U:U)*1.1,"High risk",Table1[[#This Row],[Total usage(Min)]]&lt;= AVERAGE(U:U)*0.9,"Low risk",TRUE,"Medium risk"),"N/A")</f>
        <v>Low risk</v>
      </c>
      <c r="Z464" t="str" cm="1">
        <f t="array" ref="Z464">IFERROR(_xlfn.IFS(Table1[[#This Row],[Total charges]]&gt;=AVERAGE(V:V)*1.1,"High risk",Table1[[#This Row],[Total charges]]&lt;=AVERAGE(V:V)*0.9,"Low risk",TRUE,"Medium risk"),"N/A")</f>
        <v>Low risk</v>
      </c>
      <c r="AA4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4" t="str" cm="1">
        <f t="array" ref="AC464">_xlfn.IFS(
AND(Table1[[#This Row],[Customer service risk level]]="High risk", Table1[[#This Row],[Intl usage behaviour]]="Unplanned Usage"),"High Risk",
OR(Table1[[#This Row],[Customer service risk level]]="Medium risk", Table1[[#This Row],[Charges risk level]]="High risk "),"Medium Risk",
TRUE,"Low Risk"
)</f>
        <v>Low Risk</v>
      </c>
    </row>
    <row r="465" spans="1:29" x14ac:dyDescent="0.25">
      <c r="A465" t="s">
        <v>39</v>
      </c>
      <c r="B465">
        <v>37</v>
      </c>
      <c r="C465">
        <v>510</v>
      </c>
      <c r="D465" t="s">
        <v>21</v>
      </c>
      <c r="E465" t="s">
        <v>21</v>
      </c>
      <c r="F465">
        <v>0</v>
      </c>
      <c r="G465">
        <v>239.9</v>
      </c>
      <c r="H465">
        <v>120</v>
      </c>
      <c r="I465">
        <v>40.78</v>
      </c>
      <c r="J465">
        <v>261.60000000000002</v>
      </c>
      <c r="K465">
        <v>88</v>
      </c>
      <c r="L465">
        <v>22.24</v>
      </c>
      <c r="M465">
        <v>207.1</v>
      </c>
      <c r="N465">
        <v>88</v>
      </c>
      <c r="O465">
        <v>9.32</v>
      </c>
      <c r="P465">
        <v>8.9</v>
      </c>
      <c r="Q465">
        <v>4</v>
      </c>
      <c r="R465">
        <v>2.4</v>
      </c>
      <c r="S465">
        <v>2</v>
      </c>
      <c r="T465" t="b">
        <v>1</v>
      </c>
      <c r="U465">
        <f>IFERROR(SUM(Table1[[#This Row],[Total day minutes]],Table1[[#This Row],[Total eve minutes]],Table1[[#This Row],[Total night minutes]],Table1[[#This Row],[Total intl minutes]]),0)</f>
        <v>717.5</v>
      </c>
      <c r="V465">
        <f>SUM(Table1[[#This Row],[Total intl charge]],Table1[[#This Row],[Total night charge]],Table1[[#This Row],[Total eve charge]],Table1[[#This Row],[Total day charge]])</f>
        <v>74.740000000000009</v>
      </c>
      <c r="W465">
        <f>SUM(Table1[[#This Row],[Total intl calls]],Table1[[#This Row],[Total night calls]],Table1[[#This Row],[Total eve calls]],Table1[[#This Row],[Total day calls]])</f>
        <v>300</v>
      </c>
      <c r="X465" t="str" cm="1">
        <f t="array" ref="X465">_xlfn.IFS(Table1[[#This Row],[Customer service calls]]&gt;=4,"High risk",Table1[[#This Row],[Customer service calls]]&gt;=2,"Medium risk",TRUE,"Low risk")</f>
        <v>Medium risk</v>
      </c>
      <c r="Y465" t="str" cm="1">
        <f t="array" ref="Y465">IFERROR(_xlfn.IFS(Table1[[#This Row],[Total usage(Min)]]&gt;=AVERAGE(U:U)*1.1,"High risk",Table1[[#This Row],[Total usage(Min)]]&lt;= AVERAGE(U:U)*0.9,"Low risk",TRUE,"Medium risk"),"N/A")</f>
        <v>High risk</v>
      </c>
      <c r="Z465" t="str" cm="1">
        <f t="array" ref="Z465">IFERROR(_xlfn.IFS(Table1[[#This Row],[Total charges]]&gt;=AVERAGE(V:V)*1.1,"High risk",Table1[[#This Row],[Total charges]]&lt;=AVERAGE(V:V)*0.9,"Low risk",TRUE,"Medium risk"),"N/A")</f>
        <v>High risk</v>
      </c>
      <c r="AA4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5" t="str" cm="1">
        <f t="array" ref="AC465">_xlfn.IFS(
AND(Table1[[#This Row],[Customer service risk level]]="High risk", Table1[[#This Row],[Intl usage behaviour]]="Unplanned Usage"),"High Risk",
OR(Table1[[#This Row],[Customer service risk level]]="Medium risk", Table1[[#This Row],[Charges risk level]]="High risk "),"Medium Risk",
TRUE,"Low Risk"
)</f>
        <v>Medium Risk</v>
      </c>
    </row>
    <row r="466" spans="1:29" x14ac:dyDescent="0.25">
      <c r="A466" t="s">
        <v>37</v>
      </c>
      <c r="B466">
        <v>132</v>
      </c>
      <c r="C466">
        <v>415</v>
      </c>
      <c r="D466" t="s">
        <v>21</v>
      </c>
      <c r="E466" t="s">
        <v>21</v>
      </c>
      <c r="F466">
        <v>0</v>
      </c>
      <c r="G466">
        <v>197.8</v>
      </c>
      <c r="H466">
        <v>66</v>
      </c>
      <c r="I466">
        <v>33.630000000000003</v>
      </c>
      <c r="J466">
        <v>133.9</v>
      </c>
      <c r="K466">
        <v>119</v>
      </c>
      <c r="L466">
        <v>11.38</v>
      </c>
      <c r="M466">
        <v>177.3</v>
      </c>
      <c r="N466">
        <v>94</v>
      </c>
      <c r="O466">
        <v>7.98</v>
      </c>
      <c r="P466">
        <v>10.9</v>
      </c>
      <c r="Q466">
        <v>3</v>
      </c>
      <c r="R466">
        <v>2.94</v>
      </c>
      <c r="S466">
        <v>4</v>
      </c>
      <c r="T466" t="b">
        <v>1</v>
      </c>
      <c r="U466">
        <f>IFERROR(SUM(Table1[[#This Row],[Total day minutes]],Table1[[#This Row],[Total eve minutes]],Table1[[#This Row],[Total night minutes]],Table1[[#This Row],[Total intl minutes]]),0)</f>
        <v>519.90000000000009</v>
      </c>
      <c r="V466">
        <f>SUM(Table1[[#This Row],[Total intl charge]],Table1[[#This Row],[Total night charge]],Table1[[#This Row],[Total eve charge]],Table1[[#This Row],[Total day charge]])</f>
        <v>55.930000000000007</v>
      </c>
      <c r="W466">
        <f>SUM(Table1[[#This Row],[Total intl calls]],Table1[[#This Row],[Total night calls]],Table1[[#This Row],[Total eve calls]],Table1[[#This Row],[Total day calls]])</f>
        <v>282</v>
      </c>
      <c r="X466" t="str" cm="1">
        <f t="array" ref="X466">_xlfn.IFS(Table1[[#This Row],[Customer service calls]]&gt;=4,"High risk",Table1[[#This Row],[Customer service calls]]&gt;=2,"Medium risk",TRUE,"Low risk")</f>
        <v>High risk</v>
      </c>
      <c r="Y466" t="str" cm="1">
        <f t="array" ref="Y466">IFERROR(_xlfn.IFS(Table1[[#This Row],[Total usage(Min)]]&gt;=AVERAGE(U:U)*1.1,"High risk",Table1[[#This Row],[Total usage(Min)]]&lt;= AVERAGE(U:U)*0.9,"Low risk",TRUE,"Medium risk"),"N/A")</f>
        <v>Low risk</v>
      </c>
      <c r="Z466" t="str" cm="1">
        <f t="array" ref="Z466">IFERROR(_xlfn.IFS(Table1[[#This Row],[Total charges]]&gt;=AVERAGE(V:V)*1.1,"High risk",Table1[[#This Row],[Total charges]]&lt;=AVERAGE(V:V)*0.9,"Low risk",TRUE,"Medium risk"),"N/A")</f>
        <v>Medium risk</v>
      </c>
      <c r="AA4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6" t="str" cm="1">
        <f t="array" ref="AC466">_xlfn.IFS(
AND(Table1[[#This Row],[Customer service risk level]]="High risk", Table1[[#This Row],[Intl usage behaviour]]="Unplanned Usage"),"High Risk",
OR(Table1[[#This Row],[Customer service risk level]]="Medium risk", Table1[[#This Row],[Charges risk level]]="High risk "),"Medium Risk",
TRUE,"Low Risk"
)</f>
        <v>High Risk</v>
      </c>
    </row>
    <row r="467" spans="1:29" x14ac:dyDescent="0.25">
      <c r="A467" t="s">
        <v>36</v>
      </c>
      <c r="B467">
        <v>38</v>
      </c>
      <c r="C467">
        <v>408</v>
      </c>
      <c r="D467" t="s">
        <v>21</v>
      </c>
      <c r="E467" t="s">
        <v>27</v>
      </c>
      <c r="F467">
        <v>36</v>
      </c>
      <c r="G467">
        <v>115.4</v>
      </c>
      <c r="H467">
        <v>98</v>
      </c>
      <c r="I467">
        <v>19.62</v>
      </c>
      <c r="J467">
        <v>166.2</v>
      </c>
      <c r="K467">
        <v>83</v>
      </c>
      <c r="L467">
        <v>14.13</v>
      </c>
      <c r="M467">
        <v>184.7</v>
      </c>
      <c r="N467">
        <v>79</v>
      </c>
      <c r="O467">
        <v>8.31</v>
      </c>
      <c r="P467">
        <v>15.2</v>
      </c>
      <c r="Q467">
        <v>6</v>
      </c>
      <c r="R467">
        <v>4.0999999999999996</v>
      </c>
      <c r="S467">
        <v>2</v>
      </c>
      <c r="T467" t="b">
        <v>0</v>
      </c>
      <c r="U467">
        <f>IFERROR(SUM(Table1[[#This Row],[Total day minutes]],Table1[[#This Row],[Total eve minutes]],Table1[[#This Row],[Total night minutes]],Table1[[#This Row],[Total intl minutes]]),0)</f>
        <v>481.5</v>
      </c>
      <c r="V467">
        <f>SUM(Table1[[#This Row],[Total intl charge]],Table1[[#This Row],[Total night charge]],Table1[[#This Row],[Total eve charge]],Table1[[#This Row],[Total day charge]])</f>
        <v>46.16</v>
      </c>
      <c r="W467">
        <f>SUM(Table1[[#This Row],[Total intl calls]],Table1[[#This Row],[Total night calls]],Table1[[#This Row],[Total eve calls]],Table1[[#This Row],[Total day calls]])</f>
        <v>266</v>
      </c>
      <c r="X467" t="str" cm="1">
        <f t="array" ref="X467">_xlfn.IFS(Table1[[#This Row],[Customer service calls]]&gt;=4,"High risk",Table1[[#This Row],[Customer service calls]]&gt;=2,"Medium risk",TRUE,"Low risk")</f>
        <v>Medium risk</v>
      </c>
      <c r="Y467" t="str" cm="1">
        <f t="array" ref="Y467">IFERROR(_xlfn.IFS(Table1[[#This Row],[Total usage(Min)]]&gt;=AVERAGE(U:U)*1.1,"High risk",Table1[[#This Row],[Total usage(Min)]]&lt;= AVERAGE(U:U)*0.9,"Low risk",TRUE,"Medium risk"),"N/A")</f>
        <v>Low risk</v>
      </c>
      <c r="Z467" t="str" cm="1">
        <f t="array" ref="Z467">IFERROR(_xlfn.IFS(Table1[[#This Row],[Total charges]]&gt;=AVERAGE(V:V)*1.1,"High risk",Table1[[#This Row],[Total charges]]&lt;=AVERAGE(V:V)*0.9,"Low risk",TRUE,"Medium risk"),"N/A")</f>
        <v>Low risk</v>
      </c>
      <c r="AA4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67" t="str" cm="1">
        <f t="array" ref="AC467">_xlfn.IFS(
AND(Table1[[#This Row],[Customer service risk level]]="High risk", Table1[[#This Row],[Intl usage behaviour]]="Unplanned Usage"),"High Risk",
OR(Table1[[#This Row],[Customer service risk level]]="Medium risk", Table1[[#This Row],[Charges risk level]]="High risk "),"Medium Risk",
TRUE,"Low Risk"
)</f>
        <v>Medium Risk</v>
      </c>
    </row>
    <row r="468" spans="1:29" x14ac:dyDescent="0.25">
      <c r="A468" t="s">
        <v>29</v>
      </c>
      <c r="B468">
        <v>92</v>
      </c>
      <c r="C468">
        <v>415</v>
      </c>
      <c r="D468" t="s">
        <v>21</v>
      </c>
      <c r="E468" t="s">
        <v>21</v>
      </c>
      <c r="F468">
        <v>0</v>
      </c>
      <c r="G468">
        <v>197.2</v>
      </c>
      <c r="H468">
        <v>113</v>
      </c>
      <c r="I468">
        <v>33.520000000000003</v>
      </c>
      <c r="J468">
        <v>242.3</v>
      </c>
      <c r="K468">
        <v>116</v>
      </c>
      <c r="L468">
        <v>20.6</v>
      </c>
      <c r="M468">
        <v>192</v>
      </c>
      <c r="N468">
        <v>76</v>
      </c>
      <c r="O468">
        <v>8.64</v>
      </c>
      <c r="P468">
        <v>11</v>
      </c>
      <c r="Q468">
        <v>5</v>
      </c>
      <c r="R468">
        <v>2.97</v>
      </c>
      <c r="S468">
        <v>2</v>
      </c>
      <c r="T468" t="b">
        <v>0</v>
      </c>
      <c r="U468">
        <f>IFERROR(SUM(Table1[[#This Row],[Total day minutes]],Table1[[#This Row],[Total eve minutes]],Table1[[#This Row],[Total night minutes]],Table1[[#This Row],[Total intl minutes]]),0)</f>
        <v>642.5</v>
      </c>
      <c r="V468">
        <f>SUM(Table1[[#This Row],[Total intl charge]],Table1[[#This Row],[Total night charge]],Table1[[#This Row],[Total eve charge]],Table1[[#This Row],[Total day charge]])</f>
        <v>65.73</v>
      </c>
      <c r="W468">
        <f>SUM(Table1[[#This Row],[Total intl calls]],Table1[[#This Row],[Total night calls]],Table1[[#This Row],[Total eve calls]],Table1[[#This Row],[Total day calls]])</f>
        <v>310</v>
      </c>
      <c r="X468" t="str" cm="1">
        <f t="array" ref="X468">_xlfn.IFS(Table1[[#This Row],[Customer service calls]]&gt;=4,"High risk",Table1[[#This Row],[Customer service calls]]&gt;=2,"Medium risk",TRUE,"Low risk")</f>
        <v>Medium risk</v>
      </c>
      <c r="Y468" t="str" cm="1">
        <f t="array" ref="Y468">IFERROR(_xlfn.IFS(Table1[[#This Row],[Total usage(Min)]]&gt;=AVERAGE(U:U)*1.1,"High risk",Table1[[#This Row],[Total usage(Min)]]&lt;= AVERAGE(U:U)*0.9,"Low risk",TRUE,"Medium risk"),"N/A")</f>
        <v>Medium risk</v>
      </c>
      <c r="Z468" t="str" cm="1">
        <f t="array" ref="Z468">IFERROR(_xlfn.IFS(Table1[[#This Row],[Total charges]]&gt;=AVERAGE(V:V)*1.1,"High risk",Table1[[#This Row],[Total charges]]&lt;=AVERAGE(V:V)*0.9,"Low risk",TRUE,"Medium risk"),"N/A")</f>
        <v>Medium risk</v>
      </c>
      <c r="AA4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68" t="str" cm="1">
        <f t="array" ref="AC468">_xlfn.IFS(
AND(Table1[[#This Row],[Customer service risk level]]="High risk", Table1[[#This Row],[Intl usage behaviour]]="Unplanned Usage"),"High Risk",
OR(Table1[[#This Row],[Customer service risk level]]="Medium risk", Table1[[#This Row],[Charges risk level]]="High risk "),"Medium Risk",
TRUE,"Low Risk"
)</f>
        <v>Medium Risk</v>
      </c>
    </row>
    <row r="469" spans="1:29" x14ac:dyDescent="0.25">
      <c r="A469" t="s">
        <v>25</v>
      </c>
      <c r="B469">
        <v>111</v>
      </c>
      <c r="C469">
        <v>408</v>
      </c>
      <c r="D469" t="s">
        <v>21</v>
      </c>
      <c r="E469" t="s">
        <v>27</v>
      </c>
      <c r="F469">
        <v>13</v>
      </c>
      <c r="G469">
        <v>193.1</v>
      </c>
      <c r="H469">
        <v>104</v>
      </c>
      <c r="I469">
        <v>32.83</v>
      </c>
      <c r="J469">
        <v>111.6</v>
      </c>
      <c r="K469">
        <v>98</v>
      </c>
      <c r="L469">
        <v>9.49</v>
      </c>
      <c r="M469">
        <v>227.4</v>
      </c>
      <c r="N469">
        <v>94</v>
      </c>
      <c r="O469">
        <v>10.23</v>
      </c>
      <c r="P469">
        <v>12.1</v>
      </c>
      <c r="Q469">
        <v>4</v>
      </c>
      <c r="R469">
        <v>3.27</v>
      </c>
      <c r="S469">
        <v>1</v>
      </c>
      <c r="T469" t="b">
        <v>0</v>
      </c>
      <c r="U469">
        <f>IFERROR(SUM(Table1[[#This Row],[Total day minutes]],Table1[[#This Row],[Total eve minutes]],Table1[[#This Row],[Total night minutes]],Table1[[#This Row],[Total intl minutes]]),0)</f>
        <v>544.20000000000005</v>
      </c>
      <c r="V469">
        <f>SUM(Table1[[#This Row],[Total intl charge]],Table1[[#This Row],[Total night charge]],Table1[[#This Row],[Total eve charge]],Table1[[#This Row],[Total day charge]])</f>
        <v>55.82</v>
      </c>
      <c r="W469">
        <f>SUM(Table1[[#This Row],[Total intl calls]],Table1[[#This Row],[Total night calls]],Table1[[#This Row],[Total eve calls]],Table1[[#This Row],[Total day calls]])</f>
        <v>300</v>
      </c>
      <c r="X469" t="str" cm="1">
        <f t="array" ref="X469">_xlfn.IFS(Table1[[#This Row],[Customer service calls]]&gt;=4,"High risk",Table1[[#This Row],[Customer service calls]]&gt;=2,"Medium risk",TRUE,"Low risk")</f>
        <v>Low risk</v>
      </c>
      <c r="Y469" t="str" cm="1">
        <f t="array" ref="Y469">IFERROR(_xlfn.IFS(Table1[[#This Row],[Total usage(Min)]]&gt;=AVERAGE(U:U)*1.1,"High risk",Table1[[#This Row],[Total usage(Min)]]&lt;= AVERAGE(U:U)*0.9,"Low risk",TRUE,"Medium risk"),"N/A")</f>
        <v>Medium risk</v>
      </c>
      <c r="Z469" t="str" cm="1">
        <f t="array" ref="Z469">IFERROR(_xlfn.IFS(Table1[[#This Row],[Total charges]]&gt;=AVERAGE(V:V)*1.1,"High risk",Table1[[#This Row],[Total charges]]&lt;=AVERAGE(V:V)*0.9,"Low risk",TRUE,"Medium risk"),"N/A")</f>
        <v>Medium risk</v>
      </c>
      <c r="AA4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6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69" t="str" cm="1">
        <f t="array" ref="AC469">_xlfn.IFS(
AND(Table1[[#This Row],[Customer service risk level]]="High risk", Table1[[#This Row],[Intl usage behaviour]]="Unplanned Usage"),"High Risk",
OR(Table1[[#This Row],[Customer service risk level]]="Medium risk", Table1[[#This Row],[Charges risk level]]="High risk "),"Medium Risk",
TRUE,"Low Risk"
)</f>
        <v>Low Risk</v>
      </c>
    </row>
    <row r="470" spans="1:29" x14ac:dyDescent="0.25">
      <c r="A470" t="s">
        <v>48</v>
      </c>
      <c r="B470">
        <v>121</v>
      </c>
      <c r="C470">
        <v>415</v>
      </c>
      <c r="D470" t="s">
        <v>21</v>
      </c>
      <c r="E470" t="s">
        <v>27</v>
      </c>
      <c r="F470">
        <v>31</v>
      </c>
      <c r="G470">
        <v>263.10000000000002</v>
      </c>
      <c r="H470">
        <v>70</v>
      </c>
      <c r="I470">
        <v>44.73</v>
      </c>
      <c r="J470">
        <v>279.3</v>
      </c>
      <c r="K470">
        <v>118</v>
      </c>
      <c r="L470">
        <v>23.74</v>
      </c>
      <c r="M470">
        <v>127.1</v>
      </c>
      <c r="N470">
        <v>143</v>
      </c>
      <c r="O470">
        <v>5.72</v>
      </c>
      <c r="P470">
        <v>9.6999999999999993</v>
      </c>
      <c r="Q470">
        <v>4</v>
      </c>
      <c r="R470">
        <v>2.62</v>
      </c>
      <c r="S470">
        <v>5</v>
      </c>
      <c r="T470" t="b">
        <v>0</v>
      </c>
      <c r="U470">
        <f>IFERROR(SUM(Table1[[#This Row],[Total day minutes]],Table1[[#This Row],[Total eve minutes]],Table1[[#This Row],[Total night minutes]],Table1[[#This Row],[Total intl minutes]]),0)</f>
        <v>679.20000000000016</v>
      </c>
      <c r="V470">
        <f>SUM(Table1[[#This Row],[Total intl charge]],Table1[[#This Row],[Total night charge]],Table1[[#This Row],[Total eve charge]],Table1[[#This Row],[Total day charge]])</f>
        <v>76.81</v>
      </c>
      <c r="W470">
        <f>SUM(Table1[[#This Row],[Total intl calls]],Table1[[#This Row],[Total night calls]],Table1[[#This Row],[Total eve calls]],Table1[[#This Row],[Total day calls]])</f>
        <v>335</v>
      </c>
      <c r="X470" t="str" cm="1">
        <f t="array" ref="X470">_xlfn.IFS(Table1[[#This Row],[Customer service calls]]&gt;=4,"High risk",Table1[[#This Row],[Customer service calls]]&gt;=2,"Medium risk",TRUE,"Low risk")</f>
        <v>High risk</v>
      </c>
      <c r="Y470" t="str" cm="1">
        <f t="array" ref="Y470">IFERROR(_xlfn.IFS(Table1[[#This Row],[Total usage(Min)]]&gt;=AVERAGE(U:U)*1.1,"High risk",Table1[[#This Row],[Total usage(Min)]]&lt;= AVERAGE(U:U)*0.9,"Low risk",TRUE,"Medium risk"),"N/A")</f>
        <v>High risk</v>
      </c>
      <c r="Z470" t="str" cm="1">
        <f t="array" ref="Z470">IFERROR(_xlfn.IFS(Table1[[#This Row],[Total charges]]&gt;=AVERAGE(V:V)*1.1,"High risk",Table1[[#This Row],[Total charges]]&lt;=AVERAGE(V:V)*0.9,"Low risk",TRUE,"Medium risk"),"N/A")</f>
        <v>High risk</v>
      </c>
      <c r="AA4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70" t="str" cm="1">
        <f t="array" ref="AC470">_xlfn.IFS(
AND(Table1[[#This Row],[Customer service risk level]]="High risk", Table1[[#This Row],[Intl usage behaviour]]="Unplanned Usage"),"High Risk",
OR(Table1[[#This Row],[Customer service risk level]]="Medium risk", Table1[[#This Row],[Charges risk level]]="High risk "),"Medium Risk",
TRUE,"Low Risk"
)</f>
        <v>High Risk</v>
      </c>
    </row>
    <row r="471" spans="1:29" x14ac:dyDescent="0.25">
      <c r="A471" t="s">
        <v>72</v>
      </c>
      <c r="B471">
        <v>131</v>
      </c>
      <c r="C471">
        <v>408</v>
      </c>
      <c r="D471" t="s">
        <v>21</v>
      </c>
      <c r="E471" t="s">
        <v>21</v>
      </c>
      <c r="F471">
        <v>0</v>
      </c>
      <c r="G471">
        <v>197</v>
      </c>
      <c r="H471">
        <v>79</v>
      </c>
      <c r="I471">
        <v>33.49</v>
      </c>
      <c r="J471">
        <v>201</v>
      </c>
      <c r="K471">
        <v>114</v>
      </c>
      <c r="L471">
        <v>17.09</v>
      </c>
      <c r="M471">
        <v>151.19999999999999</v>
      </c>
      <c r="N471">
        <v>111</v>
      </c>
      <c r="O471">
        <v>6.8</v>
      </c>
      <c r="P471">
        <v>11.6</v>
      </c>
      <c r="Q471">
        <v>5</v>
      </c>
      <c r="R471">
        <v>3.13</v>
      </c>
      <c r="S471">
        <v>1</v>
      </c>
      <c r="T471" t="b">
        <v>0</v>
      </c>
      <c r="U471">
        <f>IFERROR(SUM(Table1[[#This Row],[Total day minutes]],Table1[[#This Row],[Total eve minutes]],Table1[[#This Row],[Total night minutes]],Table1[[#This Row],[Total intl minutes]]),0)</f>
        <v>560.80000000000007</v>
      </c>
      <c r="V471">
        <f>SUM(Table1[[#This Row],[Total intl charge]],Table1[[#This Row],[Total night charge]],Table1[[#This Row],[Total eve charge]],Table1[[#This Row],[Total day charge]])</f>
        <v>60.510000000000005</v>
      </c>
      <c r="W471">
        <f>SUM(Table1[[#This Row],[Total intl calls]],Table1[[#This Row],[Total night calls]],Table1[[#This Row],[Total eve calls]],Table1[[#This Row],[Total day calls]])</f>
        <v>309</v>
      </c>
      <c r="X471" t="str" cm="1">
        <f t="array" ref="X471">_xlfn.IFS(Table1[[#This Row],[Customer service calls]]&gt;=4,"High risk",Table1[[#This Row],[Customer service calls]]&gt;=2,"Medium risk",TRUE,"Low risk")</f>
        <v>Low risk</v>
      </c>
      <c r="Y471" t="str" cm="1">
        <f t="array" ref="Y471">IFERROR(_xlfn.IFS(Table1[[#This Row],[Total usage(Min)]]&gt;=AVERAGE(U:U)*1.1,"High risk",Table1[[#This Row],[Total usage(Min)]]&lt;= AVERAGE(U:U)*0.9,"Low risk",TRUE,"Medium risk"),"N/A")</f>
        <v>Medium risk</v>
      </c>
      <c r="Z471" t="str" cm="1">
        <f t="array" ref="Z471">IFERROR(_xlfn.IFS(Table1[[#This Row],[Total charges]]&gt;=AVERAGE(V:V)*1.1,"High risk",Table1[[#This Row],[Total charges]]&lt;=AVERAGE(V:V)*0.9,"Low risk",TRUE,"Medium risk"),"N/A")</f>
        <v>Medium risk</v>
      </c>
      <c r="AA4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1" t="str" cm="1">
        <f t="array" ref="AC471">_xlfn.IFS(
AND(Table1[[#This Row],[Customer service risk level]]="High risk", Table1[[#This Row],[Intl usage behaviour]]="Unplanned Usage"),"High Risk",
OR(Table1[[#This Row],[Customer service risk level]]="Medium risk", Table1[[#This Row],[Charges risk level]]="High risk "),"Medium Risk",
TRUE,"Low Risk"
)</f>
        <v>Low Risk</v>
      </c>
    </row>
    <row r="472" spans="1:29" x14ac:dyDescent="0.25">
      <c r="A472" t="s">
        <v>62</v>
      </c>
      <c r="B472">
        <v>19</v>
      </c>
      <c r="C472">
        <v>415</v>
      </c>
      <c r="D472" t="s">
        <v>21</v>
      </c>
      <c r="E472" t="s">
        <v>21</v>
      </c>
      <c r="F472">
        <v>0</v>
      </c>
      <c r="G472">
        <v>201.5</v>
      </c>
      <c r="H472">
        <v>123</v>
      </c>
      <c r="I472">
        <v>34.26</v>
      </c>
      <c r="J472">
        <v>129.19999999999999</v>
      </c>
      <c r="K472">
        <v>110</v>
      </c>
      <c r="L472">
        <v>10.98</v>
      </c>
      <c r="M472">
        <v>220.6</v>
      </c>
      <c r="N472">
        <v>98</v>
      </c>
      <c r="O472">
        <v>9.93</v>
      </c>
      <c r="P472">
        <v>12.9</v>
      </c>
      <c r="Q472">
        <v>4</v>
      </c>
      <c r="R472">
        <v>3.48</v>
      </c>
      <c r="S472">
        <v>1</v>
      </c>
      <c r="T472" t="b">
        <v>0</v>
      </c>
      <c r="U472">
        <f>IFERROR(SUM(Table1[[#This Row],[Total day minutes]],Table1[[#This Row],[Total eve minutes]],Table1[[#This Row],[Total night minutes]],Table1[[#This Row],[Total intl minutes]]),0)</f>
        <v>564.19999999999993</v>
      </c>
      <c r="V472">
        <f>SUM(Table1[[#This Row],[Total intl charge]],Table1[[#This Row],[Total night charge]],Table1[[#This Row],[Total eve charge]],Table1[[#This Row],[Total day charge]])</f>
        <v>58.65</v>
      </c>
      <c r="W472">
        <f>SUM(Table1[[#This Row],[Total intl calls]],Table1[[#This Row],[Total night calls]],Table1[[#This Row],[Total eve calls]],Table1[[#This Row],[Total day calls]])</f>
        <v>335</v>
      </c>
      <c r="X472" t="str" cm="1">
        <f t="array" ref="X472">_xlfn.IFS(Table1[[#This Row],[Customer service calls]]&gt;=4,"High risk",Table1[[#This Row],[Customer service calls]]&gt;=2,"Medium risk",TRUE,"Low risk")</f>
        <v>Low risk</v>
      </c>
      <c r="Y472" t="str" cm="1">
        <f t="array" ref="Y472">IFERROR(_xlfn.IFS(Table1[[#This Row],[Total usage(Min)]]&gt;=AVERAGE(U:U)*1.1,"High risk",Table1[[#This Row],[Total usage(Min)]]&lt;= AVERAGE(U:U)*0.9,"Low risk",TRUE,"Medium risk"),"N/A")</f>
        <v>Medium risk</v>
      </c>
      <c r="Z472" t="str" cm="1">
        <f t="array" ref="Z472">IFERROR(_xlfn.IFS(Table1[[#This Row],[Total charges]]&gt;=AVERAGE(V:V)*1.1,"High risk",Table1[[#This Row],[Total charges]]&lt;=AVERAGE(V:V)*0.9,"Low risk",TRUE,"Medium risk"),"N/A")</f>
        <v>Medium risk</v>
      </c>
      <c r="AA4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2" t="str" cm="1">
        <f t="array" ref="AC472">_xlfn.IFS(
AND(Table1[[#This Row],[Customer service risk level]]="High risk", Table1[[#This Row],[Intl usage behaviour]]="Unplanned Usage"),"High Risk",
OR(Table1[[#This Row],[Customer service risk level]]="Medium risk", Table1[[#This Row],[Charges risk level]]="High risk "),"Medium Risk",
TRUE,"Low Risk"
)</f>
        <v>Low Risk</v>
      </c>
    </row>
    <row r="473" spans="1:29" x14ac:dyDescent="0.25">
      <c r="A473" t="s">
        <v>42</v>
      </c>
      <c r="B473">
        <v>135</v>
      </c>
      <c r="C473">
        <v>415</v>
      </c>
      <c r="D473" t="s">
        <v>21</v>
      </c>
      <c r="E473" t="s">
        <v>21</v>
      </c>
      <c r="F473">
        <v>0</v>
      </c>
      <c r="G473">
        <v>173.4</v>
      </c>
      <c r="H473">
        <v>107</v>
      </c>
      <c r="I473">
        <v>29.48</v>
      </c>
      <c r="J473">
        <v>222</v>
      </c>
      <c r="K473">
        <v>84</v>
      </c>
      <c r="L473">
        <v>18.87</v>
      </c>
      <c r="M473">
        <v>64.2</v>
      </c>
      <c r="N473">
        <v>94</v>
      </c>
      <c r="O473">
        <v>2.89</v>
      </c>
      <c r="P473">
        <v>13.7</v>
      </c>
      <c r="Q473">
        <v>6</v>
      </c>
      <c r="R473">
        <v>3.7</v>
      </c>
      <c r="S473">
        <v>1</v>
      </c>
      <c r="T473" t="b">
        <v>0</v>
      </c>
      <c r="U473">
        <f>IFERROR(SUM(Table1[[#This Row],[Total day minutes]],Table1[[#This Row],[Total eve minutes]],Table1[[#This Row],[Total night minutes]],Table1[[#This Row],[Total intl minutes]]),0)</f>
        <v>473.29999999999995</v>
      </c>
      <c r="V473">
        <f>SUM(Table1[[#This Row],[Total intl charge]],Table1[[#This Row],[Total night charge]],Table1[[#This Row],[Total eve charge]],Table1[[#This Row],[Total day charge]])</f>
        <v>54.94</v>
      </c>
      <c r="W473">
        <f>SUM(Table1[[#This Row],[Total intl calls]],Table1[[#This Row],[Total night calls]],Table1[[#This Row],[Total eve calls]],Table1[[#This Row],[Total day calls]])</f>
        <v>291</v>
      </c>
      <c r="X473" t="str" cm="1">
        <f t="array" ref="X473">_xlfn.IFS(Table1[[#This Row],[Customer service calls]]&gt;=4,"High risk",Table1[[#This Row],[Customer service calls]]&gt;=2,"Medium risk",TRUE,"Low risk")</f>
        <v>Low risk</v>
      </c>
      <c r="Y473" t="str" cm="1">
        <f t="array" ref="Y473">IFERROR(_xlfn.IFS(Table1[[#This Row],[Total usage(Min)]]&gt;=AVERAGE(U:U)*1.1,"High risk",Table1[[#This Row],[Total usage(Min)]]&lt;= AVERAGE(U:U)*0.9,"Low risk",TRUE,"Medium risk"),"N/A")</f>
        <v>Low risk</v>
      </c>
      <c r="Z473" t="str" cm="1">
        <f t="array" ref="Z473">IFERROR(_xlfn.IFS(Table1[[#This Row],[Total charges]]&gt;=AVERAGE(V:V)*1.1,"High risk",Table1[[#This Row],[Total charges]]&lt;=AVERAGE(V:V)*0.9,"Low risk",TRUE,"Medium risk"),"N/A")</f>
        <v>Medium risk</v>
      </c>
      <c r="AA4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3" t="str" cm="1">
        <f t="array" ref="AC473">_xlfn.IFS(
AND(Table1[[#This Row],[Customer service risk level]]="High risk", Table1[[#This Row],[Intl usage behaviour]]="Unplanned Usage"),"High Risk",
OR(Table1[[#This Row],[Customer service risk level]]="Medium risk", Table1[[#This Row],[Charges risk level]]="High risk "),"Medium Risk",
TRUE,"Low Risk"
)</f>
        <v>Low Risk</v>
      </c>
    </row>
    <row r="474" spans="1:29" x14ac:dyDescent="0.25">
      <c r="A474" t="s">
        <v>70</v>
      </c>
      <c r="B474">
        <v>129</v>
      </c>
      <c r="C474">
        <v>408</v>
      </c>
      <c r="D474" t="s">
        <v>21</v>
      </c>
      <c r="E474" t="s">
        <v>21</v>
      </c>
      <c r="F474">
        <v>0</v>
      </c>
      <c r="G474">
        <v>101.4</v>
      </c>
      <c r="H474">
        <v>145</v>
      </c>
      <c r="I474">
        <v>17.239999999999998</v>
      </c>
      <c r="J474">
        <v>249.1</v>
      </c>
      <c r="K474">
        <v>116</v>
      </c>
      <c r="L474">
        <v>21.17</v>
      </c>
      <c r="M474">
        <v>157.6</v>
      </c>
      <c r="N474">
        <v>107</v>
      </c>
      <c r="O474">
        <v>7.09</v>
      </c>
      <c r="P474">
        <v>7.1</v>
      </c>
      <c r="Q474">
        <v>6</v>
      </c>
      <c r="R474">
        <v>1.92</v>
      </c>
      <c r="S474">
        <v>1</v>
      </c>
      <c r="T474" t="b">
        <v>0</v>
      </c>
      <c r="U474">
        <f>IFERROR(SUM(Table1[[#This Row],[Total day minutes]],Table1[[#This Row],[Total eve minutes]],Table1[[#This Row],[Total night minutes]],Table1[[#This Row],[Total intl minutes]]),0)</f>
        <v>515.20000000000005</v>
      </c>
      <c r="V474">
        <f>SUM(Table1[[#This Row],[Total intl charge]],Table1[[#This Row],[Total night charge]],Table1[[#This Row],[Total eve charge]],Table1[[#This Row],[Total day charge]])</f>
        <v>47.42</v>
      </c>
      <c r="W474">
        <f>SUM(Table1[[#This Row],[Total intl calls]],Table1[[#This Row],[Total night calls]],Table1[[#This Row],[Total eve calls]],Table1[[#This Row],[Total day calls]])</f>
        <v>374</v>
      </c>
      <c r="X474" t="str" cm="1">
        <f t="array" ref="X474">_xlfn.IFS(Table1[[#This Row],[Customer service calls]]&gt;=4,"High risk",Table1[[#This Row],[Customer service calls]]&gt;=2,"Medium risk",TRUE,"Low risk")</f>
        <v>Low risk</v>
      </c>
      <c r="Y474" t="str" cm="1">
        <f t="array" ref="Y474">IFERROR(_xlfn.IFS(Table1[[#This Row],[Total usage(Min)]]&gt;=AVERAGE(U:U)*1.1,"High risk",Table1[[#This Row],[Total usage(Min)]]&lt;= AVERAGE(U:U)*0.9,"Low risk",TRUE,"Medium risk"),"N/A")</f>
        <v>Low risk</v>
      </c>
      <c r="Z474" t="str" cm="1">
        <f t="array" ref="Z474">IFERROR(_xlfn.IFS(Table1[[#This Row],[Total charges]]&gt;=AVERAGE(V:V)*1.1,"High risk",Table1[[#This Row],[Total charges]]&lt;=AVERAGE(V:V)*0.9,"Low risk",TRUE,"Medium risk"),"N/A")</f>
        <v>Low risk</v>
      </c>
      <c r="AA4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4" t="str" cm="1">
        <f t="array" ref="AC474">_xlfn.IFS(
AND(Table1[[#This Row],[Customer service risk level]]="High risk", Table1[[#This Row],[Intl usage behaviour]]="Unplanned Usage"),"High Risk",
OR(Table1[[#This Row],[Customer service risk level]]="Medium risk", Table1[[#This Row],[Charges risk level]]="High risk "),"Medium Risk",
TRUE,"Low Risk"
)</f>
        <v>Low Risk</v>
      </c>
    </row>
    <row r="475" spans="1:29" x14ac:dyDescent="0.25">
      <c r="A475" t="s">
        <v>33</v>
      </c>
      <c r="B475">
        <v>142</v>
      </c>
      <c r="C475">
        <v>415</v>
      </c>
      <c r="D475" t="s">
        <v>21</v>
      </c>
      <c r="E475" t="s">
        <v>21</v>
      </c>
      <c r="F475">
        <v>0</v>
      </c>
      <c r="G475">
        <v>232.5</v>
      </c>
      <c r="H475">
        <v>74</v>
      </c>
      <c r="I475">
        <v>39.53</v>
      </c>
      <c r="J475">
        <v>181.8</v>
      </c>
      <c r="K475">
        <v>142</v>
      </c>
      <c r="L475">
        <v>15.45</v>
      </c>
      <c r="M475">
        <v>203.1</v>
      </c>
      <c r="N475">
        <v>86</v>
      </c>
      <c r="O475">
        <v>9.14</v>
      </c>
      <c r="P475">
        <v>10.4</v>
      </c>
      <c r="Q475">
        <v>6</v>
      </c>
      <c r="R475">
        <v>2.81</v>
      </c>
      <c r="S475">
        <v>4</v>
      </c>
      <c r="T475" t="b">
        <v>0</v>
      </c>
      <c r="U475">
        <f>IFERROR(SUM(Table1[[#This Row],[Total day minutes]],Table1[[#This Row],[Total eve minutes]],Table1[[#This Row],[Total night minutes]],Table1[[#This Row],[Total intl minutes]]),0)</f>
        <v>627.79999999999995</v>
      </c>
      <c r="V475">
        <f>SUM(Table1[[#This Row],[Total intl charge]],Table1[[#This Row],[Total night charge]],Table1[[#This Row],[Total eve charge]],Table1[[#This Row],[Total day charge]])</f>
        <v>66.930000000000007</v>
      </c>
      <c r="W475">
        <f>SUM(Table1[[#This Row],[Total intl calls]],Table1[[#This Row],[Total night calls]],Table1[[#This Row],[Total eve calls]],Table1[[#This Row],[Total day calls]])</f>
        <v>308</v>
      </c>
      <c r="X475" t="str" cm="1">
        <f t="array" ref="X475">_xlfn.IFS(Table1[[#This Row],[Customer service calls]]&gt;=4,"High risk",Table1[[#This Row],[Customer service calls]]&gt;=2,"Medium risk",TRUE,"Low risk")</f>
        <v>High risk</v>
      </c>
      <c r="Y475" t="str" cm="1">
        <f t="array" ref="Y475">IFERROR(_xlfn.IFS(Table1[[#This Row],[Total usage(Min)]]&gt;=AVERAGE(U:U)*1.1,"High risk",Table1[[#This Row],[Total usage(Min)]]&lt;= AVERAGE(U:U)*0.9,"Low risk",TRUE,"Medium risk"),"N/A")</f>
        <v>Medium risk</v>
      </c>
      <c r="Z475" t="str" cm="1">
        <f t="array" ref="Z475">IFERROR(_xlfn.IFS(Table1[[#This Row],[Total charges]]&gt;=AVERAGE(V:V)*1.1,"High risk",Table1[[#This Row],[Total charges]]&lt;=AVERAGE(V:V)*0.9,"Low risk",TRUE,"Medium risk"),"N/A")</f>
        <v>High risk</v>
      </c>
      <c r="AA4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5" t="str" cm="1">
        <f t="array" ref="AC475">_xlfn.IFS(
AND(Table1[[#This Row],[Customer service risk level]]="High risk", Table1[[#This Row],[Intl usage behaviour]]="Unplanned Usage"),"High Risk",
OR(Table1[[#This Row],[Customer service risk level]]="Medium risk", Table1[[#This Row],[Charges risk level]]="High risk "),"Medium Risk",
TRUE,"Low Risk"
)</f>
        <v>High Risk</v>
      </c>
    </row>
    <row r="476" spans="1:29" x14ac:dyDescent="0.25">
      <c r="A476" t="s">
        <v>65</v>
      </c>
      <c r="B476">
        <v>130</v>
      </c>
      <c r="C476">
        <v>415</v>
      </c>
      <c r="D476" t="s">
        <v>21</v>
      </c>
      <c r="E476" t="s">
        <v>27</v>
      </c>
      <c r="F476">
        <v>45</v>
      </c>
      <c r="G476">
        <v>174.5</v>
      </c>
      <c r="H476">
        <v>120</v>
      </c>
      <c r="I476">
        <v>29.67</v>
      </c>
      <c r="J476">
        <v>217.5</v>
      </c>
      <c r="K476">
        <v>95</v>
      </c>
      <c r="L476">
        <v>18.489999999999998</v>
      </c>
      <c r="M476">
        <v>220.3</v>
      </c>
      <c r="N476">
        <v>67</v>
      </c>
      <c r="O476">
        <v>9.91</v>
      </c>
      <c r="P476">
        <v>12.2</v>
      </c>
      <c r="Q476">
        <v>2</v>
      </c>
      <c r="R476">
        <v>3.29</v>
      </c>
      <c r="S476">
        <v>1</v>
      </c>
      <c r="T476" t="b">
        <v>0</v>
      </c>
      <c r="U476">
        <f>IFERROR(SUM(Table1[[#This Row],[Total day minutes]],Table1[[#This Row],[Total eve minutes]],Table1[[#This Row],[Total night minutes]],Table1[[#This Row],[Total intl minutes]]),0)</f>
        <v>624.5</v>
      </c>
      <c r="V476">
        <f>SUM(Table1[[#This Row],[Total intl charge]],Table1[[#This Row],[Total night charge]],Table1[[#This Row],[Total eve charge]],Table1[[#This Row],[Total day charge]])</f>
        <v>61.36</v>
      </c>
      <c r="W476">
        <f>SUM(Table1[[#This Row],[Total intl calls]],Table1[[#This Row],[Total night calls]],Table1[[#This Row],[Total eve calls]],Table1[[#This Row],[Total day calls]])</f>
        <v>284</v>
      </c>
      <c r="X476" t="str" cm="1">
        <f t="array" ref="X476">_xlfn.IFS(Table1[[#This Row],[Customer service calls]]&gt;=4,"High risk",Table1[[#This Row],[Customer service calls]]&gt;=2,"Medium risk",TRUE,"Low risk")</f>
        <v>Low risk</v>
      </c>
      <c r="Y476" t="str" cm="1">
        <f t="array" ref="Y476">IFERROR(_xlfn.IFS(Table1[[#This Row],[Total usage(Min)]]&gt;=AVERAGE(U:U)*1.1,"High risk",Table1[[#This Row],[Total usage(Min)]]&lt;= AVERAGE(U:U)*0.9,"Low risk",TRUE,"Medium risk"),"N/A")</f>
        <v>Medium risk</v>
      </c>
      <c r="Z476" t="str" cm="1">
        <f t="array" ref="Z476">IFERROR(_xlfn.IFS(Table1[[#This Row],[Total charges]]&gt;=AVERAGE(V:V)*1.1,"High risk",Table1[[#This Row],[Total charges]]&lt;=AVERAGE(V:V)*0.9,"Low risk",TRUE,"Medium risk"),"N/A")</f>
        <v>Medium risk</v>
      </c>
      <c r="AA4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76" t="str" cm="1">
        <f t="array" ref="AC476">_xlfn.IFS(
AND(Table1[[#This Row],[Customer service risk level]]="High risk", Table1[[#This Row],[Intl usage behaviour]]="Unplanned Usage"),"High Risk",
OR(Table1[[#This Row],[Customer service risk level]]="Medium risk", Table1[[#This Row],[Charges risk level]]="High risk "),"Medium Risk",
TRUE,"Low Risk"
)</f>
        <v>Low Risk</v>
      </c>
    </row>
    <row r="477" spans="1:29" x14ac:dyDescent="0.25">
      <c r="A477" t="s">
        <v>41</v>
      </c>
      <c r="B477">
        <v>92</v>
      </c>
      <c r="C477">
        <v>415</v>
      </c>
      <c r="D477" t="s">
        <v>21</v>
      </c>
      <c r="E477" t="s">
        <v>21</v>
      </c>
      <c r="F477">
        <v>0</v>
      </c>
      <c r="G477">
        <v>181.4</v>
      </c>
      <c r="H477">
        <v>98</v>
      </c>
      <c r="I477">
        <v>30.84</v>
      </c>
      <c r="J477">
        <v>164.5</v>
      </c>
      <c r="K477">
        <v>98</v>
      </c>
      <c r="L477">
        <v>13.98</v>
      </c>
      <c r="M477">
        <v>171</v>
      </c>
      <c r="N477">
        <v>110</v>
      </c>
      <c r="O477">
        <v>7.69</v>
      </c>
      <c r="P477">
        <v>10.9</v>
      </c>
      <c r="Q477">
        <v>4</v>
      </c>
      <c r="R477">
        <v>2.94</v>
      </c>
      <c r="S477">
        <v>2</v>
      </c>
      <c r="T477" t="b">
        <v>0</v>
      </c>
      <c r="U477">
        <f>IFERROR(SUM(Table1[[#This Row],[Total day minutes]],Table1[[#This Row],[Total eve minutes]],Table1[[#This Row],[Total night minutes]],Table1[[#This Row],[Total intl minutes]]),0)</f>
        <v>527.79999999999995</v>
      </c>
      <c r="V477">
        <f>SUM(Table1[[#This Row],[Total intl charge]],Table1[[#This Row],[Total night charge]],Table1[[#This Row],[Total eve charge]],Table1[[#This Row],[Total day charge]])</f>
        <v>55.45</v>
      </c>
      <c r="W477">
        <f>SUM(Table1[[#This Row],[Total intl calls]],Table1[[#This Row],[Total night calls]],Table1[[#This Row],[Total eve calls]],Table1[[#This Row],[Total day calls]])</f>
        <v>310</v>
      </c>
      <c r="X477" t="str" cm="1">
        <f t="array" ref="X477">_xlfn.IFS(Table1[[#This Row],[Customer service calls]]&gt;=4,"High risk",Table1[[#This Row],[Customer service calls]]&gt;=2,"Medium risk",TRUE,"Low risk")</f>
        <v>Medium risk</v>
      </c>
      <c r="Y477" t="str" cm="1">
        <f t="array" ref="Y477">IFERROR(_xlfn.IFS(Table1[[#This Row],[Total usage(Min)]]&gt;=AVERAGE(U:U)*1.1,"High risk",Table1[[#This Row],[Total usage(Min)]]&lt;= AVERAGE(U:U)*0.9,"Low risk",TRUE,"Medium risk"),"N/A")</f>
        <v>Low risk</v>
      </c>
      <c r="Z477" t="str" cm="1">
        <f t="array" ref="Z477">IFERROR(_xlfn.IFS(Table1[[#This Row],[Total charges]]&gt;=AVERAGE(V:V)*1.1,"High risk",Table1[[#This Row],[Total charges]]&lt;=AVERAGE(V:V)*0.9,"Low risk",TRUE,"Medium risk"),"N/A")</f>
        <v>Medium risk</v>
      </c>
      <c r="AA4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77" t="str" cm="1">
        <f t="array" ref="AC477">_xlfn.IFS(
AND(Table1[[#This Row],[Customer service risk level]]="High risk", Table1[[#This Row],[Intl usage behaviour]]="Unplanned Usage"),"High Risk",
OR(Table1[[#This Row],[Customer service risk level]]="Medium risk", Table1[[#This Row],[Charges risk level]]="High risk "),"Medium Risk",
TRUE,"Low Risk"
)</f>
        <v>Medium Risk</v>
      </c>
    </row>
    <row r="478" spans="1:29" x14ac:dyDescent="0.25">
      <c r="A478" t="s">
        <v>50</v>
      </c>
      <c r="B478">
        <v>146</v>
      </c>
      <c r="C478">
        <v>415</v>
      </c>
      <c r="D478" t="s">
        <v>21</v>
      </c>
      <c r="E478" t="s">
        <v>27</v>
      </c>
      <c r="F478">
        <v>11</v>
      </c>
      <c r="G478">
        <v>180.7</v>
      </c>
      <c r="H478">
        <v>82</v>
      </c>
      <c r="I478">
        <v>30.72</v>
      </c>
      <c r="J478">
        <v>173.7</v>
      </c>
      <c r="K478">
        <v>90</v>
      </c>
      <c r="L478">
        <v>14.76</v>
      </c>
      <c r="M478">
        <v>231.5</v>
      </c>
      <c r="N478">
        <v>89</v>
      </c>
      <c r="O478">
        <v>10.42</v>
      </c>
      <c r="P478">
        <v>10.1</v>
      </c>
      <c r="Q478">
        <v>4</v>
      </c>
      <c r="R478">
        <v>2.73</v>
      </c>
      <c r="S478">
        <v>2</v>
      </c>
      <c r="T478" t="b">
        <v>0</v>
      </c>
      <c r="U478">
        <f>IFERROR(SUM(Table1[[#This Row],[Total day minutes]],Table1[[#This Row],[Total eve minutes]],Table1[[#This Row],[Total night minutes]],Table1[[#This Row],[Total intl minutes]]),0)</f>
        <v>596</v>
      </c>
      <c r="V478">
        <f>SUM(Table1[[#This Row],[Total intl charge]],Table1[[#This Row],[Total night charge]],Table1[[#This Row],[Total eve charge]],Table1[[#This Row],[Total day charge]])</f>
        <v>58.629999999999995</v>
      </c>
      <c r="W478">
        <f>SUM(Table1[[#This Row],[Total intl calls]],Table1[[#This Row],[Total night calls]],Table1[[#This Row],[Total eve calls]],Table1[[#This Row],[Total day calls]])</f>
        <v>265</v>
      </c>
      <c r="X478" t="str" cm="1">
        <f t="array" ref="X478">_xlfn.IFS(Table1[[#This Row],[Customer service calls]]&gt;=4,"High risk",Table1[[#This Row],[Customer service calls]]&gt;=2,"Medium risk",TRUE,"Low risk")</f>
        <v>Medium risk</v>
      </c>
      <c r="Y478" t="str" cm="1">
        <f t="array" ref="Y478">IFERROR(_xlfn.IFS(Table1[[#This Row],[Total usage(Min)]]&gt;=AVERAGE(U:U)*1.1,"High risk",Table1[[#This Row],[Total usage(Min)]]&lt;= AVERAGE(U:U)*0.9,"Low risk",TRUE,"Medium risk"),"N/A")</f>
        <v>Medium risk</v>
      </c>
      <c r="Z478" t="str" cm="1">
        <f t="array" ref="Z478">IFERROR(_xlfn.IFS(Table1[[#This Row],[Total charges]]&gt;=AVERAGE(V:V)*1.1,"High risk",Table1[[#This Row],[Total charges]]&lt;=AVERAGE(V:V)*0.9,"Low risk",TRUE,"Medium risk"),"N/A")</f>
        <v>Medium risk</v>
      </c>
      <c r="AA4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7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78" t="str" cm="1">
        <f t="array" ref="AC478">_xlfn.IFS(
AND(Table1[[#This Row],[Customer service risk level]]="High risk", Table1[[#This Row],[Intl usage behaviour]]="Unplanned Usage"),"High Risk",
OR(Table1[[#This Row],[Customer service risk level]]="Medium risk", Table1[[#This Row],[Charges risk level]]="High risk "),"Medium Risk",
TRUE,"Low Risk"
)</f>
        <v>Medium Risk</v>
      </c>
    </row>
    <row r="479" spans="1:29" x14ac:dyDescent="0.25">
      <c r="A479" t="s">
        <v>66</v>
      </c>
      <c r="B479">
        <v>152</v>
      </c>
      <c r="C479">
        <v>510</v>
      </c>
      <c r="D479" t="s">
        <v>27</v>
      </c>
      <c r="E479" t="s">
        <v>27</v>
      </c>
      <c r="F479">
        <v>41</v>
      </c>
      <c r="G479">
        <v>146.80000000000001</v>
      </c>
      <c r="H479">
        <v>128</v>
      </c>
      <c r="I479">
        <v>24.96</v>
      </c>
      <c r="J479">
        <v>285.60000000000002</v>
      </c>
      <c r="K479">
        <v>96</v>
      </c>
      <c r="L479">
        <v>24.28</v>
      </c>
      <c r="M479">
        <v>213.6</v>
      </c>
      <c r="N479">
        <v>80</v>
      </c>
      <c r="O479">
        <v>9.61</v>
      </c>
      <c r="P479">
        <v>4.3</v>
      </c>
      <c r="Q479">
        <v>2</v>
      </c>
      <c r="R479">
        <v>1.1599999999999999</v>
      </c>
      <c r="S479">
        <v>1</v>
      </c>
      <c r="T479" t="b">
        <v>1</v>
      </c>
      <c r="U479">
        <f>IFERROR(SUM(Table1[[#This Row],[Total day minutes]],Table1[[#This Row],[Total eve minutes]],Table1[[#This Row],[Total night minutes]],Table1[[#This Row],[Total intl minutes]]),0)</f>
        <v>650.29999999999995</v>
      </c>
      <c r="V479">
        <f>SUM(Table1[[#This Row],[Total intl charge]],Table1[[#This Row],[Total night charge]],Table1[[#This Row],[Total eve charge]],Table1[[#This Row],[Total day charge]])</f>
        <v>60.01</v>
      </c>
      <c r="W479">
        <f>SUM(Table1[[#This Row],[Total intl calls]],Table1[[#This Row],[Total night calls]],Table1[[#This Row],[Total eve calls]],Table1[[#This Row],[Total day calls]])</f>
        <v>306</v>
      </c>
      <c r="X479" t="str" cm="1">
        <f t="array" ref="X479">_xlfn.IFS(Table1[[#This Row],[Customer service calls]]&gt;=4,"High risk",Table1[[#This Row],[Customer service calls]]&gt;=2,"Medium risk",TRUE,"Low risk")</f>
        <v>Low risk</v>
      </c>
      <c r="Y479" t="str" cm="1">
        <f t="array" ref="Y479">IFERROR(_xlfn.IFS(Table1[[#This Row],[Total usage(Min)]]&gt;=AVERAGE(U:U)*1.1,"High risk",Table1[[#This Row],[Total usage(Min)]]&lt;= AVERAGE(U:U)*0.9,"Low risk",TRUE,"Medium risk"),"N/A")</f>
        <v>Medium risk</v>
      </c>
      <c r="Z479" t="str" cm="1">
        <f t="array" ref="Z479">IFERROR(_xlfn.IFS(Table1[[#This Row],[Total charges]]&gt;=AVERAGE(V:V)*1.1,"High risk",Table1[[#This Row],[Total charges]]&lt;=AVERAGE(V:V)*0.9,"Low risk",TRUE,"Medium risk"),"N/A")</f>
        <v>Medium risk</v>
      </c>
      <c r="AA4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7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79" t="str" cm="1">
        <f t="array" ref="AC479">_xlfn.IFS(
AND(Table1[[#This Row],[Customer service risk level]]="High risk", Table1[[#This Row],[Intl usage behaviour]]="Unplanned Usage"),"High Risk",
OR(Table1[[#This Row],[Customer service risk level]]="Medium risk", Table1[[#This Row],[Charges risk level]]="High risk "),"Medium Risk",
TRUE,"Low Risk"
)</f>
        <v>Low Risk</v>
      </c>
    </row>
    <row r="480" spans="1:29" x14ac:dyDescent="0.25">
      <c r="A480" t="s">
        <v>49</v>
      </c>
      <c r="B480">
        <v>189</v>
      </c>
      <c r="C480">
        <v>415</v>
      </c>
      <c r="D480" t="s">
        <v>21</v>
      </c>
      <c r="E480" t="s">
        <v>21</v>
      </c>
      <c r="F480">
        <v>0</v>
      </c>
      <c r="G480">
        <v>227.8</v>
      </c>
      <c r="H480">
        <v>124</v>
      </c>
      <c r="I480">
        <v>38.729999999999997</v>
      </c>
      <c r="J480">
        <v>169.5</v>
      </c>
      <c r="K480">
        <v>112</v>
      </c>
      <c r="L480">
        <v>14.41</v>
      </c>
      <c r="M480">
        <v>201.1</v>
      </c>
      <c r="N480">
        <v>91</v>
      </c>
      <c r="O480">
        <v>9.0500000000000007</v>
      </c>
      <c r="P480">
        <v>5.6</v>
      </c>
      <c r="Q480">
        <v>4</v>
      </c>
      <c r="R480">
        <v>1.51</v>
      </c>
      <c r="S480">
        <v>3</v>
      </c>
      <c r="T480" t="b">
        <v>0</v>
      </c>
      <c r="U480">
        <f>IFERROR(SUM(Table1[[#This Row],[Total day minutes]],Table1[[#This Row],[Total eve minutes]],Table1[[#This Row],[Total night minutes]],Table1[[#This Row],[Total intl minutes]]),0)</f>
        <v>604</v>
      </c>
      <c r="V480">
        <f>SUM(Table1[[#This Row],[Total intl charge]],Table1[[#This Row],[Total night charge]],Table1[[#This Row],[Total eve charge]],Table1[[#This Row],[Total day charge]])</f>
        <v>63.699999999999996</v>
      </c>
      <c r="W480">
        <f>SUM(Table1[[#This Row],[Total intl calls]],Table1[[#This Row],[Total night calls]],Table1[[#This Row],[Total eve calls]],Table1[[#This Row],[Total day calls]])</f>
        <v>331</v>
      </c>
      <c r="X480" t="str" cm="1">
        <f t="array" ref="X480">_xlfn.IFS(Table1[[#This Row],[Customer service calls]]&gt;=4,"High risk",Table1[[#This Row],[Customer service calls]]&gt;=2,"Medium risk",TRUE,"Low risk")</f>
        <v>Medium risk</v>
      </c>
      <c r="Y480" t="str" cm="1">
        <f t="array" ref="Y480">IFERROR(_xlfn.IFS(Table1[[#This Row],[Total usage(Min)]]&gt;=AVERAGE(U:U)*1.1,"High risk",Table1[[#This Row],[Total usage(Min)]]&lt;= AVERAGE(U:U)*0.9,"Low risk",TRUE,"Medium risk"),"N/A")</f>
        <v>Medium risk</v>
      </c>
      <c r="Z480" t="str" cm="1">
        <f t="array" ref="Z480">IFERROR(_xlfn.IFS(Table1[[#This Row],[Total charges]]&gt;=AVERAGE(V:V)*1.1,"High risk",Table1[[#This Row],[Total charges]]&lt;=AVERAGE(V:V)*0.9,"Low risk",TRUE,"Medium risk"),"N/A")</f>
        <v>Medium risk</v>
      </c>
      <c r="AA4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0" t="str" cm="1">
        <f t="array" ref="AC480">_xlfn.IFS(
AND(Table1[[#This Row],[Customer service risk level]]="High risk", Table1[[#This Row],[Intl usage behaviour]]="Unplanned Usage"),"High Risk",
OR(Table1[[#This Row],[Customer service risk level]]="Medium risk", Table1[[#This Row],[Charges risk level]]="High risk "),"Medium Risk",
TRUE,"Low Risk"
)</f>
        <v>Medium Risk</v>
      </c>
    </row>
    <row r="481" spans="1:29" x14ac:dyDescent="0.25">
      <c r="A481" t="s">
        <v>42</v>
      </c>
      <c r="B481">
        <v>95</v>
      </c>
      <c r="C481">
        <v>415</v>
      </c>
      <c r="D481" t="s">
        <v>21</v>
      </c>
      <c r="E481" t="s">
        <v>27</v>
      </c>
      <c r="F481">
        <v>23</v>
      </c>
      <c r="G481">
        <v>160.30000000000001</v>
      </c>
      <c r="H481">
        <v>87</v>
      </c>
      <c r="I481">
        <v>27.25</v>
      </c>
      <c r="J481">
        <v>202.4</v>
      </c>
      <c r="K481">
        <v>101</v>
      </c>
      <c r="L481">
        <v>17.2</v>
      </c>
      <c r="M481">
        <v>191.1</v>
      </c>
      <c r="N481">
        <v>122</v>
      </c>
      <c r="O481">
        <v>8.6</v>
      </c>
      <c r="P481">
        <v>7.4</v>
      </c>
      <c r="Q481">
        <v>3</v>
      </c>
      <c r="R481">
        <v>2</v>
      </c>
      <c r="S481">
        <v>0</v>
      </c>
      <c r="T481" t="b">
        <v>0</v>
      </c>
      <c r="U481">
        <f>IFERROR(SUM(Table1[[#This Row],[Total day minutes]],Table1[[#This Row],[Total eve minutes]],Table1[[#This Row],[Total night minutes]],Table1[[#This Row],[Total intl minutes]]),0)</f>
        <v>561.20000000000005</v>
      </c>
      <c r="V481">
        <f>SUM(Table1[[#This Row],[Total intl charge]],Table1[[#This Row],[Total night charge]],Table1[[#This Row],[Total eve charge]],Table1[[#This Row],[Total day charge]])</f>
        <v>55.05</v>
      </c>
      <c r="W481">
        <f>SUM(Table1[[#This Row],[Total intl calls]],Table1[[#This Row],[Total night calls]],Table1[[#This Row],[Total eve calls]],Table1[[#This Row],[Total day calls]])</f>
        <v>313</v>
      </c>
      <c r="X481" t="str" cm="1">
        <f t="array" ref="X481">_xlfn.IFS(Table1[[#This Row],[Customer service calls]]&gt;=4,"High risk",Table1[[#This Row],[Customer service calls]]&gt;=2,"Medium risk",TRUE,"Low risk")</f>
        <v>Low risk</v>
      </c>
      <c r="Y481" t="str" cm="1">
        <f t="array" ref="Y481">IFERROR(_xlfn.IFS(Table1[[#This Row],[Total usage(Min)]]&gt;=AVERAGE(U:U)*1.1,"High risk",Table1[[#This Row],[Total usage(Min)]]&lt;= AVERAGE(U:U)*0.9,"Low risk",TRUE,"Medium risk"),"N/A")</f>
        <v>Medium risk</v>
      </c>
      <c r="Z481" t="str" cm="1">
        <f t="array" ref="Z481">IFERROR(_xlfn.IFS(Table1[[#This Row],[Total charges]]&gt;=AVERAGE(V:V)*1.1,"High risk",Table1[[#This Row],[Total charges]]&lt;=AVERAGE(V:V)*0.9,"Low risk",TRUE,"Medium risk"),"N/A")</f>
        <v>Medium risk</v>
      </c>
      <c r="AA4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81" t="str" cm="1">
        <f t="array" ref="AC481">_xlfn.IFS(
AND(Table1[[#This Row],[Customer service risk level]]="High risk", Table1[[#This Row],[Intl usage behaviour]]="Unplanned Usage"),"High Risk",
OR(Table1[[#This Row],[Customer service risk level]]="Medium risk", Table1[[#This Row],[Charges risk level]]="High risk "),"Medium Risk",
TRUE,"Low Risk"
)</f>
        <v>Low Risk</v>
      </c>
    </row>
    <row r="482" spans="1:29" x14ac:dyDescent="0.25">
      <c r="A482" t="s">
        <v>26</v>
      </c>
      <c r="B482">
        <v>1</v>
      </c>
      <c r="C482">
        <v>408</v>
      </c>
      <c r="D482" t="s">
        <v>21</v>
      </c>
      <c r="E482" t="s">
        <v>21</v>
      </c>
      <c r="F482">
        <v>0</v>
      </c>
      <c r="G482">
        <v>175.2</v>
      </c>
      <c r="H482">
        <v>74</v>
      </c>
      <c r="I482">
        <v>29.78</v>
      </c>
      <c r="J482">
        <v>151.69999999999999</v>
      </c>
      <c r="K482">
        <v>79</v>
      </c>
      <c r="L482">
        <v>12.89</v>
      </c>
      <c r="M482">
        <v>230.5</v>
      </c>
      <c r="N482">
        <v>109</v>
      </c>
      <c r="O482">
        <v>10.37</v>
      </c>
      <c r="P482">
        <v>5.3</v>
      </c>
      <c r="Q482">
        <v>3</v>
      </c>
      <c r="R482">
        <v>1.43</v>
      </c>
      <c r="S482">
        <v>1</v>
      </c>
      <c r="T482" t="b">
        <v>0</v>
      </c>
      <c r="U482">
        <f>IFERROR(SUM(Table1[[#This Row],[Total day minutes]],Table1[[#This Row],[Total eve minutes]],Table1[[#This Row],[Total night minutes]],Table1[[#This Row],[Total intl minutes]]),0)</f>
        <v>562.69999999999993</v>
      </c>
      <c r="V482">
        <f>SUM(Table1[[#This Row],[Total intl charge]],Table1[[#This Row],[Total night charge]],Table1[[#This Row],[Total eve charge]],Table1[[#This Row],[Total day charge]])</f>
        <v>54.47</v>
      </c>
      <c r="W482">
        <f>SUM(Table1[[#This Row],[Total intl calls]],Table1[[#This Row],[Total night calls]],Table1[[#This Row],[Total eve calls]],Table1[[#This Row],[Total day calls]])</f>
        <v>265</v>
      </c>
      <c r="X482" t="str" cm="1">
        <f t="array" ref="X482">_xlfn.IFS(Table1[[#This Row],[Customer service calls]]&gt;=4,"High risk",Table1[[#This Row],[Customer service calls]]&gt;=2,"Medium risk",TRUE,"Low risk")</f>
        <v>Low risk</v>
      </c>
      <c r="Y482" t="str" cm="1">
        <f t="array" ref="Y482">IFERROR(_xlfn.IFS(Table1[[#This Row],[Total usage(Min)]]&gt;=AVERAGE(U:U)*1.1,"High risk",Table1[[#This Row],[Total usage(Min)]]&lt;= AVERAGE(U:U)*0.9,"Low risk",TRUE,"Medium risk"),"N/A")</f>
        <v>Medium risk</v>
      </c>
      <c r="Z482" t="str" cm="1">
        <f t="array" ref="Z482">IFERROR(_xlfn.IFS(Table1[[#This Row],[Total charges]]&gt;=AVERAGE(V:V)*1.1,"High risk",Table1[[#This Row],[Total charges]]&lt;=AVERAGE(V:V)*0.9,"Low risk",TRUE,"Medium risk"),"N/A")</f>
        <v>Medium risk</v>
      </c>
      <c r="AA4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2" t="str" cm="1">
        <f t="array" ref="AC482">_xlfn.IFS(
AND(Table1[[#This Row],[Customer service risk level]]="High risk", Table1[[#This Row],[Intl usage behaviour]]="Unplanned Usage"),"High Risk",
OR(Table1[[#This Row],[Customer service risk level]]="Medium risk", Table1[[#This Row],[Charges risk level]]="High risk "),"Medium Risk",
TRUE,"Low Risk"
)</f>
        <v>Low Risk</v>
      </c>
    </row>
    <row r="483" spans="1:29" x14ac:dyDescent="0.25">
      <c r="A483" t="s">
        <v>22</v>
      </c>
      <c r="B483">
        <v>141</v>
      </c>
      <c r="C483">
        <v>415</v>
      </c>
      <c r="D483" t="s">
        <v>21</v>
      </c>
      <c r="E483" t="s">
        <v>27</v>
      </c>
      <c r="F483">
        <v>39</v>
      </c>
      <c r="G483">
        <v>116.9</v>
      </c>
      <c r="H483">
        <v>127</v>
      </c>
      <c r="I483">
        <v>19.87</v>
      </c>
      <c r="J483">
        <v>276.5</v>
      </c>
      <c r="K483">
        <v>88</v>
      </c>
      <c r="L483">
        <v>23.5</v>
      </c>
      <c r="M483">
        <v>289.89999999999998</v>
      </c>
      <c r="N483">
        <v>125</v>
      </c>
      <c r="O483">
        <v>13.05</v>
      </c>
      <c r="P483">
        <v>12.3</v>
      </c>
      <c r="Q483">
        <v>2</v>
      </c>
      <c r="R483">
        <v>3.32</v>
      </c>
      <c r="S483">
        <v>0</v>
      </c>
      <c r="T483" t="b">
        <v>0</v>
      </c>
      <c r="U483">
        <f>IFERROR(SUM(Table1[[#This Row],[Total day minutes]],Table1[[#This Row],[Total eve minutes]],Table1[[#This Row],[Total night minutes]],Table1[[#This Row],[Total intl minutes]]),0)</f>
        <v>695.59999999999991</v>
      </c>
      <c r="V483">
        <f>SUM(Table1[[#This Row],[Total intl charge]],Table1[[#This Row],[Total night charge]],Table1[[#This Row],[Total eve charge]],Table1[[#This Row],[Total day charge]])</f>
        <v>59.740000000000009</v>
      </c>
      <c r="W483">
        <f>SUM(Table1[[#This Row],[Total intl calls]],Table1[[#This Row],[Total night calls]],Table1[[#This Row],[Total eve calls]],Table1[[#This Row],[Total day calls]])</f>
        <v>342</v>
      </c>
      <c r="X483" t="str" cm="1">
        <f t="array" ref="X483">_xlfn.IFS(Table1[[#This Row],[Customer service calls]]&gt;=4,"High risk",Table1[[#This Row],[Customer service calls]]&gt;=2,"Medium risk",TRUE,"Low risk")</f>
        <v>Low risk</v>
      </c>
      <c r="Y483" t="str" cm="1">
        <f t="array" ref="Y483">IFERROR(_xlfn.IFS(Table1[[#This Row],[Total usage(Min)]]&gt;=AVERAGE(U:U)*1.1,"High risk",Table1[[#This Row],[Total usage(Min)]]&lt;= AVERAGE(U:U)*0.9,"Low risk",TRUE,"Medium risk"),"N/A")</f>
        <v>High risk</v>
      </c>
      <c r="Z483" t="str" cm="1">
        <f t="array" ref="Z483">IFERROR(_xlfn.IFS(Table1[[#This Row],[Total charges]]&gt;=AVERAGE(V:V)*1.1,"High risk",Table1[[#This Row],[Total charges]]&lt;=AVERAGE(V:V)*0.9,"Low risk",TRUE,"Medium risk"),"N/A")</f>
        <v>Medium risk</v>
      </c>
      <c r="AA4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83" t="str" cm="1">
        <f t="array" ref="AC483">_xlfn.IFS(
AND(Table1[[#This Row],[Customer service risk level]]="High risk", Table1[[#This Row],[Intl usage behaviour]]="Unplanned Usage"),"High Risk",
OR(Table1[[#This Row],[Customer service risk level]]="Medium risk", Table1[[#This Row],[Charges risk level]]="High risk "),"Medium Risk",
TRUE,"Low Risk"
)</f>
        <v>Low Risk</v>
      </c>
    </row>
    <row r="484" spans="1:29" x14ac:dyDescent="0.25">
      <c r="A484" t="s">
        <v>40</v>
      </c>
      <c r="B484">
        <v>111</v>
      </c>
      <c r="C484">
        <v>510</v>
      </c>
      <c r="D484" t="s">
        <v>21</v>
      </c>
      <c r="E484" t="s">
        <v>21</v>
      </c>
      <c r="F484">
        <v>0</v>
      </c>
      <c r="G484">
        <v>152.19999999999999</v>
      </c>
      <c r="H484">
        <v>114</v>
      </c>
      <c r="I484">
        <v>25.87</v>
      </c>
      <c r="J484">
        <v>137.19999999999999</v>
      </c>
      <c r="K484">
        <v>102</v>
      </c>
      <c r="L484">
        <v>11.66</v>
      </c>
      <c r="M484">
        <v>185.9</v>
      </c>
      <c r="N484">
        <v>97</v>
      </c>
      <c r="O484">
        <v>8.3699999999999992</v>
      </c>
      <c r="P484">
        <v>9.8000000000000007</v>
      </c>
      <c r="Q484">
        <v>3</v>
      </c>
      <c r="R484">
        <v>2.65</v>
      </c>
      <c r="S484">
        <v>0</v>
      </c>
      <c r="T484" t="b">
        <v>0</v>
      </c>
      <c r="U484">
        <f>IFERROR(SUM(Table1[[#This Row],[Total day minutes]],Table1[[#This Row],[Total eve minutes]],Table1[[#This Row],[Total night minutes]],Table1[[#This Row],[Total intl minutes]]),0)</f>
        <v>485.09999999999997</v>
      </c>
      <c r="V484">
        <f>SUM(Table1[[#This Row],[Total intl charge]],Table1[[#This Row],[Total night charge]],Table1[[#This Row],[Total eve charge]],Table1[[#This Row],[Total day charge]])</f>
        <v>48.55</v>
      </c>
      <c r="W484">
        <f>SUM(Table1[[#This Row],[Total intl calls]],Table1[[#This Row],[Total night calls]],Table1[[#This Row],[Total eve calls]],Table1[[#This Row],[Total day calls]])</f>
        <v>316</v>
      </c>
      <c r="X484" t="str" cm="1">
        <f t="array" ref="X484">_xlfn.IFS(Table1[[#This Row],[Customer service calls]]&gt;=4,"High risk",Table1[[#This Row],[Customer service calls]]&gt;=2,"Medium risk",TRUE,"Low risk")</f>
        <v>Low risk</v>
      </c>
      <c r="Y484" t="str" cm="1">
        <f t="array" ref="Y484">IFERROR(_xlfn.IFS(Table1[[#This Row],[Total usage(Min)]]&gt;=AVERAGE(U:U)*1.1,"High risk",Table1[[#This Row],[Total usage(Min)]]&lt;= AVERAGE(U:U)*0.9,"Low risk",TRUE,"Medium risk"),"N/A")</f>
        <v>Low risk</v>
      </c>
      <c r="Z484" t="str" cm="1">
        <f t="array" ref="Z484">IFERROR(_xlfn.IFS(Table1[[#This Row],[Total charges]]&gt;=AVERAGE(V:V)*1.1,"High risk",Table1[[#This Row],[Total charges]]&lt;=AVERAGE(V:V)*0.9,"Low risk",TRUE,"Medium risk"),"N/A")</f>
        <v>Low risk</v>
      </c>
      <c r="AA4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4" t="str" cm="1">
        <f t="array" ref="AC484">_xlfn.IFS(
AND(Table1[[#This Row],[Customer service risk level]]="High risk", Table1[[#This Row],[Intl usage behaviour]]="Unplanned Usage"),"High Risk",
OR(Table1[[#This Row],[Customer service risk level]]="Medium risk", Table1[[#This Row],[Charges risk level]]="High risk "),"Medium Risk",
TRUE,"Low Risk"
)</f>
        <v>Low Risk</v>
      </c>
    </row>
    <row r="485" spans="1:29" x14ac:dyDescent="0.25">
      <c r="A485" t="s">
        <v>57</v>
      </c>
      <c r="B485">
        <v>143</v>
      </c>
      <c r="C485">
        <v>408</v>
      </c>
      <c r="D485" t="s">
        <v>21</v>
      </c>
      <c r="E485" t="s">
        <v>21</v>
      </c>
      <c r="F485">
        <v>0</v>
      </c>
      <c r="G485">
        <v>167.8</v>
      </c>
      <c r="H485">
        <v>72</v>
      </c>
      <c r="I485">
        <v>28.53</v>
      </c>
      <c r="J485">
        <v>211</v>
      </c>
      <c r="K485">
        <v>99</v>
      </c>
      <c r="L485">
        <v>17.940000000000001</v>
      </c>
      <c r="M485">
        <v>153.5</v>
      </c>
      <c r="N485">
        <v>109</v>
      </c>
      <c r="O485">
        <v>6.91</v>
      </c>
      <c r="P485">
        <v>10.5</v>
      </c>
      <c r="Q485">
        <v>6</v>
      </c>
      <c r="R485">
        <v>2.84</v>
      </c>
      <c r="S485">
        <v>4</v>
      </c>
      <c r="T485" t="b">
        <v>1</v>
      </c>
      <c r="U485">
        <f>IFERROR(SUM(Table1[[#This Row],[Total day minutes]],Table1[[#This Row],[Total eve minutes]],Table1[[#This Row],[Total night minutes]],Table1[[#This Row],[Total intl minutes]]),0)</f>
        <v>542.79999999999995</v>
      </c>
      <c r="V485">
        <f>SUM(Table1[[#This Row],[Total intl charge]],Table1[[#This Row],[Total night charge]],Table1[[#This Row],[Total eve charge]],Table1[[#This Row],[Total day charge]])</f>
        <v>56.22</v>
      </c>
      <c r="W485">
        <f>SUM(Table1[[#This Row],[Total intl calls]],Table1[[#This Row],[Total night calls]],Table1[[#This Row],[Total eve calls]],Table1[[#This Row],[Total day calls]])</f>
        <v>286</v>
      </c>
      <c r="X485" t="str" cm="1">
        <f t="array" ref="X485">_xlfn.IFS(Table1[[#This Row],[Customer service calls]]&gt;=4,"High risk",Table1[[#This Row],[Customer service calls]]&gt;=2,"Medium risk",TRUE,"Low risk")</f>
        <v>High risk</v>
      </c>
      <c r="Y485" t="str" cm="1">
        <f t="array" ref="Y485">IFERROR(_xlfn.IFS(Table1[[#This Row],[Total usage(Min)]]&gt;=AVERAGE(U:U)*1.1,"High risk",Table1[[#This Row],[Total usage(Min)]]&lt;= AVERAGE(U:U)*0.9,"Low risk",TRUE,"Medium risk"),"N/A")</f>
        <v>Medium risk</v>
      </c>
      <c r="Z485" t="str" cm="1">
        <f t="array" ref="Z485">IFERROR(_xlfn.IFS(Table1[[#This Row],[Total charges]]&gt;=AVERAGE(V:V)*1.1,"High risk",Table1[[#This Row],[Total charges]]&lt;=AVERAGE(V:V)*0.9,"Low risk",TRUE,"Medium risk"),"N/A")</f>
        <v>Medium risk</v>
      </c>
      <c r="AA4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5" t="str" cm="1">
        <f t="array" ref="AC485">_xlfn.IFS(
AND(Table1[[#This Row],[Customer service risk level]]="High risk", Table1[[#This Row],[Intl usage behaviour]]="Unplanned Usage"),"High Risk",
OR(Table1[[#This Row],[Customer service risk level]]="Medium risk", Table1[[#This Row],[Charges risk level]]="High risk "),"Medium Risk",
TRUE,"Low Risk"
)</f>
        <v>High Risk</v>
      </c>
    </row>
    <row r="486" spans="1:29" x14ac:dyDescent="0.25">
      <c r="A486" t="s">
        <v>44</v>
      </c>
      <c r="B486">
        <v>148</v>
      </c>
      <c r="C486">
        <v>415</v>
      </c>
      <c r="D486" t="s">
        <v>21</v>
      </c>
      <c r="E486" t="s">
        <v>27</v>
      </c>
      <c r="F486">
        <v>21</v>
      </c>
      <c r="G486">
        <v>262.89999999999998</v>
      </c>
      <c r="H486">
        <v>135</v>
      </c>
      <c r="I486">
        <v>44.69</v>
      </c>
      <c r="J486">
        <v>149.5</v>
      </c>
      <c r="K486">
        <v>96</v>
      </c>
      <c r="L486">
        <v>12.71</v>
      </c>
      <c r="M486">
        <v>140.5</v>
      </c>
      <c r="N486">
        <v>109</v>
      </c>
      <c r="O486">
        <v>6.32</v>
      </c>
      <c r="P486">
        <v>8.1</v>
      </c>
      <c r="Q486">
        <v>4</v>
      </c>
      <c r="R486">
        <v>2.19</v>
      </c>
      <c r="S486">
        <v>1</v>
      </c>
      <c r="T486" t="b">
        <v>0</v>
      </c>
      <c r="U486">
        <f>IFERROR(SUM(Table1[[#This Row],[Total day minutes]],Table1[[#This Row],[Total eve minutes]],Table1[[#This Row],[Total night minutes]],Table1[[#This Row],[Total intl minutes]]),0)</f>
        <v>561</v>
      </c>
      <c r="V486">
        <f>SUM(Table1[[#This Row],[Total intl charge]],Table1[[#This Row],[Total night charge]],Table1[[#This Row],[Total eve charge]],Table1[[#This Row],[Total day charge]])</f>
        <v>65.91</v>
      </c>
      <c r="W486">
        <f>SUM(Table1[[#This Row],[Total intl calls]],Table1[[#This Row],[Total night calls]],Table1[[#This Row],[Total eve calls]],Table1[[#This Row],[Total day calls]])</f>
        <v>344</v>
      </c>
      <c r="X486" t="str" cm="1">
        <f t="array" ref="X486">_xlfn.IFS(Table1[[#This Row],[Customer service calls]]&gt;=4,"High risk",Table1[[#This Row],[Customer service calls]]&gt;=2,"Medium risk",TRUE,"Low risk")</f>
        <v>Low risk</v>
      </c>
      <c r="Y486" t="str" cm="1">
        <f t="array" ref="Y486">IFERROR(_xlfn.IFS(Table1[[#This Row],[Total usage(Min)]]&gt;=AVERAGE(U:U)*1.1,"High risk",Table1[[#This Row],[Total usage(Min)]]&lt;= AVERAGE(U:U)*0.9,"Low risk",TRUE,"Medium risk"),"N/A")</f>
        <v>Medium risk</v>
      </c>
      <c r="Z486" t="str" cm="1">
        <f t="array" ref="Z486">IFERROR(_xlfn.IFS(Table1[[#This Row],[Total charges]]&gt;=AVERAGE(V:V)*1.1,"High risk",Table1[[#This Row],[Total charges]]&lt;=AVERAGE(V:V)*0.9,"Low risk",TRUE,"Medium risk"),"N/A")</f>
        <v>High risk</v>
      </c>
      <c r="AA4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86" t="str" cm="1">
        <f t="array" ref="AC486">_xlfn.IFS(
AND(Table1[[#This Row],[Customer service risk level]]="High risk", Table1[[#This Row],[Intl usage behaviour]]="Unplanned Usage"),"High Risk",
OR(Table1[[#This Row],[Customer service risk level]]="Medium risk", Table1[[#This Row],[Charges risk level]]="High risk "),"Medium Risk",
TRUE,"Low Risk"
)</f>
        <v>Low Risk</v>
      </c>
    </row>
    <row r="487" spans="1:29" x14ac:dyDescent="0.25">
      <c r="A487" t="s">
        <v>34</v>
      </c>
      <c r="B487">
        <v>143</v>
      </c>
      <c r="C487">
        <v>408</v>
      </c>
      <c r="D487" t="s">
        <v>21</v>
      </c>
      <c r="E487" t="s">
        <v>27</v>
      </c>
      <c r="F487">
        <v>22</v>
      </c>
      <c r="G487">
        <v>141.80000000000001</v>
      </c>
      <c r="H487">
        <v>116</v>
      </c>
      <c r="I487">
        <v>24.11</v>
      </c>
      <c r="J487">
        <v>167.3</v>
      </c>
      <c r="K487">
        <v>99</v>
      </c>
      <c r="L487">
        <v>14.22</v>
      </c>
      <c r="M487">
        <v>178.1</v>
      </c>
      <c r="N487">
        <v>130</v>
      </c>
      <c r="O487">
        <v>8.01</v>
      </c>
      <c r="P487">
        <v>7.8</v>
      </c>
      <c r="Q487">
        <v>3</v>
      </c>
      <c r="R487">
        <v>2.11</v>
      </c>
      <c r="S487">
        <v>1</v>
      </c>
      <c r="T487" t="b">
        <v>0</v>
      </c>
      <c r="U487">
        <f>IFERROR(SUM(Table1[[#This Row],[Total day minutes]],Table1[[#This Row],[Total eve minutes]],Table1[[#This Row],[Total night minutes]],Table1[[#This Row],[Total intl minutes]]),0)</f>
        <v>495.00000000000006</v>
      </c>
      <c r="V487">
        <f>SUM(Table1[[#This Row],[Total intl charge]],Table1[[#This Row],[Total night charge]],Table1[[#This Row],[Total eve charge]],Table1[[#This Row],[Total day charge]])</f>
        <v>48.45</v>
      </c>
      <c r="W487">
        <f>SUM(Table1[[#This Row],[Total intl calls]],Table1[[#This Row],[Total night calls]],Table1[[#This Row],[Total eve calls]],Table1[[#This Row],[Total day calls]])</f>
        <v>348</v>
      </c>
      <c r="X487" t="str" cm="1">
        <f t="array" ref="X487">_xlfn.IFS(Table1[[#This Row],[Customer service calls]]&gt;=4,"High risk",Table1[[#This Row],[Customer service calls]]&gt;=2,"Medium risk",TRUE,"Low risk")</f>
        <v>Low risk</v>
      </c>
      <c r="Y487" t="str" cm="1">
        <f t="array" ref="Y487">IFERROR(_xlfn.IFS(Table1[[#This Row],[Total usage(Min)]]&gt;=AVERAGE(U:U)*1.1,"High risk",Table1[[#This Row],[Total usage(Min)]]&lt;= AVERAGE(U:U)*0.9,"Low risk",TRUE,"Medium risk"),"N/A")</f>
        <v>Low risk</v>
      </c>
      <c r="Z487" t="str" cm="1">
        <f t="array" ref="Z487">IFERROR(_xlfn.IFS(Table1[[#This Row],[Total charges]]&gt;=AVERAGE(V:V)*1.1,"High risk",Table1[[#This Row],[Total charges]]&lt;=AVERAGE(V:V)*0.9,"Low risk",TRUE,"Medium risk"),"N/A")</f>
        <v>Low risk</v>
      </c>
      <c r="AA4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87" t="str" cm="1">
        <f t="array" ref="AC487">_xlfn.IFS(
AND(Table1[[#This Row],[Customer service risk level]]="High risk", Table1[[#This Row],[Intl usage behaviour]]="Unplanned Usage"),"High Risk",
OR(Table1[[#This Row],[Customer service risk level]]="Medium risk", Table1[[#This Row],[Charges risk level]]="High risk "),"Medium Risk",
TRUE,"Low Risk"
)</f>
        <v>Low Risk</v>
      </c>
    </row>
    <row r="488" spans="1:29" x14ac:dyDescent="0.25">
      <c r="A488" t="s">
        <v>46</v>
      </c>
      <c r="B488">
        <v>90</v>
      </c>
      <c r="C488">
        <v>415</v>
      </c>
      <c r="D488" t="s">
        <v>21</v>
      </c>
      <c r="E488" t="s">
        <v>21</v>
      </c>
      <c r="F488">
        <v>0</v>
      </c>
      <c r="G488">
        <v>167.5</v>
      </c>
      <c r="H488">
        <v>96</v>
      </c>
      <c r="I488">
        <v>28.48</v>
      </c>
      <c r="J488">
        <v>139.1</v>
      </c>
      <c r="K488">
        <v>104</v>
      </c>
      <c r="L488">
        <v>11.82</v>
      </c>
      <c r="M488">
        <v>138.4</v>
      </c>
      <c r="N488">
        <v>87</v>
      </c>
      <c r="O488">
        <v>6.23</v>
      </c>
      <c r="P488">
        <v>13</v>
      </c>
      <c r="Q488">
        <v>1</v>
      </c>
      <c r="R488">
        <v>3.51</v>
      </c>
      <c r="S488">
        <v>1</v>
      </c>
      <c r="T488" t="b">
        <v>0</v>
      </c>
      <c r="U488">
        <f>IFERROR(SUM(Table1[[#This Row],[Total day minutes]],Table1[[#This Row],[Total eve minutes]],Table1[[#This Row],[Total night minutes]],Table1[[#This Row],[Total intl minutes]]),0)</f>
        <v>458</v>
      </c>
      <c r="V488">
        <f>SUM(Table1[[#This Row],[Total intl charge]],Table1[[#This Row],[Total night charge]],Table1[[#This Row],[Total eve charge]],Table1[[#This Row],[Total day charge]])</f>
        <v>50.040000000000006</v>
      </c>
      <c r="W488">
        <f>SUM(Table1[[#This Row],[Total intl calls]],Table1[[#This Row],[Total night calls]],Table1[[#This Row],[Total eve calls]],Table1[[#This Row],[Total day calls]])</f>
        <v>288</v>
      </c>
      <c r="X488" t="str" cm="1">
        <f t="array" ref="X488">_xlfn.IFS(Table1[[#This Row],[Customer service calls]]&gt;=4,"High risk",Table1[[#This Row],[Customer service calls]]&gt;=2,"Medium risk",TRUE,"Low risk")</f>
        <v>Low risk</v>
      </c>
      <c r="Y488" t="str" cm="1">
        <f t="array" ref="Y488">IFERROR(_xlfn.IFS(Table1[[#This Row],[Total usage(Min)]]&gt;=AVERAGE(U:U)*1.1,"High risk",Table1[[#This Row],[Total usage(Min)]]&lt;= AVERAGE(U:U)*0.9,"Low risk",TRUE,"Medium risk"),"N/A")</f>
        <v>Low risk</v>
      </c>
      <c r="Z488" t="str" cm="1">
        <f t="array" ref="Z488">IFERROR(_xlfn.IFS(Table1[[#This Row],[Total charges]]&gt;=AVERAGE(V:V)*1.1,"High risk",Table1[[#This Row],[Total charges]]&lt;=AVERAGE(V:V)*0.9,"Low risk",TRUE,"Medium risk"),"N/A")</f>
        <v>Low risk</v>
      </c>
      <c r="AA4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8" t="str" cm="1">
        <f t="array" ref="AC488">_xlfn.IFS(
AND(Table1[[#This Row],[Customer service risk level]]="High risk", Table1[[#This Row],[Intl usage behaviour]]="Unplanned Usage"),"High Risk",
OR(Table1[[#This Row],[Customer service risk level]]="Medium risk", Table1[[#This Row],[Charges risk level]]="High risk "),"Medium Risk",
TRUE,"Low Risk"
)</f>
        <v>Low Risk</v>
      </c>
    </row>
    <row r="489" spans="1:29" x14ac:dyDescent="0.25">
      <c r="A489" t="s">
        <v>42</v>
      </c>
      <c r="B489">
        <v>169</v>
      </c>
      <c r="C489">
        <v>408</v>
      </c>
      <c r="D489" t="s">
        <v>21</v>
      </c>
      <c r="E489" t="s">
        <v>21</v>
      </c>
      <c r="F489">
        <v>0</v>
      </c>
      <c r="G489">
        <v>147.19999999999999</v>
      </c>
      <c r="H489">
        <v>115</v>
      </c>
      <c r="I489">
        <v>25.02</v>
      </c>
      <c r="J489">
        <v>161.9</v>
      </c>
      <c r="K489">
        <v>123</v>
      </c>
      <c r="L489">
        <v>13.76</v>
      </c>
      <c r="M489">
        <v>142.1</v>
      </c>
      <c r="N489">
        <v>103</v>
      </c>
      <c r="O489">
        <v>6.39</v>
      </c>
      <c r="P489">
        <v>7.2</v>
      </c>
      <c r="Q489">
        <v>6</v>
      </c>
      <c r="R489">
        <v>1.94</v>
      </c>
      <c r="S489">
        <v>3</v>
      </c>
      <c r="T489" t="b">
        <v>0</v>
      </c>
      <c r="U489">
        <f>IFERROR(SUM(Table1[[#This Row],[Total day minutes]],Table1[[#This Row],[Total eve minutes]],Table1[[#This Row],[Total night minutes]],Table1[[#This Row],[Total intl minutes]]),0)</f>
        <v>458.40000000000003</v>
      </c>
      <c r="V489">
        <f>SUM(Table1[[#This Row],[Total intl charge]],Table1[[#This Row],[Total night charge]],Table1[[#This Row],[Total eve charge]],Table1[[#This Row],[Total day charge]])</f>
        <v>47.11</v>
      </c>
      <c r="W489">
        <f>SUM(Table1[[#This Row],[Total intl calls]],Table1[[#This Row],[Total night calls]],Table1[[#This Row],[Total eve calls]],Table1[[#This Row],[Total day calls]])</f>
        <v>347</v>
      </c>
      <c r="X489" t="str" cm="1">
        <f t="array" ref="X489">_xlfn.IFS(Table1[[#This Row],[Customer service calls]]&gt;=4,"High risk",Table1[[#This Row],[Customer service calls]]&gt;=2,"Medium risk",TRUE,"Low risk")</f>
        <v>Medium risk</v>
      </c>
      <c r="Y489" t="str" cm="1">
        <f t="array" ref="Y489">IFERROR(_xlfn.IFS(Table1[[#This Row],[Total usage(Min)]]&gt;=AVERAGE(U:U)*1.1,"High risk",Table1[[#This Row],[Total usage(Min)]]&lt;= AVERAGE(U:U)*0.9,"Low risk",TRUE,"Medium risk"),"N/A")</f>
        <v>Low risk</v>
      </c>
      <c r="Z489" t="str" cm="1">
        <f t="array" ref="Z489">IFERROR(_xlfn.IFS(Table1[[#This Row],[Total charges]]&gt;=AVERAGE(V:V)*1.1,"High risk",Table1[[#This Row],[Total charges]]&lt;=AVERAGE(V:V)*0.9,"Low risk",TRUE,"Medium risk"),"N/A")</f>
        <v>Low risk</v>
      </c>
      <c r="AA4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8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89" t="str" cm="1">
        <f t="array" ref="AC489">_xlfn.IFS(
AND(Table1[[#This Row],[Customer service risk level]]="High risk", Table1[[#This Row],[Intl usage behaviour]]="Unplanned Usage"),"High Risk",
OR(Table1[[#This Row],[Customer service risk level]]="Medium risk", Table1[[#This Row],[Charges risk level]]="High risk "),"Medium Risk",
TRUE,"Low Risk"
)</f>
        <v>Medium Risk</v>
      </c>
    </row>
    <row r="490" spans="1:29" x14ac:dyDescent="0.25">
      <c r="A490" t="s">
        <v>20</v>
      </c>
      <c r="B490">
        <v>53</v>
      </c>
      <c r="C490">
        <v>415</v>
      </c>
      <c r="D490" t="s">
        <v>21</v>
      </c>
      <c r="E490" t="s">
        <v>21</v>
      </c>
      <c r="F490">
        <v>0</v>
      </c>
      <c r="G490">
        <v>145.1</v>
      </c>
      <c r="H490">
        <v>116</v>
      </c>
      <c r="I490">
        <v>24.67</v>
      </c>
      <c r="J490">
        <v>233.7</v>
      </c>
      <c r="K490">
        <v>82</v>
      </c>
      <c r="L490">
        <v>19.86</v>
      </c>
      <c r="M490">
        <v>208.7</v>
      </c>
      <c r="N490">
        <v>95</v>
      </c>
      <c r="O490">
        <v>9.39</v>
      </c>
      <c r="P490">
        <v>7.9</v>
      </c>
      <c r="Q490">
        <v>5</v>
      </c>
      <c r="R490">
        <v>2.13</v>
      </c>
      <c r="S490">
        <v>2</v>
      </c>
      <c r="T490" t="b">
        <v>0</v>
      </c>
      <c r="U490">
        <f>IFERROR(SUM(Table1[[#This Row],[Total day minutes]],Table1[[#This Row],[Total eve minutes]],Table1[[#This Row],[Total night minutes]],Table1[[#This Row],[Total intl minutes]]),0)</f>
        <v>595.4</v>
      </c>
      <c r="V490">
        <f>SUM(Table1[[#This Row],[Total intl charge]],Table1[[#This Row],[Total night charge]],Table1[[#This Row],[Total eve charge]],Table1[[#This Row],[Total day charge]])</f>
        <v>56.05</v>
      </c>
      <c r="W490">
        <f>SUM(Table1[[#This Row],[Total intl calls]],Table1[[#This Row],[Total night calls]],Table1[[#This Row],[Total eve calls]],Table1[[#This Row],[Total day calls]])</f>
        <v>298</v>
      </c>
      <c r="X490" t="str" cm="1">
        <f t="array" ref="X490">_xlfn.IFS(Table1[[#This Row],[Customer service calls]]&gt;=4,"High risk",Table1[[#This Row],[Customer service calls]]&gt;=2,"Medium risk",TRUE,"Low risk")</f>
        <v>Medium risk</v>
      </c>
      <c r="Y490" t="str" cm="1">
        <f t="array" ref="Y490">IFERROR(_xlfn.IFS(Table1[[#This Row],[Total usage(Min)]]&gt;=AVERAGE(U:U)*1.1,"High risk",Table1[[#This Row],[Total usage(Min)]]&lt;= AVERAGE(U:U)*0.9,"Low risk",TRUE,"Medium risk"),"N/A")</f>
        <v>Medium risk</v>
      </c>
      <c r="Z490" t="str" cm="1">
        <f t="array" ref="Z490">IFERROR(_xlfn.IFS(Table1[[#This Row],[Total charges]]&gt;=AVERAGE(V:V)*1.1,"High risk",Table1[[#This Row],[Total charges]]&lt;=AVERAGE(V:V)*0.9,"Low risk",TRUE,"Medium risk"),"N/A")</f>
        <v>Medium risk</v>
      </c>
      <c r="AA4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0" t="str" cm="1">
        <f t="array" ref="AC490">_xlfn.IFS(
AND(Table1[[#This Row],[Customer service risk level]]="High risk", Table1[[#This Row],[Intl usage behaviour]]="Unplanned Usage"),"High Risk",
OR(Table1[[#This Row],[Customer service risk level]]="Medium risk", Table1[[#This Row],[Charges risk level]]="High risk "),"Medium Risk",
TRUE,"Low Risk"
)</f>
        <v>Medium Risk</v>
      </c>
    </row>
    <row r="491" spans="1:29" x14ac:dyDescent="0.25">
      <c r="A491" t="s">
        <v>43</v>
      </c>
      <c r="B491">
        <v>15</v>
      </c>
      <c r="C491">
        <v>415</v>
      </c>
      <c r="D491" t="s">
        <v>21</v>
      </c>
      <c r="E491" t="s">
        <v>21</v>
      </c>
      <c r="F491">
        <v>0</v>
      </c>
      <c r="G491">
        <v>135.19999999999999</v>
      </c>
      <c r="H491">
        <v>101</v>
      </c>
      <c r="I491">
        <v>22.98</v>
      </c>
      <c r="J491">
        <v>152.5</v>
      </c>
      <c r="K491">
        <v>79</v>
      </c>
      <c r="L491">
        <v>12.96</v>
      </c>
      <c r="M491">
        <v>224.8</v>
      </c>
      <c r="N491">
        <v>83</v>
      </c>
      <c r="O491">
        <v>10.119999999999999</v>
      </c>
      <c r="P491">
        <v>8.4</v>
      </c>
      <c r="Q491">
        <v>5</v>
      </c>
      <c r="R491">
        <v>2.27</v>
      </c>
      <c r="S491">
        <v>2</v>
      </c>
      <c r="T491" t="b">
        <v>0</v>
      </c>
      <c r="U491">
        <f>IFERROR(SUM(Table1[[#This Row],[Total day minutes]],Table1[[#This Row],[Total eve minutes]],Table1[[#This Row],[Total night minutes]],Table1[[#This Row],[Total intl minutes]]),0)</f>
        <v>520.9</v>
      </c>
      <c r="V491">
        <f>SUM(Table1[[#This Row],[Total intl charge]],Table1[[#This Row],[Total night charge]],Table1[[#This Row],[Total eve charge]],Table1[[#This Row],[Total day charge]])</f>
        <v>48.33</v>
      </c>
      <c r="W491">
        <f>SUM(Table1[[#This Row],[Total intl calls]],Table1[[#This Row],[Total night calls]],Table1[[#This Row],[Total eve calls]],Table1[[#This Row],[Total day calls]])</f>
        <v>268</v>
      </c>
      <c r="X491" t="str" cm="1">
        <f t="array" ref="X491">_xlfn.IFS(Table1[[#This Row],[Customer service calls]]&gt;=4,"High risk",Table1[[#This Row],[Customer service calls]]&gt;=2,"Medium risk",TRUE,"Low risk")</f>
        <v>Medium risk</v>
      </c>
      <c r="Y491" t="str" cm="1">
        <f t="array" ref="Y491">IFERROR(_xlfn.IFS(Table1[[#This Row],[Total usage(Min)]]&gt;=AVERAGE(U:U)*1.1,"High risk",Table1[[#This Row],[Total usage(Min)]]&lt;= AVERAGE(U:U)*0.9,"Low risk",TRUE,"Medium risk"),"N/A")</f>
        <v>Low risk</v>
      </c>
      <c r="Z491" t="str" cm="1">
        <f t="array" ref="Z491">IFERROR(_xlfn.IFS(Table1[[#This Row],[Total charges]]&gt;=AVERAGE(V:V)*1.1,"High risk",Table1[[#This Row],[Total charges]]&lt;=AVERAGE(V:V)*0.9,"Low risk",TRUE,"Medium risk"),"N/A")</f>
        <v>Low risk</v>
      </c>
      <c r="AA4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1" t="str" cm="1">
        <f t="array" ref="AC491">_xlfn.IFS(
AND(Table1[[#This Row],[Customer service risk level]]="High risk", Table1[[#This Row],[Intl usage behaviour]]="Unplanned Usage"),"High Risk",
OR(Table1[[#This Row],[Customer service risk level]]="Medium risk", Table1[[#This Row],[Charges risk level]]="High risk "),"Medium Risk",
TRUE,"Low Risk"
)</f>
        <v>Medium Risk</v>
      </c>
    </row>
    <row r="492" spans="1:29" x14ac:dyDescent="0.25">
      <c r="A492" t="s">
        <v>61</v>
      </c>
      <c r="B492">
        <v>123</v>
      </c>
      <c r="C492">
        <v>408</v>
      </c>
      <c r="D492" t="s">
        <v>21</v>
      </c>
      <c r="E492" t="s">
        <v>27</v>
      </c>
      <c r="F492">
        <v>28</v>
      </c>
      <c r="G492">
        <v>124.7</v>
      </c>
      <c r="H492">
        <v>105</v>
      </c>
      <c r="I492">
        <v>21.2</v>
      </c>
      <c r="J492">
        <v>250.4</v>
      </c>
      <c r="K492">
        <v>78</v>
      </c>
      <c r="L492">
        <v>21.28</v>
      </c>
      <c r="M492">
        <v>216.4</v>
      </c>
      <c r="N492">
        <v>128</v>
      </c>
      <c r="O492">
        <v>9.74</v>
      </c>
      <c r="P492">
        <v>7.8</v>
      </c>
      <c r="Q492">
        <v>8</v>
      </c>
      <c r="R492">
        <v>2.11</v>
      </c>
      <c r="S492">
        <v>1</v>
      </c>
      <c r="T492" t="b">
        <v>0</v>
      </c>
      <c r="U492">
        <f>IFERROR(SUM(Table1[[#This Row],[Total day minutes]],Table1[[#This Row],[Total eve minutes]],Table1[[#This Row],[Total night minutes]],Table1[[#This Row],[Total intl minutes]]),0)</f>
        <v>599.29999999999995</v>
      </c>
      <c r="V492">
        <f>SUM(Table1[[#This Row],[Total intl charge]],Table1[[#This Row],[Total night charge]],Table1[[#This Row],[Total eve charge]],Table1[[#This Row],[Total day charge]])</f>
        <v>54.33</v>
      </c>
      <c r="W492">
        <f>SUM(Table1[[#This Row],[Total intl calls]],Table1[[#This Row],[Total night calls]],Table1[[#This Row],[Total eve calls]],Table1[[#This Row],[Total day calls]])</f>
        <v>319</v>
      </c>
      <c r="X492" t="str" cm="1">
        <f t="array" ref="X492">_xlfn.IFS(Table1[[#This Row],[Customer service calls]]&gt;=4,"High risk",Table1[[#This Row],[Customer service calls]]&gt;=2,"Medium risk",TRUE,"Low risk")</f>
        <v>Low risk</v>
      </c>
      <c r="Y492" t="str" cm="1">
        <f t="array" ref="Y492">IFERROR(_xlfn.IFS(Table1[[#This Row],[Total usage(Min)]]&gt;=AVERAGE(U:U)*1.1,"High risk",Table1[[#This Row],[Total usage(Min)]]&lt;= AVERAGE(U:U)*0.9,"Low risk",TRUE,"Medium risk"),"N/A")</f>
        <v>Medium risk</v>
      </c>
      <c r="Z492" t="str" cm="1">
        <f t="array" ref="Z492">IFERROR(_xlfn.IFS(Table1[[#This Row],[Total charges]]&gt;=AVERAGE(V:V)*1.1,"High risk",Table1[[#This Row],[Total charges]]&lt;=AVERAGE(V:V)*0.9,"Low risk",TRUE,"Medium risk"),"N/A")</f>
        <v>Medium risk</v>
      </c>
      <c r="AA4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92" t="str" cm="1">
        <f t="array" ref="AC492">_xlfn.IFS(
AND(Table1[[#This Row],[Customer service risk level]]="High risk", Table1[[#This Row],[Intl usage behaviour]]="Unplanned Usage"),"High Risk",
OR(Table1[[#This Row],[Customer service risk level]]="Medium risk", Table1[[#This Row],[Charges risk level]]="High risk "),"Medium Risk",
TRUE,"Low Risk"
)</f>
        <v>Low Risk</v>
      </c>
    </row>
    <row r="493" spans="1:29" x14ac:dyDescent="0.25">
      <c r="A493" t="s">
        <v>70</v>
      </c>
      <c r="B493">
        <v>95</v>
      </c>
      <c r="C493">
        <v>510</v>
      </c>
      <c r="D493" t="s">
        <v>21</v>
      </c>
      <c r="E493" t="s">
        <v>21</v>
      </c>
      <c r="F493">
        <v>0</v>
      </c>
      <c r="G493">
        <v>174</v>
      </c>
      <c r="H493">
        <v>57</v>
      </c>
      <c r="I493">
        <v>29.58</v>
      </c>
      <c r="J493">
        <v>281.10000000000002</v>
      </c>
      <c r="K493">
        <v>118</v>
      </c>
      <c r="L493">
        <v>23.89</v>
      </c>
      <c r="M493">
        <v>197.2</v>
      </c>
      <c r="N493">
        <v>94</v>
      </c>
      <c r="O493">
        <v>8.8699999999999992</v>
      </c>
      <c r="P493">
        <v>9.6999999999999993</v>
      </c>
      <c r="Q493">
        <v>2</v>
      </c>
      <c r="R493">
        <v>2.62</v>
      </c>
      <c r="S493">
        <v>0</v>
      </c>
      <c r="T493" t="b">
        <v>0</v>
      </c>
      <c r="U493">
        <f>IFERROR(SUM(Table1[[#This Row],[Total day minutes]],Table1[[#This Row],[Total eve minutes]],Table1[[#This Row],[Total night minutes]],Table1[[#This Row],[Total intl minutes]]),0)</f>
        <v>662</v>
      </c>
      <c r="V493">
        <f>SUM(Table1[[#This Row],[Total intl charge]],Table1[[#This Row],[Total night charge]],Table1[[#This Row],[Total eve charge]],Table1[[#This Row],[Total day charge]])</f>
        <v>64.959999999999994</v>
      </c>
      <c r="W493">
        <f>SUM(Table1[[#This Row],[Total intl calls]],Table1[[#This Row],[Total night calls]],Table1[[#This Row],[Total eve calls]],Table1[[#This Row],[Total day calls]])</f>
        <v>271</v>
      </c>
      <c r="X493" t="str" cm="1">
        <f t="array" ref="X493">_xlfn.IFS(Table1[[#This Row],[Customer service calls]]&gt;=4,"High risk",Table1[[#This Row],[Customer service calls]]&gt;=2,"Medium risk",TRUE,"Low risk")</f>
        <v>Low risk</v>
      </c>
      <c r="Y493" t="str" cm="1">
        <f t="array" ref="Y493">IFERROR(_xlfn.IFS(Table1[[#This Row],[Total usage(Min)]]&gt;=AVERAGE(U:U)*1.1,"High risk",Table1[[#This Row],[Total usage(Min)]]&lt;= AVERAGE(U:U)*0.9,"Low risk",TRUE,"Medium risk"),"N/A")</f>
        <v>High risk</v>
      </c>
      <c r="Z493" t="str" cm="1">
        <f t="array" ref="Z493">IFERROR(_xlfn.IFS(Table1[[#This Row],[Total charges]]&gt;=AVERAGE(V:V)*1.1,"High risk",Table1[[#This Row],[Total charges]]&lt;=AVERAGE(V:V)*0.9,"Low risk",TRUE,"Medium risk"),"N/A")</f>
        <v>Medium risk</v>
      </c>
      <c r="AA4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3" t="str" cm="1">
        <f t="array" ref="AC493">_xlfn.IFS(
AND(Table1[[#This Row],[Customer service risk level]]="High risk", Table1[[#This Row],[Intl usage behaviour]]="Unplanned Usage"),"High Risk",
OR(Table1[[#This Row],[Customer service risk level]]="Medium risk", Table1[[#This Row],[Charges risk level]]="High risk "),"Medium Risk",
TRUE,"Low Risk"
)</f>
        <v>Low Risk</v>
      </c>
    </row>
    <row r="494" spans="1:29" x14ac:dyDescent="0.25">
      <c r="A494" t="s">
        <v>40</v>
      </c>
      <c r="B494">
        <v>82</v>
      </c>
      <c r="C494">
        <v>510</v>
      </c>
      <c r="D494" t="s">
        <v>21</v>
      </c>
      <c r="E494" t="s">
        <v>21</v>
      </c>
      <c r="F494">
        <v>0</v>
      </c>
      <c r="G494">
        <v>265.2</v>
      </c>
      <c r="H494">
        <v>122</v>
      </c>
      <c r="I494">
        <v>45.08</v>
      </c>
      <c r="J494">
        <v>178.7</v>
      </c>
      <c r="K494">
        <v>102</v>
      </c>
      <c r="L494">
        <v>15.19</v>
      </c>
      <c r="M494">
        <v>174.7</v>
      </c>
      <c r="N494">
        <v>90</v>
      </c>
      <c r="O494">
        <v>7.86</v>
      </c>
      <c r="P494">
        <v>10.7</v>
      </c>
      <c r="Q494">
        <v>9</v>
      </c>
      <c r="R494">
        <v>2.89</v>
      </c>
      <c r="S494">
        <v>2</v>
      </c>
      <c r="T494" t="b">
        <v>0</v>
      </c>
      <c r="U494">
        <f>IFERROR(SUM(Table1[[#This Row],[Total day minutes]],Table1[[#This Row],[Total eve minutes]],Table1[[#This Row],[Total night minutes]],Table1[[#This Row],[Total intl minutes]]),0)</f>
        <v>629.29999999999995</v>
      </c>
      <c r="V494">
        <f>SUM(Table1[[#This Row],[Total intl charge]],Table1[[#This Row],[Total night charge]],Table1[[#This Row],[Total eve charge]],Table1[[#This Row],[Total day charge]])</f>
        <v>71.02</v>
      </c>
      <c r="W494">
        <f>SUM(Table1[[#This Row],[Total intl calls]],Table1[[#This Row],[Total night calls]],Table1[[#This Row],[Total eve calls]],Table1[[#This Row],[Total day calls]])</f>
        <v>323</v>
      </c>
      <c r="X494" t="str" cm="1">
        <f t="array" ref="X494">_xlfn.IFS(Table1[[#This Row],[Customer service calls]]&gt;=4,"High risk",Table1[[#This Row],[Customer service calls]]&gt;=2,"Medium risk",TRUE,"Low risk")</f>
        <v>Medium risk</v>
      </c>
      <c r="Y494" t="str" cm="1">
        <f t="array" ref="Y494">IFERROR(_xlfn.IFS(Table1[[#This Row],[Total usage(Min)]]&gt;=AVERAGE(U:U)*1.1,"High risk",Table1[[#This Row],[Total usage(Min)]]&lt;= AVERAGE(U:U)*0.9,"Low risk",TRUE,"Medium risk"),"N/A")</f>
        <v>Medium risk</v>
      </c>
      <c r="Z494" t="str" cm="1">
        <f t="array" ref="Z494">IFERROR(_xlfn.IFS(Table1[[#This Row],[Total charges]]&gt;=AVERAGE(V:V)*1.1,"High risk",Table1[[#This Row],[Total charges]]&lt;=AVERAGE(V:V)*0.9,"Low risk",TRUE,"Medium risk"),"N/A")</f>
        <v>High risk</v>
      </c>
      <c r="AA4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4" t="str" cm="1">
        <f t="array" ref="AC494">_xlfn.IFS(
AND(Table1[[#This Row],[Customer service risk level]]="High risk", Table1[[#This Row],[Intl usage behaviour]]="Unplanned Usage"),"High Risk",
OR(Table1[[#This Row],[Customer service risk level]]="Medium risk", Table1[[#This Row],[Charges risk level]]="High risk "),"Medium Risk",
TRUE,"Low Risk"
)</f>
        <v>Medium Risk</v>
      </c>
    </row>
    <row r="495" spans="1:29" x14ac:dyDescent="0.25">
      <c r="A495" t="s">
        <v>57</v>
      </c>
      <c r="B495">
        <v>180</v>
      </c>
      <c r="C495">
        <v>415</v>
      </c>
      <c r="D495" t="s">
        <v>21</v>
      </c>
      <c r="E495" t="s">
        <v>21</v>
      </c>
      <c r="F495">
        <v>0</v>
      </c>
      <c r="G495">
        <v>143.30000000000001</v>
      </c>
      <c r="H495">
        <v>134</v>
      </c>
      <c r="I495">
        <v>24.36</v>
      </c>
      <c r="J495">
        <v>180.5</v>
      </c>
      <c r="K495">
        <v>113</v>
      </c>
      <c r="L495">
        <v>15.34</v>
      </c>
      <c r="M495">
        <v>184.2</v>
      </c>
      <c r="N495">
        <v>87</v>
      </c>
      <c r="O495">
        <v>8.2899999999999991</v>
      </c>
      <c r="P495">
        <v>10.1</v>
      </c>
      <c r="Q495">
        <v>4</v>
      </c>
      <c r="R495">
        <v>2.73</v>
      </c>
      <c r="S495">
        <v>1</v>
      </c>
      <c r="T495" t="b">
        <v>0</v>
      </c>
      <c r="U495">
        <f>IFERROR(SUM(Table1[[#This Row],[Total day minutes]],Table1[[#This Row],[Total eve minutes]],Table1[[#This Row],[Total night minutes]],Table1[[#This Row],[Total intl minutes]]),0)</f>
        <v>518.1</v>
      </c>
      <c r="V495">
        <f>SUM(Table1[[#This Row],[Total intl charge]],Table1[[#This Row],[Total night charge]],Table1[[#This Row],[Total eve charge]],Table1[[#This Row],[Total day charge]])</f>
        <v>50.72</v>
      </c>
      <c r="W495">
        <f>SUM(Table1[[#This Row],[Total intl calls]],Table1[[#This Row],[Total night calls]],Table1[[#This Row],[Total eve calls]],Table1[[#This Row],[Total day calls]])</f>
        <v>338</v>
      </c>
      <c r="X495" t="str" cm="1">
        <f t="array" ref="X495">_xlfn.IFS(Table1[[#This Row],[Customer service calls]]&gt;=4,"High risk",Table1[[#This Row],[Customer service calls]]&gt;=2,"Medium risk",TRUE,"Low risk")</f>
        <v>Low risk</v>
      </c>
      <c r="Y495" t="str" cm="1">
        <f t="array" ref="Y495">IFERROR(_xlfn.IFS(Table1[[#This Row],[Total usage(Min)]]&gt;=AVERAGE(U:U)*1.1,"High risk",Table1[[#This Row],[Total usage(Min)]]&lt;= AVERAGE(U:U)*0.9,"Low risk",TRUE,"Medium risk"),"N/A")</f>
        <v>Low risk</v>
      </c>
      <c r="Z495" t="str" cm="1">
        <f t="array" ref="Z495">IFERROR(_xlfn.IFS(Table1[[#This Row],[Total charges]]&gt;=AVERAGE(V:V)*1.1,"High risk",Table1[[#This Row],[Total charges]]&lt;=AVERAGE(V:V)*0.9,"Low risk",TRUE,"Medium risk"),"N/A")</f>
        <v>Low risk</v>
      </c>
      <c r="AA4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5" t="str" cm="1">
        <f t="array" ref="AC495">_xlfn.IFS(
AND(Table1[[#This Row],[Customer service risk level]]="High risk", Table1[[#This Row],[Intl usage behaviour]]="Unplanned Usage"),"High Risk",
OR(Table1[[#This Row],[Customer service risk level]]="Medium risk", Table1[[#This Row],[Charges risk level]]="High risk "),"Medium Risk",
TRUE,"Low Risk"
)</f>
        <v>Low Risk</v>
      </c>
    </row>
    <row r="496" spans="1:29" x14ac:dyDescent="0.25">
      <c r="A496" t="s">
        <v>57</v>
      </c>
      <c r="B496">
        <v>125</v>
      </c>
      <c r="C496">
        <v>408</v>
      </c>
      <c r="D496" t="s">
        <v>21</v>
      </c>
      <c r="E496" t="s">
        <v>21</v>
      </c>
      <c r="F496">
        <v>0</v>
      </c>
      <c r="G496">
        <v>113</v>
      </c>
      <c r="H496">
        <v>108</v>
      </c>
      <c r="I496">
        <v>19.21</v>
      </c>
      <c r="J496">
        <v>169.2</v>
      </c>
      <c r="K496">
        <v>107</v>
      </c>
      <c r="L496">
        <v>14.38</v>
      </c>
      <c r="M496">
        <v>156.6</v>
      </c>
      <c r="N496">
        <v>61</v>
      </c>
      <c r="O496">
        <v>7.05</v>
      </c>
      <c r="P496">
        <v>9.1999999999999993</v>
      </c>
      <c r="Q496">
        <v>5</v>
      </c>
      <c r="R496">
        <v>2.48</v>
      </c>
      <c r="S496">
        <v>2</v>
      </c>
      <c r="T496" t="b">
        <v>1</v>
      </c>
      <c r="U496">
        <f>IFERROR(SUM(Table1[[#This Row],[Total day minutes]],Table1[[#This Row],[Total eve minutes]],Table1[[#This Row],[Total night minutes]],Table1[[#This Row],[Total intl minutes]]),0)</f>
        <v>447.99999999999994</v>
      </c>
      <c r="V496">
        <f>SUM(Table1[[#This Row],[Total intl charge]],Table1[[#This Row],[Total night charge]],Table1[[#This Row],[Total eve charge]],Table1[[#This Row],[Total day charge]])</f>
        <v>43.120000000000005</v>
      </c>
      <c r="W496">
        <f>SUM(Table1[[#This Row],[Total intl calls]],Table1[[#This Row],[Total night calls]],Table1[[#This Row],[Total eve calls]],Table1[[#This Row],[Total day calls]])</f>
        <v>281</v>
      </c>
      <c r="X496" t="str" cm="1">
        <f t="array" ref="X496">_xlfn.IFS(Table1[[#This Row],[Customer service calls]]&gt;=4,"High risk",Table1[[#This Row],[Customer service calls]]&gt;=2,"Medium risk",TRUE,"Low risk")</f>
        <v>Medium risk</v>
      </c>
      <c r="Y496" t="str" cm="1">
        <f t="array" ref="Y496">IFERROR(_xlfn.IFS(Table1[[#This Row],[Total usage(Min)]]&gt;=AVERAGE(U:U)*1.1,"High risk",Table1[[#This Row],[Total usage(Min)]]&lt;= AVERAGE(U:U)*0.9,"Low risk",TRUE,"Medium risk"),"N/A")</f>
        <v>Low risk</v>
      </c>
      <c r="Z496" t="str" cm="1">
        <f t="array" ref="Z496">IFERROR(_xlfn.IFS(Table1[[#This Row],[Total charges]]&gt;=AVERAGE(V:V)*1.1,"High risk",Table1[[#This Row],[Total charges]]&lt;=AVERAGE(V:V)*0.9,"Low risk",TRUE,"Medium risk"),"N/A")</f>
        <v>Low risk</v>
      </c>
      <c r="AA4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6" t="str" cm="1">
        <f t="array" ref="AC496">_xlfn.IFS(
AND(Table1[[#This Row],[Customer service risk level]]="High risk", Table1[[#This Row],[Intl usage behaviour]]="Unplanned Usage"),"High Risk",
OR(Table1[[#This Row],[Customer service risk level]]="Medium risk", Table1[[#This Row],[Charges risk level]]="High risk "),"Medium Risk",
TRUE,"Low Risk"
)</f>
        <v>Medium Risk</v>
      </c>
    </row>
    <row r="497" spans="1:29" x14ac:dyDescent="0.25">
      <c r="A497" t="s">
        <v>47</v>
      </c>
      <c r="B497">
        <v>138</v>
      </c>
      <c r="C497">
        <v>415</v>
      </c>
      <c r="D497" t="s">
        <v>27</v>
      </c>
      <c r="E497" t="s">
        <v>27</v>
      </c>
      <c r="F497">
        <v>28</v>
      </c>
      <c r="G497">
        <v>211.2</v>
      </c>
      <c r="H497">
        <v>117</v>
      </c>
      <c r="I497">
        <v>35.9</v>
      </c>
      <c r="J497">
        <v>312.5</v>
      </c>
      <c r="K497">
        <v>98</v>
      </c>
      <c r="L497">
        <v>26.56</v>
      </c>
      <c r="M497">
        <v>178</v>
      </c>
      <c r="N497">
        <v>118</v>
      </c>
      <c r="O497">
        <v>8.01</v>
      </c>
      <c r="P497">
        <v>10.7</v>
      </c>
      <c r="Q497">
        <v>2</v>
      </c>
      <c r="R497">
        <v>2.89</v>
      </c>
      <c r="S497">
        <v>3</v>
      </c>
      <c r="T497" t="b">
        <v>1</v>
      </c>
      <c r="U497">
        <f>IFERROR(SUM(Table1[[#This Row],[Total day minutes]],Table1[[#This Row],[Total eve minutes]],Table1[[#This Row],[Total night minutes]],Table1[[#This Row],[Total intl minutes]]),0)</f>
        <v>712.40000000000009</v>
      </c>
      <c r="V497">
        <f>SUM(Table1[[#This Row],[Total intl charge]],Table1[[#This Row],[Total night charge]],Table1[[#This Row],[Total eve charge]],Table1[[#This Row],[Total day charge]])</f>
        <v>73.36</v>
      </c>
      <c r="W497">
        <f>SUM(Table1[[#This Row],[Total intl calls]],Table1[[#This Row],[Total night calls]],Table1[[#This Row],[Total eve calls]],Table1[[#This Row],[Total day calls]])</f>
        <v>335</v>
      </c>
      <c r="X497" t="str" cm="1">
        <f t="array" ref="X497">_xlfn.IFS(Table1[[#This Row],[Customer service calls]]&gt;=4,"High risk",Table1[[#This Row],[Customer service calls]]&gt;=2,"Medium risk",TRUE,"Low risk")</f>
        <v>Medium risk</v>
      </c>
      <c r="Y497" t="str" cm="1">
        <f t="array" ref="Y497">IFERROR(_xlfn.IFS(Table1[[#This Row],[Total usage(Min)]]&gt;=AVERAGE(U:U)*1.1,"High risk",Table1[[#This Row],[Total usage(Min)]]&lt;= AVERAGE(U:U)*0.9,"Low risk",TRUE,"Medium risk"),"N/A")</f>
        <v>High risk</v>
      </c>
      <c r="Z497" t="str" cm="1">
        <f t="array" ref="Z497">IFERROR(_xlfn.IFS(Table1[[#This Row],[Total charges]]&gt;=AVERAGE(V:V)*1.1,"High risk",Table1[[#This Row],[Total charges]]&lt;=AVERAGE(V:V)*0.9,"Low risk",TRUE,"Medium risk"),"N/A")</f>
        <v>High risk</v>
      </c>
      <c r="AA4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49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497" t="str" cm="1">
        <f t="array" ref="AC497">_xlfn.IFS(
AND(Table1[[#This Row],[Customer service risk level]]="High risk", Table1[[#This Row],[Intl usage behaviour]]="Unplanned Usage"),"High Risk",
OR(Table1[[#This Row],[Customer service risk level]]="Medium risk", Table1[[#This Row],[Charges risk level]]="High risk "),"Medium Risk",
TRUE,"Low Risk"
)</f>
        <v>Medium Risk</v>
      </c>
    </row>
    <row r="498" spans="1:29" x14ac:dyDescent="0.25">
      <c r="A498" t="s">
        <v>35</v>
      </c>
      <c r="B498">
        <v>90</v>
      </c>
      <c r="C498">
        <v>408</v>
      </c>
      <c r="D498" t="s">
        <v>21</v>
      </c>
      <c r="E498" t="s">
        <v>21</v>
      </c>
      <c r="F498">
        <v>0</v>
      </c>
      <c r="G498">
        <v>157.9</v>
      </c>
      <c r="H498">
        <v>72</v>
      </c>
      <c r="I498">
        <v>26.84</v>
      </c>
      <c r="J498">
        <v>234</v>
      </c>
      <c r="K498">
        <v>93</v>
      </c>
      <c r="L498">
        <v>19.89</v>
      </c>
      <c r="M498">
        <v>210</v>
      </c>
      <c r="N498">
        <v>86</v>
      </c>
      <c r="O498">
        <v>9.4499999999999993</v>
      </c>
      <c r="P498">
        <v>12.2</v>
      </c>
      <c r="Q498">
        <v>5</v>
      </c>
      <c r="R498">
        <v>3.29</v>
      </c>
      <c r="S498">
        <v>2</v>
      </c>
      <c r="T498" t="b">
        <v>0</v>
      </c>
      <c r="U498">
        <f>IFERROR(SUM(Table1[[#This Row],[Total day minutes]],Table1[[#This Row],[Total eve minutes]],Table1[[#This Row],[Total night minutes]],Table1[[#This Row],[Total intl minutes]]),0)</f>
        <v>614.1</v>
      </c>
      <c r="V498">
        <f>SUM(Table1[[#This Row],[Total intl charge]],Table1[[#This Row],[Total night charge]],Table1[[#This Row],[Total eve charge]],Table1[[#This Row],[Total day charge]])</f>
        <v>59.47</v>
      </c>
      <c r="W498">
        <f>SUM(Table1[[#This Row],[Total intl calls]],Table1[[#This Row],[Total night calls]],Table1[[#This Row],[Total eve calls]],Table1[[#This Row],[Total day calls]])</f>
        <v>256</v>
      </c>
      <c r="X498" t="str" cm="1">
        <f t="array" ref="X498">_xlfn.IFS(Table1[[#This Row],[Customer service calls]]&gt;=4,"High risk",Table1[[#This Row],[Customer service calls]]&gt;=2,"Medium risk",TRUE,"Low risk")</f>
        <v>Medium risk</v>
      </c>
      <c r="Y498" t="str" cm="1">
        <f t="array" ref="Y498">IFERROR(_xlfn.IFS(Table1[[#This Row],[Total usage(Min)]]&gt;=AVERAGE(U:U)*1.1,"High risk",Table1[[#This Row],[Total usage(Min)]]&lt;= AVERAGE(U:U)*0.9,"Low risk",TRUE,"Medium risk"),"N/A")</f>
        <v>Medium risk</v>
      </c>
      <c r="Z498" t="str" cm="1">
        <f t="array" ref="Z498">IFERROR(_xlfn.IFS(Table1[[#This Row],[Total charges]]&gt;=AVERAGE(V:V)*1.1,"High risk",Table1[[#This Row],[Total charges]]&lt;=AVERAGE(V:V)*0.9,"Low risk",TRUE,"Medium risk"),"N/A")</f>
        <v>Medium risk</v>
      </c>
      <c r="AA4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8" t="str" cm="1">
        <f t="array" ref="AC498">_xlfn.IFS(
AND(Table1[[#This Row],[Customer service risk level]]="High risk", Table1[[#This Row],[Intl usage behaviour]]="Unplanned Usage"),"High Risk",
OR(Table1[[#This Row],[Customer service risk level]]="Medium risk", Table1[[#This Row],[Charges risk level]]="High risk "),"Medium Risk",
TRUE,"Low Risk"
)</f>
        <v>Medium Risk</v>
      </c>
    </row>
    <row r="499" spans="1:29" x14ac:dyDescent="0.25">
      <c r="A499" t="s">
        <v>53</v>
      </c>
      <c r="B499">
        <v>190</v>
      </c>
      <c r="C499">
        <v>408</v>
      </c>
      <c r="D499" t="s">
        <v>21</v>
      </c>
      <c r="E499" t="s">
        <v>21</v>
      </c>
      <c r="F499">
        <v>0</v>
      </c>
      <c r="G499">
        <v>182.2</v>
      </c>
      <c r="H499">
        <v>101</v>
      </c>
      <c r="I499">
        <v>30.97</v>
      </c>
      <c r="J499">
        <v>212.3</v>
      </c>
      <c r="K499">
        <v>95</v>
      </c>
      <c r="L499">
        <v>18.05</v>
      </c>
      <c r="M499">
        <v>233</v>
      </c>
      <c r="N499">
        <v>123</v>
      </c>
      <c r="O499">
        <v>10.49</v>
      </c>
      <c r="P499">
        <v>9.3000000000000007</v>
      </c>
      <c r="Q499">
        <v>4</v>
      </c>
      <c r="R499">
        <v>2.5099999999999998</v>
      </c>
      <c r="S499">
        <v>2</v>
      </c>
      <c r="T499" t="b">
        <v>0</v>
      </c>
      <c r="U499">
        <f>IFERROR(SUM(Table1[[#This Row],[Total day minutes]],Table1[[#This Row],[Total eve minutes]],Table1[[#This Row],[Total night minutes]],Table1[[#This Row],[Total intl minutes]]),0)</f>
        <v>636.79999999999995</v>
      </c>
      <c r="V499">
        <f>SUM(Table1[[#This Row],[Total intl charge]],Table1[[#This Row],[Total night charge]],Table1[[#This Row],[Total eve charge]],Table1[[#This Row],[Total day charge]])</f>
        <v>62.019999999999996</v>
      </c>
      <c r="W499">
        <f>SUM(Table1[[#This Row],[Total intl calls]],Table1[[#This Row],[Total night calls]],Table1[[#This Row],[Total eve calls]],Table1[[#This Row],[Total day calls]])</f>
        <v>323</v>
      </c>
      <c r="X499" t="str" cm="1">
        <f t="array" ref="X499">_xlfn.IFS(Table1[[#This Row],[Customer service calls]]&gt;=4,"High risk",Table1[[#This Row],[Customer service calls]]&gt;=2,"Medium risk",TRUE,"Low risk")</f>
        <v>Medium risk</v>
      </c>
      <c r="Y499" t="str" cm="1">
        <f t="array" ref="Y499">IFERROR(_xlfn.IFS(Table1[[#This Row],[Total usage(Min)]]&gt;=AVERAGE(U:U)*1.1,"High risk",Table1[[#This Row],[Total usage(Min)]]&lt;= AVERAGE(U:U)*0.9,"Low risk",TRUE,"Medium risk"),"N/A")</f>
        <v>Medium risk</v>
      </c>
      <c r="Z499" t="str" cm="1">
        <f t="array" ref="Z499">IFERROR(_xlfn.IFS(Table1[[#This Row],[Total charges]]&gt;=AVERAGE(V:V)*1.1,"High risk",Table1[[#This Row],[Total charges]]&lt;=AVERAGE(V:V)*0.9,"Low risk",TRUE,"Medium risk"),"N/A")</f>
        <v>Medium risk</v>
      </c>
      <c r="AA4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49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499" t="str" cm="1">
        <f t="array" ref="AC499">_xlfn.IFS(
AND(Table1[[#This Row],[Customer service risk level]]="High risk", Table1[[#This Row],[Intl usage behaviour]]="Unplanned Usage"),"High Risk",
OR(Table1[[#This Row],[Customer service risk level]]="Medium risk", Table1[[#This Row],[Charges risk level]]="High risk "),"Medium Risk",
TRUE,"Low Risk"
)</f>
        <v>Medium Risk</v>
      </c>
    </row>
    <row r="500" spans="1:29" x14ac:dyDescent="0.25">
      <c r="A500" t="s">
        <v>71</v>
      </c>
      <c r="B500">
        <v>143</v>
      </c>
      <c r="C500">
        <v>510</v>
      </c>
      <c r="D500" t="s">
        <v>21</v>
      </c>
      <c r="E500" t="s">
        <v>27</v>
      </c>
      <c r="F500">
        <v>33</v>
      </c>
      <c r="G500">
        <v>141.4</v>
      </c>
      <c r="H500">
        <v>130</v>
      </c>
      <c r="I500">
        <v>24.04</v>
      </c>
      <c r="J500">
        <v>186.4</v>
      </c>
      <c r="K500">
        <v>114</v>
      </c>
      <c r="L500">
        <v>15.84</v>
      </c>
      <c r="M500">
        <v>210</v>
      </c>
      <c r="N500">
        <v>111</v>
      </c>
      <c r="O500">
        <v>9.4499999999999993</v>
      </c>
      <c r="P500">
        <v>7.7</v>
      </c>
      <c r="Q500">
        <v>6</v>
      </c>
      <c r="R500">
        <v>2.08</v>
      </c>
      <c r="S500">
        <v>1</v>
      </c>
      <c r="T500" t="b">
        <v>0</v>
      </c>
      <c r="U500">
        <f>IFERROR(SUM(Table1[[#This Row],[Total day minutes]],Table1[[#This Row],[Total eve minutes]],Table1[[#This Row],[Total night minutes]],Table1[[#This Row],[Total intl minutes]]),0)</f>
        <v>545.5</v>
      </c>
      <c r="V500">
        <f>SUM(Table1[[#This Row],[Total intl charge]],Table1[[#This Row],[Total night charge]],Table1[[#This Row],[Total eve charge]],Table1[[#This Row],[Total day charge]])</f>
        <v>51.41</v>
      </c>
      <c r="W500">
        <f>SUM(Table1[[#This Row],[Total intl calls]],Table1[[#This Row],[Total night calls]],Table1[[#This Row],[Total eve calls]],Table1[[#This Row],[Total day calls]])</f>
        <v>361</v>
      </c>
      <c r="X500" t="str" cm="1">
        <f t="array" ref="X500">_xlfn.IFS(Table1[[#This Row],[Customer service calls]]&gt;=4,"High risk",Table1[[#This Row],[Customer service calls]]&gt;=2,"Medium risk",TRUE,"Low risk")</f>
        <v>Low risk</v>
      </c>
      <c r="Y500" t="str" cm="1">
        <f t="array" ref="Y500">IFERROR(_xlfn.IFS(Table1[[#This Row],[Total usage(Min)]]&gt;=AVERAGE(U:U)*1.1,"High risk",Table1[[#This Row],[Total usage(Min)]]&lt;= AVERAGE(U:U)*0.9,"Low risk",TRUE,"Medium risk"),"N/A")</f>
        <v>Medium risk</v>
      </c>
      <c r="Z500" t="str" cm="1">
        <f t="array" ref="Z500">IFERROR(_xlfn.IFS(Table1[[#This Row],[Total charges]]&gt;=AVERAGE(V:V)*1.1,"High risk",Table1[[#This Row],[Total charges]]&lt;=AVERAGE(V:V)*0.9,"Low risk",TRUE,"Medium risk"),"N/A")</f>
        <v>Low risk</v>
      </c>
      <c r="AA5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00" t="str" cm="1">
        <f t="array" ref="AC500">_xlfn.IFS(
AND(Table1[[#This Row],[Customer service risk level]]="High risk", Table1[[#This Row],[Intl usage behaviour]]="Unplanned Usage"),"High Risk",
OR(Table1[[#This Row],[Customer service risk level]]="Medium risk", Table1[[#This Row],[Charges risk level]]="High risk "),"Medium Risk",
TRUE,"Low Risk"
)</f>
        <v>Low Risk</v>
      </c>
    </row>
    <row r="501" spans="1:29" x14ac:dyDescent="0.25">
      <c r="A501" t="s">
        <v>63</v>
      </c>
      <c r="B501">
        <v>183</v>
      </c>
      <c r="C501">
        <v>510</v>
      </c>
      <c r="D501" t="s">
        <v>21</v>
      </c>
      <c r="E501" t="s">
        <v>21</v>
      </c>
      <c r="F501">
        <v>0</v>
      </c>
      <c r="G501">
        <v>108.3</v>
      </c>
      <c r="H501">
        <v>87</v>
      </c>
      <c r="I501">
        <v>18.41</v>
      </c>
      <c r="J501">
        <v>183.6</v>
      </c>
      <c r="K501">
        <v>116</v>
      </c>
      <c r="L501">
        <v>15.61</v>
      </c>
      <c r="M501">
        <v>176.6</v>
      </c>
      <c r="N501">
        <v>109</v>
      </c>
      <c r="O501">
        <v>7.95</v>
      </c>
      <c r="P501">
        <v>13.5</v>
      </c>
      <c r="Q501">
        <v>2</v>
      </c>
      <c r="R501">
        <v>3.65</v>
      </c>
      <c r="S501">
        <v>0</v>
      </c>
      <c r="T501" t="b">
        <v>0</v>
      </c>
      <c r="U501">
        <f>IFERROR(SUM(Table1[[#This Row],[Total day minutes]],Table1[[#This Row],[Total eve minutes]],Table1[[#This Row],[Total night minutes]],Table1[[#This Row],[Total intl minutes]]),0)</f>
        <v>482</v>
      </c>
      <c r="V501">
        <f>SUM(Table1[[#This Row],[Total intl charge]],Table1[[#This Row],[Total night charge]],Table1[[#This Row],[Total eve charge]],Table1[[#This Row],[Total day charge]])</f>
        <v>45.620000000000005</v>
      </c>
      <c r="W501">
        <f>SUM(Table1[[#This Row],[Total intl calls]],Table1[[#This Row],[Total night calls]],Table1[[#This Row],[Total eve calls]],Table1[[#This Row],[Total day calls]])</f>
        <v>314</v>
      </c>
      <c r="X501" t="str" cm="1">
        <f t="array" ref="X501">_xlfn.IFS(Table1[[#This Row],[Customer service calls]]&gt;=4,"High risk",Table1[[#This Row],[Customer service calls]]&gt;=2,"Medium risk",TRUE,"Low risk")</f>
        <v>Low risk</v>
      </c>
      <c r="Y501" t="str" cm="1">
        <f t="array" ref="Y501">IFERROR(_xlfn.IFS(Table1[[#This Row],[Total usage(Min)]]&gt;=AVERAGE(U:U)*1.1,"High risk",Table1[[#This Row],[Total usage(Min)]]&lt;= AVERAGE(U:U)*0.9,"Low risk",TRUE,"Medium risk"),"N/A")</f>
        <v>Low risk</v>
      </c>
      <c r="Z501" t="str" cm="1">
        <f t="array" ref="Z501">IFERROR(_xlfn.IFS(Table1[[#This Row],[Total charges]]&gt;=AVERAGE(V:V)*1.1,"High risk",Table1[[#This Row],[Total charges]]&lt;=AVERAGE(V:V)*0.9,"Low risk",TRUE,"Medium risk"),"N/A")</f>
        <v>Low risk</v>
      </c>
      <c r="AA5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1" t="str" cm="1">
        <f t="array" ref="AC501">_xlfn.IFS(
AND(Table1[[#This Row],[Customer service risk level]]="High risk", Table1[[#This Row],[Intl usage behaviour]]="Unplanned Usage"),"High Risk",
OR(Table1[[#This Row],[Customer service risk level]]="Medium risk", Table1[[#This Row],[Charges risk level]]="High risk "),"Medium Risk",
TRUE,"Low Risk"
)</f>
        <v>Low Risk</v>
      </c>
    </row>
    <row r="502" spans="1:29" x14ac:dyDescent="0.25">
      <c r="A502" t="s">
        <v>36</v>
      </c>
      <c r="B502">
        <v>58</v>
      </c>
      <c r="C502">
        <v>415</v>
      </c>
      <c r="D502" t="s">
        <v>21</v>
      </c>
      <c r="E502" t="s">
        <v>21</v>
      </c>
      <c r="F502">
        <v>0</v>
      </c>
      <c r="G502">
        <v>247.2</v>
      </c>
      <c r="H502">
        <v>116</v>
      </c>
      <c r="I502">
        <v>42.02</v>
      </c>
      <c r="J502">
        <v>303.7</v>
      </c>
      <c r="K502">
        <v>103</v>
      </c>
      <c r="L502">
        <v>25.81</v>
      </c>
      <c r="M502">
        <v>105.4</v>
      </c>
      <c r="N502">
        <v>94</v>
      </c>
      <c r="O502">
        <v>4.74</v>
      </c>
      <c r="P502">
        <v>9.3000000000000007</v>
      </c>
      <c r="Q502">
        <v>2</v>
      </c>
      <c r="R502">
        <v>2.5099999999999998</v>
      </c>
      <c r="S502">
        <v>2</v>
      </c>
      <c r="T502" t="b">
        <v>1</v>
      </c>
      <c r="U502">
        <f>IFERROR(SUM(Table1[[#This Row],[Total day minutes]],Table1[[#This Row],[Total eve minutes]],Table1[[#This Row],[Total night minutes]],Table1[[#This Row],[Total intl minutes]]),0)</f>
        <v>665.59999999999991</v>
      </c>
      <c r="V502">
        <f>SUM(Table1[[#This Row],[Total intl charge]],Table1[[#This Row],[Total night charge]],Table1[[#This Row],[Total eve charge]],Table1[[#This Row],[Total day charge]])</f>
        <v>75.080000000000013</v>
      </c>
      <c r="W502">
        <f>SUM(Table1[[#This Row],[Total intl calls]],Table1[[#This Row],[Total night calls]],Table1[[#This Row],[Total eve calls]],Table1[[#This Row],[Total day calls]])</f>
        <v>315</v>
      </c>
      <c r="X502" t="str" cm="1">
        <f t="array" ref="X502">_xlfn.IFS(Table1[[#This Row],[Customer service calls]]&gt;=4,"High risk",Table1[[#This Row],[Customer service calls]]&gt;=2,"Medium risk",TRUE,"Low risk")</f>
        <v>Medium risk</v>
      </c>
      <c r="Y502" t="str" cm="1">
        <f t="array" ref="Y502">IFERROR(_xlfn.IFS(Table1[[#This Row],[Total usage(Min)]]&gt;=AVERAGE(U:U)*1.1,"High risk",Table1[[#This Row],[Total usage(Min)]]&lt;= AVERAGE(U:U)*0.9,"Low risk",TRUE,"Medium risk"),"N/A")</f>
        <v>High risk</v>
      </c>
      <c r="Z502" t="str" cm="1">
        <f t="array" ref="Z502">IFERROR(_xlfn.IFS(Table1[[#This Row],[Total charges]]&gt;=AVERAGE(V:V)*1.1,"High risk",Table1[[#This Row],[Total charges]]&lt;=AVERAGE(V:V)*0.9,"Low risk",TRUE,"Medium risk"),"N/A")</f>
        <v>High risk</v>
      </c>
      <c r="AA5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2" t="str" cm="1">
        <f t="array" ref="AC502">_xlfn.IFS(
AND(Table1[[#This Row],[Customer service risk level]]="High risk", Table1[[#This Row],[Intl usage behaviour]]="Unplanned Usage"),"High Risk",
OR(Table1[[#This Row],[Customer service risk level]]="Medium risk", Table1[[#This Row],[Charges risk level]]="High risk "),"Medium Risk",
TRUE,"Low Risk"
)</f>
        <v>Medium Risk</v>
      </c>
    </row>
    <row r="503" spans="1:29" x14ac:dyDescent="0.25">
      <c r="A503" t="s">
        <v>70</v>
      </c>
      <c r="B503">
        <v>123</v>
      </c>
      <c r="C503">
        <v>415</v>
      </c>
      <c r="D503" t="s">
        <v>21</v>
      </c>
      <c r="E503" t="s">
        <v>21</v>
      </c>
      <c r="F503">
        <v>0</v>
      </c>
      <c r="G503">
        <v>166.9</v>
      </c>
      <c r="H503">
        <v>98</v>
      </c>
      <c r="I503">
        <v>28.37</v>
      </c>
      <c r="J503">
        <v>221.8</v>
      </c>
      <c r="K503">
        <v>77</v>
      </c>
      <c r="L503">
        <v>18.850000000000001</v>
      </c>
      <c r="M503">
        <v>243.9</v>
      </c>
      <c r="N503">
        <v>114</v>
      </c>
      <c r="O503">
        <v>10.98</v>
      </c>
      <c r="P503">
        <v>12.8</v>
      </c>
      <c r="Q503">
        <v>4</v>
      </c>
      <c r="R503">
        <v>3.46</v>
      </c>
      <c r="S503">
        <v>3</v>
      </c>
      <c r="T503" t="b">
        <v>0</v>
      </c>
      <c r="U503">
        <f>IFERROR(SUM(Table1[[#This Row],[Total day minutes]],Table1[[#This Row],[Total eve minutes]],Table1[[#This Row],[Total night minutes]],Table1[[#This Row],[Total intl minutes]]),0)</f>
        <v>645.4</v>
      </c>
      <c r="V503">
        <f>SUM(Table1[[#This Row],[Total intl charge]],Table1[[#This Row],[Total night charge]],Table1[[#This Row],[Total eve charge]],Table1[[#This Row],[Total day charge]])</f>
        <v>61.660000000000011</v>
      </c>
      <c r="W503">
        <f>SUM(Table1[[#This Row],[Total intl calls]],Table1[[#This Row],[Total night calls]],Table1[[#This Row],[Total eve calls]],Table1[[#This Row],[Total day calls]])</f>
        <v>293</v>
      </c>
      <c r="X503" t="str" cm="1">
        <f t="array" ref="X503">_xlfn.IFS(Table1[[#This Row],[Customer service calls]]&gt;=4,"High risk",Table1[[#This Row],[Customer service calls]]&gt;=2,"Medium risk",TRUE,"Low risk")</f>
        <v>Medium risk</v>
      </c>
      <c r="Y503" t="str" cm="1">
        <f t="array" ref="Y503">IFERROR(_xlfn.IFS(Table1[[#This Row],[Total usage(Min)]]&gt;=AVERAGE(U:U)*1.1,"High risk",Table1[[#This Row],[Total usage(Min)]]&lt;= AVERAGE(U:U)*0.9,"Low risk",TRUE,"Medium risk"),"N/A")</f>
        <v>Medium risk</v>
      </c>
      <c r="Z503" t="str" cm="1">
        <f t="array" ref="Z503">IFERROR(_xlfn.IFS(Table1[[#This Row],[Total charges]]&gt;=AVERAGE(V:V)*1.1,"High risk",Table1[[#This Row],[Total charges]]&lt;=AVERAGE(V:V)*0.9,"Low risk",TRUE,"Medium risk"),"N/A")</f>
        <v>Medium risk</v>
      </c>
      <c r="AA5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3" t="str" cm="1">
        <f t="array" ref="AC503">_xlfn.IFS(
AND(Table1[[#This Row],[Customer service risk level]]="High risk", Table1[[#This Row],[Intl usage behaviour]]="Unplanned Usage"),"High Risk",
OR(Table1[[#This Row],[Customer service risk level]]="Medium risk", Table1[[#This Row],[Charges risk level]]="High risk "),"Medium Risk",
TRUE,"Low Risk"
)</f>
        <v>Medium Risk</v>
      </c>
    </row>
    <row r="504" spans="1:29" x14ac:dyDescent="0.25">
      <c r="A504" t="s">
        <v>72</v>
      </c>
      <c r="B504">
        <v>155</v>
      </c>
      <c r="C504">
        <v>510</v>
      </c>
      <c r="D504" t="s">
        <v>21</v>
      </c>
      <c r="E504" t="s">
        <v>21</v>
      </c>
      <c r="F504">
        <v>0</v>
      </c>
      <c r="G504">
        <v>71.2</v>
      </c>
      <c r="H504">
        <v>90</v>
      </c>
      <c r="I504">
        <v>12.1</v>
      </c>
      <c r="J504">
        <v>304.39999999999998</v>
      </c>
      <c r="K504">
        <v>119</v>
      </c>
      <c r="L504">
        <v>25.87</v>
      </c>
      <c r="M504">
        <v>183.3</v>
      </c>
      <c r="N504">
        <v>103</v>
      </c>
      <c r="O504">
        <v>8.25</v>
      </c>
      <c r="P504">
        <v>8.6</v>
      </c>
      <c r="Q504">
        <v>4</v>
      </c>
      <c r="R504">
        <v>2.3199999999999998</v>
      </c>
      <c r="S504">
        <v>0</v>
      </c>
      <c r="T504" t="b">
        <v>0</v>
      </c>
      <c r="U504">
        <f>IFERROR(SUM(Table1[[#This Row],[Total day minutes]],Table1[[#This Row],[Total eve minutes]],Table1[[#This Row],[Total night minutes]],Table1[[#This Row],[Total intl minutes]]),0)</f>
        <v>567.5</v>
      </c>
      <c r="V504">
        <f>SUM(Table1[[#This Row],[Total intl charge]],Table1[[#This Row],[Total night charge]],Table1[[#This Row],[Total eve charge]],Table1[[#This Row],[Total day charge]])</f>
        <v>48.54</v>
      </c>
      <c r="W504">
        <f>SUM(Table1[[#This Row],[Total intl calls]],Table1[[#This Row],[Total night calls]],Table1[[#This Row],[Total eve calls]],Table1[[#This Row],[Total day calls]])</f>
        <v>316</v>
      </c>
      <c r="X504" t="str" cm="1">
        <f t="array" ref="X504">_xlfn.IFS(Table1[[#This Row],[Customer service calls]]&gt;=4,"High risk",Table1[[#This Row],[Customer service calls]]&gt;=2,"Medium risk",TRUE,"Low risk")</f>
        <v>Low risk</v>
      </c>
      <c r="Y504" t="str" cm="1">
        <f t="array" ref="Y504">IFERROR(_xlfn.IFS(Table1[[#This Row],[Total usage(Min)]]&gt;=AVERAGE(U:U)*1.1,"High risk",Table1[[#This Row],[Total usage(Min)]]&lt;= AVERAGE(U:U)*0.9,"Low risk",TRUE,"Medium risk"),"N/A")</f>
        <v>Medium risk</v>
      </c>
      <c r="Z504" t="str" cm="1">
        <f t="array" ref="Z504">IFERROR(_xlfn.IFS(Table1[[#This Row],[Total charges]]&gt;=AVERAGE(V:V)*1.1,"High risk",Table1[[#This Row],[Total charges]]&lt;=AVERAGE(V:V)*0.9,"Low risk",TRUE,"Medium risk"),"N/A")</f>
        <v>Low risk</v>
      </c>
      <c r="AA5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4" t="str" cm="1">
        <f t="array" ref="AC504">_xlfn.IFS(
AND(Table1[[#This Row],[Customer service risk level]]="High risk", Table1[[#This Row],[Intl usage behaviour]]="Unplanned Usage"),"High Risk",
OR(Table1[[#This Row],[Customer service risk level]]="Medium risk", Table1[[#This Row],[Charges risk level]]="High risk "),"Medium Risk",
TRUE,"Low Risk"
)</f>
        <v>Low Risk</v>
      </c>
    </row>
    <row r="505" spans="1:29" x14ac:dyDescent="0.25">
      <c r="A505" t="s">
        <v>32</v>
      </c>
      <c r="B505">
        <v>53</v>
      </c>
      <c r="C505">
        <v>415</v>
      </c>
      <c r="D505" t="s">
        <v>21</v>
      </c>
      <c r="E505" t="s">
        <v>21</v>
      </c>
      <c r="F505">
        <v>0</v>
      </c>
      <c r="G505">
        <v>164.1</v>
      </c>
      <c r="H505">
        <v>106</v>
      </c>
      <c r="I505">
        <v>27.9</v>
      </c>
      <c r="J505">
        <v>206</v>
      </c>
      <c r="K505">
        <v>56</v>
      </c>
      <c r="L505">
        <v>17.510000000000002</v>
      </c>
      <c r="M505">
        <v>194.7</v>
      </c>
      <c r="N505">
        <v>124</v>
      </c>
      <c r="O505">
        <v>8.76</v>
      </c>
      <c r="P505">
        <v>11.4</v>
      </c>
      <c r="Q505">
        <v>2</v>
      </c>
      <c r="R505">
        <v>3.08</v>
      </c>
      <c r="S505">
        <v>1</v>
      </c>
      <c r="T505" t="b">
        <v>0</v>
      </c>
      <c r="U505">
        <f>IFERROR(SUM(Table1[[#This Row],[Total day minutes]],Table1[[#This Row],[Total eve minutes]],Table1[[#This Row],[Total night minutes]],Table1[[#This Row],[Total intl minutes]]),0)</f>
        <v>576.19999999999993</v>
      </c>
      <c r="V505">
        <f>SUM(Table1[[#This Row],[Total intl charge]],Table1[[#This Row],[Total night charge]],Table1[[#This Row],[Total eve charge]],Table1[[#This Row],[Total day charge]])</f>
        <v>57.25</v>
      </c>
      <c r="W505">
        <f>SUM(Table1[[#This Row],[Total intl calls]],Table1[[#This Row],[Total night calls]],Table1[[#This Row],[Total eve calls]],Table1[[#This Row],[Total day calls]])</f>
        <v>288</v>
      </c>
      <c r="X505" t="str" cm="1">
        <f t="array" ref="X505">_xlfn.IFS(Table1[[#This Row],[Customer service calls]]&gt;=4,"High risk",Table1[[#This Row],[Customer service calls]]&gt;=2,"Medium risk",TRUE,"Low risk")</f>
        <v>Low risk</v>
      </c>
      <c r="Y505" t="str" cm="1">
        <f t="array" ref="Y505">IFERROR(_xlfn.IFS(Table1[[#This Row],[Total usage(Min)]]&gt;=AVERAGE(U:U)*1.1,"High risk",Table1[[#This Row],[Total usage(Min)]]&lt;= AVERAGE(U:U)*0.9,"Low risk",TRUE,"Medium risk"),"N/A")</f>
        <v>Medium risk</v>
      </c>
      <c r="Z505" t="str" cm="1">
        <f t="array" ref="Z505">IFERROR(_xlfn.IFS(Table1[[#This Row],[Total charges]]&gt;=AVERAGE(V:V)*1.1,"High risk",Table1[[#This Row],[Total charges]]&lt;=AVERAGE(V:V)*0.9,"Low risk",TRUE,"Medium risk"),"N/A")</f>
        <v>Medium risk</v>
      </c>
      <c r="AA5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5" t="str" cm="1">
        <f t="array" ref="AC505">_xlfn.IFS(
AND(Table1[[#This Row],[Customer service risk level]]="High risk", Table1[[#This Row],[Intl usage behaviour]]="Unplanned Usage"),"High Risk",
OR(Table1[[#This Row],[Customer service risk level]]="Medium risk", Table1[[#This Row],[Charges risk level]]="High risk "),"Medium Risk",
TRUE,"Low Risk"
)</f>
        <v>Low Risk</v>
      </c>
    </row>
    <row r="506" spans="1:29" x14ac:dyDescent="0.25">
      <c r="A506" t="s">
        <v>34</v>
      </c>
      <c r="B506">
        <v>101</v>
      </c>
      <c r="C506">
        <v>415</v>
      </c>
      <c r="D506" t="s">
        <v>21</v>
      </c>
      <c r="E506" t="s">
        <v>21</v>
      </c>
      <c r="F506">
        <v>0</v>
      </c>
      <c r="G506">
        <v>154.4</v>
      </c>
      <c r="H506">
        <v>130</v>
      </c>
      <c r="I506">
        <v>26.25</v>
      </c>
      <c r="J506">
        <v>217.2</v>
      </c>
      <c r="K506">
        <v>101</v>
      </c>
      <c r="L506">
        <v>18.46</v>
      </c>
      <c r="M506">
        <v>185.4</v>
      </c>
      <c r="N506">
        <v>52</v>
      </c>
      <c r="O506">
        <v>8.34</v>
      </c>
      <c r="P506">
        <v>13.9</v>
      </c>
      <c r="Q506">
        <v>4</v>
      </c>
      <c r="R506">
        <v>3.75</v>
      </c>
      <c r="S506">
        <v>1</v>
      </c>
      <c r="T506" t="b">
        <v>0</v>
      </c>
      <c r="U506">
        <f>IFERROR(SUM(Table1[[#This Row],[Total day minutes]],Table1[[#This Row],[Total eve minutes]],Table1[[#This Row],[Total night minutes]],Table1[[#This Row],[Total intl minutes]]),0)</f>
        <v>570.9</v>
      </c>
      <c r="V506">
        <f>SUM(Table1[[#This Row],[Total intl charge]],Table1[[#This Row],[Total night charge]],Table1[[#This Row],[Total eve charge]],Table1[[#This Row],[Total day charge]])</f>
        <v>56.8</v>
      </c>
      <c r="W506">
        <f>SUM(Table1[[#This Row],[Total intl calls]],Table1[[#This Row],[Total night calls]],Table1[[#This Row],[Total eve calls]],Table1[[#This Row],[Total day calls]])</f>
        <v>287</v>
      </c>
      <c r="X506" t="str" cm="1">
        <f t="array" ref="X506">_xlfn.IFS(Table1[[#This Row],[Customer service calls]]&gt;=4,"High risk",Table1[[#This Row],[Customer service calls]]&gt;=2,"Medium risk",TRUE,"Low risk")</f>
        <v>Low risk</v>
      </c>
      <c r="Y506" t="str" cm="1">
        <f t="array" ref="Y506">IFERROR(_xlfn.IFS(Table1[[#This Row],[Total usage(Min)]]&gt;=AVERAGE(U:U)*1.1,"High risk",Table1[[#This Row],[Total usage(Min)]]&lt;= AVERAGE(U:U)*0.9,"Low risk",TRUE,"Medium risk"),"N/A")</f>
        <v>Medium risk</v>
      </c>
      <c r="Z506" t="str" cm="1">
        <f t="array" ref="Z506">IFERROR(_xlfn.IFS(Table1[[#This Row],[Total charges]]&gt;=AVERAGE(V:V)*1.1,"High risk",Table1[[#This Row],[Total charges]]&lt;=AVERAGE(V:V)*0.9,"Low risk",TRUE,"Medium risk"),"N/A")</f>
        <v>Medium risk</v>
      </c>
      <c r="AA5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6" t="str" cm="1">
        <f t="array" ref="AC506">_xlfn.IFS(
AND(Table1[[#This Row],[Customer service risk level]]="High risk", Table1[[#This Row],[Intl usage behaviour]]="Unplanned Usage"),"High Risk",
OR(Table1[[#This Row],[Customer service risk level]]="Medium risk", Table1[[#This Row],[Charges risk level]]="High risk "),"Medium Risk",
TRUE,"Low Risk"
)</f>
        <v>Low Risk</v>
      </c>
    </row>
    <row r="507" spans="1:29" x14ac:dyDescent="0.25">
      <c r="A507" t="s">
        <v>68</v>
      </c>
      <c r="B507">
        <v>122</v>
      </c>
      <c r="C507">
        <v>408</v>
      </c>
      <c r="D507" t="s">
        <v>21</v>
      </c>
      <c r="E507" t="s">
        <v>21</v>
      </c>
      <c r="F507">
        <v>0</v>
      </c>
      <c r="G507">
        <v>231.2</v>
      </c>
      <c r="H507">
        <v>141</v>
      </c>
      <c r="I507">
        <v>39.299999999999997</v>
      </c>
      <c r="J507">
        <v>267.8</v>
      </c>
      <c r="K507">
        <v>136</v>
      </c>
      <c r="L507">
        <v>22.76</v>
      </c>
      <c r="M507">
        <v>240.3</v>
      </c>
      <c r="N507">
        <v>100</v>
      </c>
      <c r="O507">
        <v>10.81</v>
      </c>
      <c r="P507">
        <v>8.8000000000000007</v>
      </c>
      <c r="Q507">
        <v>5</v>
      </c>
      <c r="R507">
        <v>2.38</v>
      </c>
      <c r="S507">
        <v>1</v>
      </c>
      <c r="T507" t="b">
        <v>1</v>
      </c>
      <c r="U507">
        <f>IFERROR(SUM(Table1[[#This Row],[Total day minutes]],Table1[[#This Row],[Total eve minutes]],Table1[[#This Row],[Total night minutes]],Table1[[#This Row],[Total intl minutes]]),0)</f>
        <v>748.09999999999991</v>
      </c>
      <c r="V507">
        <f>SUM(Table1[[#This Row],[Total intl charge]],Table1[[#This Row],[Total night charge]],Table1[[#This Row],[Total eve charge]],Table1[[#This Row],[Total day charge]])</f>
        <v>75.25</v>
      </c>
      <c r="W507">
        <f>SUM(Table1[[#This Row],[Total intl calls]],Table1[[#This Row],[Total night calls]],Table1[[#This Row],[Total eve calls]],Table1[[#This Row],[Total day calls]])</f>
        <v>382</v>
      </c>
      <c r="X507" t="str" cm="1">
        <f t="array" ref="X507">_xlfn.IFS(Table1[[#This Row],[Customer service calls]]&gt;=4,"High risk",Table1[[#This Row],[Customer service calls]]&gt;=2,"Medium risk",TRUE,"Low risk")</f>
        <v>Low risk</v>
      </c>
      <c r="Y507" t="str" cm="1">
        <f t="array" ref="Y507">IFERROR(_xlfn.IFS(Table1[[#This Row],[Total usage(Min)]]&gt;=AVERAGE(U:U)*1.1,"High risk",Table1[[#This Row],[Total usage(Min)]]&lt;= AVERAGE(U:U)*0.9,"Low risk",TRUE,"Medium risk"),"N/A")</f>
        <v>High risk</v>
      </c>
      <c r="Z507" t="str" cm="1">
        <f t="array" ref="Z507">IFERROR(_xlfn.IFS(Table1[[#This Row],[Total charges]]&gt;=AVERAGE(V:V)*1.1,"High risk",Table1[[#This Row],[Total charges]]&lt;=AVERAGE(V:V)*0.9,"Low risk",TRUE,"Medium risk"),"N/A")</f>
        <v>High risk</v>
      </c>
      <c r="AA5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7" t="str" cm="1">
        <f t="array" ref="AC507">_xlfn.IFS(
AND(Table1[[#This Row],[Customer service risk level]]="High risk", Table1[[#This Row],[Intl usage behaviour]]="Unplanned Usage"),"High Risk",
OR(Table1[[#This Row],[Customer service risk level]]="Medium risk", Table1[[#This Row],[Charges risk level]]="High risk "),"Medium Risk",
TRUE,"Low Risk"
)</f>
        <v>Low Risk</v>
      </c>
    </row>
    <row r="508" spans="1:29" x14ac:dyDescent="0.25">
      <c r="A508" t="s">
        <v>30</v>
      </c>
      <c r="B508">
        <v>163</v>
      </c>
      <c r="C508">
        <v>415</v>
      </c>
      <c r="D508" t="s">
        <v>21</v>
      </c>
      <c r="E508" t="s">
        <v>21</v>
      </c>
      <c r="F508">
        <v>0</v>
      </c>
      <c r="G508">
        <v>202.9</v>
      </c>
      <c r="H508">
        <v>100</v>
      </c>
      <c r="I508">
        <v>34.49</v>
      </c>
      <c r="J508">
        <v>178.6</v>
      </c>
      <c r="K508">
        <v>46</v>
      </c>
      <c r="L508">
        <v>15.18</v>
      </c>
      <c r="M508">
        <v>203.8</v>
      </c>
      <c r="N508">
        <v>116</v>
      </c>
      <c r="O508">
        <v>9.17</v>
      </c>
      <c r="P508">
        <v>12.8</v>
      </c>
      <c r="Q508">
        <v>3</v>
      </c>
      <c r="R508">
        <v>3.46</v>
      </c>
      <c r="S508">
        <v>5</v>
      </c>
      <c r="T508" t="b">
        <v>0</v>
      </c>
      <c r="U508">
        <f>IFERROR(SUM(Table1[[#This Row],[Total day minutes]],Table1[[#This Row],[Total eve minutes]],Table1[[#This Row],[Total night minutes]],Table1[[#This Row],[Total intl minutes]]),0)</f>
        <v>598.09999999999991</v>
      </c>
      <c r="V508">
        <f>SUM(Table1[[#This Row],[Total intl charge]],Table1[[#This Row],[Total night charge]],Table1[[#This Row],[Total eve charge]],Table1[[#This Row],[Total day charge]])</f>
        <v>62.3</v>
      </c>
      <c r="W508">
        <f>SUM(Table1[[#This Row],[Total intl calls]],Table1[[#This Row],[Total night calls]],Table1[[#This Row],[Total eve calls]],Table1[[#This Row],[Total day calls]])</f>
        <v>265</v>
      </c>
      <c r="X508" t="str" cm="1">
        <f t="array" ref="X508">_xlfn.IFS(Table1[[#This Row],[Customer service calls]]&gt;=4,"High risk",Table1[[#This Row],[Customer service calls]]&gt;=2,"Medium risk",TRUE,"Low risk")</f>
        <v>High risk</v>
      </c>
      <c r="Y508" t="str" cm="1">
        <f t="array" ref="Y508">IFERROR(_xlfn.IFS(Table1[[#This Row],[Total usage(Min)]]&gt;=AVERAGE(U:U)*1.1,"High risk",Table1[[#This Row],[Total usage(Min)]]&lt;= AVERAGE(U:U)*0.9,"Low risk",TRUE,"Medium risk"),"N/A")</f>
        <v>Medium risk</v>
      </c>
      <c r="Z508" t="str" cm="1">
        <f t="array" ref="Z508">IFERROR(_xlfn.IFS(Table1[[#This Row],[Total charges]]&gt;=AVERAGE(V:V)*1.1,"High risk",Table1[[#This Row],[Total charges]]&lt;=AVERAGE(V:V)*0.9,"Low risk",TRUE,"Medium risk"),"N/A")</f>
        <v>Medium risk</v>
      </c>
      <c r="AA5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8" t="str" cm="1">
        <f t="array" ref="AC508">_xlfn.IFS(
AND(Table1[[#This Row],[Customer service risk level]]="High risk", Table1[[#This Row],[Intl usage behaviour]]="Unplanned Usage"),"High Risk",
OR(Table1[[#This Row],[Customer service risk level]]="Medium risk", Table1[[#This Row],[Charges risk level]]="High risk "),"Medium Risk",
TRUE,"Low Risk"
)</f>
        <v>High Risk</v>
      </c>
    </row>
    <row r="509" spans="1:29" x14ac:dyDescent="0.25">
      <c r="A509" t="s">
        <v>68</v>
      </c>
      <c r="B509">
        <v>120</v>
      </c>
      <c r="C509">
        <v>415</v>
      </c>
      <c r="D509" t="s">
        <v>21</v>
      </c>
      <c r="E509" t="s">
        <v>21</v>
      </c>
      <c r="F509">
        <v>0</v>
      </c>
      <c r="G509">
        <v>177.2</v>
      </c>
      <c r="H509">
        <v>88</v>
      </c>
      <c r="I509">
        <v>30.12</v>
      </c>
      <c r="J509">
        <v>270.39999999999998</v>
      </c>
      <c r="K509">
        <v>99</v>
      </c>
      <c r="L509">
        <v>22.98</v>
      </c>
      <c r="M509">
        <v>231.5</v>
      </c>
      <c r="N509">
        <v>90</v>
      </c>
      <c r="O509">
        <v>10.42</v>
      </c>
      <c r="P509">
        <v>14</v>
      </c>
      <c r="Q509">
        <v>2</v>
      </c>
      <c r="R509">
        <v>3.78</v>
      </c>
      <c r="S509">
        <v>2</v>
      </c>
      <c r="T509" t="b">
        <v>0</v>
      </c>
      <c r="U509">
        <f>IFERROR(SUM(Table1[[#This Row],[Total day minutes]],Table1[[#This Row],[Total eve minutes]],Table1[[#This Row],[Total night minutes]],Table1[[#This Row],[Total intl minutes]]),0)</f>
        <v>693.09999999999991</v>
      </c>
      <c r="V509">
        <f>SUM(Table1[[#This Row],[Total intl charge]],Table1[[#This Row],[Total night charge]],Table1[[#This Row],[Total eve charge]],Table1[[#This Row],[Total day charge]])</f>
        <v>67.3</v>
      </c>
      <c r="W509">
        <f>SUM(Table1[[#This Row],[Total intl calls]],Table1[[#This Row],[Total night calls]],Table1[[#This Row],[Total eve calls]],Table1[[#This Row],[Total day calls]])</f>
        <v>279</v>
      </c>
      <c r="X509" t="str" cm="1">
        <f t="array" ref="X509">_xlfn.IFS(Table1[[#This Row],[Customer service calls]]&gt;=4,"High risk",Table1[[#This Row],[Customer service calls]]&gt;=2,"Medium risk",TRUE,"Low risk")</f>
        <v>Medium risk</v>
      </c>
      <c r="Y509" t="str" cm="1">
        <f t="array" ref="Y509">IFERROR(_xlfn.IFS(Table1[[#This Row],[Total usage(Min)]]&gt;=AVERAGE(U:U)*1.1,"High risk",Table1[[#This Row],[Total usage(Min)]]&lt;= AVERAGE(U:U)*0.9,"Low risk",TRUE,"Medium risk"),"N/A")</f>
        <v>High risk</v>
      </c>
      <c r="Z509" t="str" cm="1">
        <f t="array" ref="Z509">IFERROR(_xlfn.IFS(Table1[[#This Row],[Total charges]]&gt;=AVERAGE(V:V)*1.1,"High risk",Table1[[#This Row],[Total charges]]&lt;=AVERAGE(V:V)*0.9,"Low risk",TRUE,"Medium risk"),"N/A")</f>
        <v>High risk</v>
      </c>
      <c r="AA5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0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09" t="str" cm="1">
        <f t="array" ref="AC509">_xlfn.IFS(
AND(Table1[[#This Row],[Customer service risk level]]="High risk", Table1[[#This Row],[Intl usage behaviour]]="Unplanned Usage"),"High Risk",
OR(Table1[[#This Row],[Customer service risk level]]="Medium risk", Table1[[#This Row],[Charges risk level]]="High risk "),"Medium Risk",
TRUE,"Low Risk"
)</f>
        <v>Medium Risk</v>
      </c>
    </row>
    <row r="510" spans="1:29" x14ac:dyDescent="0.25">
      <c r="A510" t="s">
        <v>70</v>
      </c>
      <c r="B510">
        <v>196</v>
      </c>
      <c r="C510">
        <v>415</v>
      </c>
      <c r="D510" t="s">
        <v>21</v>
      </c>
      <c r="E510" t="s">
        <v>21</v>
      </c>
      <c r="F510">
        <v>0</v>
      </c>
      <c r="G510">
        <v>133.1</v>
      </c>
      <c r="H510">
        <v>80</v>
      </c>
      <c r="I510">
        <v>22.63</v>
      </c>
      <c r="J510">
        <v>206.5</v>
      </c>
      <c r="K510">
        <v>120</v>
      </c>
      <c r="L510">
        <v>17.55</v>
      </c>
      <c r="M510">
        <v>221.6</v>
      </c>
      <c r="N510">
        <v>96</v>
      </c>
      <c r="O510">
        <v>9.9700000000000006</v>
      </c>
      <c r="P510">
        <v>10.3</v>
      </c>
      <c r="Q510">
        <v>8</v>
      </c>
      <c r="R510">
        <v>2.78</v>
      </c>
      <c r="S510">
        <v>1</v>
      </c>
      <c r="T510" t="b">
        <v>0</v>
      </c>
      <c r="U510">
        <f>IFERROR(SUM(Table1[[#This Row],[Total day minutes]],Table1[[#This Row],[Total eve minutes]],Table1[[#This Row],[Total night minutes]],Table1[[#This Row],[Total intl minutes]]),0)</f>
        <v>571.5</v>
      </c>
      <c r="V510">
        <f>SUM(Table1[[#This Row],[Total intl charge]],Table1[[#This Row],[Total night charge]],Table1[[#This Row],[Total eve charge]],Table1[[#This Row],[Total day charge]])</f>
        <v>52.93</v>
      </c>
      <c r="W510">
        <f>SUM(Table1[[#This Row],[Total intl calls]],Table1[[#This Row],[Total night calls]],Table1[[#This Row],[Total eve calls]],Table1[[#This Row],[Total day calls]])</f>
        <v>304</v>
      </c>
      <c r="X510" t="str" cm="1">
        <f t="array" ref="X510">_xlfn.IFS(Table1[[#This Row],[Customer service calls]]&gt;=4,"High risk",Table1[[#This Row],[Customer service calls]]&gt;=2,"Medium risk",TRUE,"Low risk")</f>
        <v>Low risk</v>
      </c>
      <c r="Y510" t="str" cm="1">
        <f t="array" ref="Y510">IFERROR(_xlfn.IFS(Table1[[#This Row],[Total usage(Min)]]&gt;=AVERAGE(U:U)*1.1,"High risk",Table1[[#This Row],[Total usage(Min)]]&lt;= AVERAGE(U:U)*0.9,"Low risk",TRUE,"Medium risk"),"N/A")</f>
        <v>Medium risk</v>
      </c>
      <c r="Z510" t="str" cm="1">
        <f t="array" ref="Z510">IFERROR(_xlfn.IFS(Table1[[#This Row],[Total charges]]&gt;=AVERAGE(V:V)*1.1,"High risk",Table1[[#This Row],[Total charges]]&lt;=AVERAGE(V:V)*0.9,"Low risk",TRUE,"Medium risk"),"N/A")</f>
        <v>Low risk</v>
      </c>
      <c r="AA5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0" t="str" cm="1">
        <f t="array" ref="AC510">_xlfn.IFS(
AND(Table1[[#This Row],[Customer service risk level]]="High risk", Table1[[#This Row],[Intl usage behaviour]]="Unplanned Usage"),"High Risk",
OR(Table1[[#This Row],[Customer service risk level]]="Medium risk", Table1[[#This Row],[Charges risk level]]="High risk "),"Medium Risk",
TRUE,"Low Risk"
)</f>
        <v>Low Risk</v>
      </c>
    </row>
    <row r="511" spans="1:29" x14ac:dyDescent="0.25">
      <c r="A511" t="s">
        <v>41</v>
      </c>
      <c r="B511">
        <v>147</v>
      </c>
      <c r="C511">
        <v>415</v>
      </c>
      <c r="D511" t="s">
        <v>21</v>
      </c>
      <c r="E511" t="s">
        <v>27</v>
      </c>
      <c r="F511">
        <v>38</v>
      </c>
      <c r="G511">
        <v>243.4</v>
      </c>
      <c r="H511">
        <v>126</v>
      </c>
      <c r="I511">
        <v>41.38</v>
      </c>
      <c r="J511">
        <v>273.8</v>
      </c>
      <c r="K511">
        <v>109</v>
      </c>
      <c r="L511">
        <v>23.27</v>
      </c>
      <c r="M511">
        <v>282.89999999999998</v>
      </c>
      <c r="N511">
        <v>91</v>
      </c>
      <c r="O511">
        <v>12.73</v>
      </c>
      <c r="P511">
        <v>14.1</v>
      </c>
      <c r="Q511">
        <v>8</v>
      </c>
      <c r="R511">
        <v>3.81</v>
      </c>
      <c r="S511">
        <v>2</v>
      </c>
      <c r="T511" t="b">
        <v>0</v>
      </c>
      <c r="U511">
        <f>IFERROR(SUM(Table1[[#This Row],[Total day minutes]],Table1[[#This Row],[Total eve minutes]],Table1[[#This Row],[Total night minutes]],Table1[[#This Row],[Total intl minutes]]),0)</f>
        <v>814.2</v>
      </c>
      <c r="V511">
        <f>SUM(Table1[[#This Row],[Total intl charge]],Table1[[#This Row],[Total night charge]],Table1[[#This Row],[Total eve charge]],Table1[[#This Row],[Total day charge]])</f>
        <v>81.19</v>
      </c>
      <c r="W511">
        <f>SUM(Table1[[#This Row],[Total intl calls]],Table1[[#This Row],[Total night calls]],Table1[[#This Row],[Total eve calls]],Table1[[#This Row],[Total day calls]])</f>
        <v>334</v>
      </c>
      <c r="X511" t="str" cm="1">
        <f t="array" ref="X511">_xlfn.IFS(Table1[[#This Row],[Customer service calls]]&gt;=4,"High risk",Table1[[#This Row],[Customer service calls]]&gt;=2,"Medium risk",TRUE,"Low risk")</f>
        <v>Medium risk</v>
      </c>
      <c r="Y511" t="str" cm="1">
        <f t="array" ref="Y511">IFERROR(_xlfn.IFS(Table1[[#This Row],[Total usage(Min)]]&gt;=AVERAGE(U:U)*1.1,"High risk",Table1[[#This Row],[Total usage(Min)]]&lt;= AVERAGE(U:U)*0.9,"Low risk",TRUE,"Medium risk"),"N/A")</f>
        <v>High risk</v>
      </c>
      <c r="Z511" t="str" cm="1">
        <f t="array" ref="Z511">IFERROR(_xlfn.IFS(Table1[[#This Row],[Total charges]]&gt;=AVERAGE(V:V)*1.1,"High risk",Table1[[#This Row],[Total charges]]&lt;=AVERAGE(V:V)*0.9,"Low risk",TRUE,"Medium risk"),"N/A")</f>
        <v>High risk</v>
      </c>
      <c r="AA5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11" t="str" cm="1">
        <f t="array" ref="AC511">_xlfn.IFS(
AND(Table1[[#This Row],[Customer service risk level]]="High risk", Table1[[#This Row],[Intl usage behaviour]]="Unplanned Usage"),"High Risk",
OR(Table1[[#This Row],[Customer service risk level]]="Medium risk", Table1[[#This Row],[Charges risk level]]="High risk "),"Medium Risk",
TRUE,"Low Risk"
)</f>
        <v>Medium Risk</v>
      </c>
    </row>
    <row r="512" spans="1:29" x14ac:dyDescent="0.25">
      <c r="A512" t="s">
        <v>22</v>
      </c>
      <c r="B512">
        <v>81</v>
      </c>
      <c r="C512">
        <v>408</v>
      </c>
      <c r="D512" t="s">
        <v>21</v>
      </c>
      <c r="E512" t="s">
        <v>27</v>
      </c>
      <c r="F512">
        <v>46</v>
      </c>
      <c r="G512">
        <v>168.3</v>
      </c>
      <c r="H512">
        <v>124</v>
      </c>
      <c r="I512">
        <v>28.61</v>
      </c>
      <c r="J512">
        <v>270.89999999999998</v>
      </c>
      <c r="K512">
        <v>103</v>
      </c>
      <c r="L512">
        <v>23.03</v>
      </c>
      <c r="M512">
        <v>222.5</v>
      </c>
      <c r="N512">
        <v>98</v>
      </c>
      <c r="O512">
        <v>10.01</v>
      </c>
      <c r="P512">
        <v>6.7</v>
      </c>
      <c r="Q512">
        <v>2</v>
      </c>
      <c r="R512">
        <v>1.81</v>
      </c>
      <c r="S512">
        <v>4</v>
      </c>
      <c r="T512" t="b">
        <v>0</v>
      </c>
      <c r="U512">
        <f>IFERROR(SUM(Table1[[#This Row],[Total day minutes]],Table1[[#This Row],[Total eve minutes]],Table1[[#This Row],[Total night minutes]],Table1[[#This Row],[Total intl minutes]]),0)</f>
        <v>668.40000000000009</v>
      </c>
      <c r="V512">
        <f>SUM(Table1[[#This Row],[Total intl charge]],Table1[[#This Row],[Total night charge]],Table1[[#This Row],[Total eve charge]],Table1[[#This Row],[Total day charge]])</f>
        <v>63.46</v>
      </c>
      <c r="W512">
        <f>SUM(Table1[[#This Row],[Total intl calls]],Table1[[#This Row],[Total night calls]],Table1[[#This Row],[Total eve calls]],Table1[[#This Row],[Total day calls]])</f>
        <v>327</v>
      </c>
      <c r="X512" t="str" cm="1">
        <f t="array" ref="X512">_xlfn.IFS(Table1[[#This Row],[Customer service calls]]&gt;=4,"High risk",Table1[[#This Row],[Customer service calls]]&gt;=2,"Medium risk",TRUE,"Low risk")</f>
        <v>High risk</v>
      </c>
      <c r="Y512" t="str" cm="1">
        <f t="array" ref="Y512">IFERROR(_xlfn.IFS(Table1[[#This Row],[Total usage(Min)]]&gt;=AVERAGE(U:U)*1.1,"High risk",Table1[[#This Row],[Total usage(Min)]]&lt;= AVERAGE(U:U)*0.9,"Low risk",TRUE,"Medium risk"),"N/A")</f>
        <v>High risk</v>
      </c>
      <c r="Z512" t="str" cm="1">
        <f t="array" ref="Z512">IFERROR(_xlfn.IFS(Table1[[#This Row],[Total charges]]&gt;=AVERAGE(V:V)*1.1,"High risk",Table1[[#This Row],[Total charges]]&lt;=AVERAGE(V:V)*0.9,"Low risk",TRUE,"Medium risk"),"N/A")</f>
        <v>Medium risk</v>
      </c>
      <c r="AA5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12" t="str" cm="1">
        <f t="array" ref="AC512">_xlfn.IFS(
AND(Table1[[#This Row],[Customer service risk level]]="High risk", Table1[[#This Row],[Intl usage behaviour]]="Unplanned Usage"),"High Risk",
OR(Table1[[#This Row],[Customer service risk level]]="Medium risk", Table1[[#This Row],[Charges risk level]]="High risk "),"Medium Risk",
TRUE,"Low Risk"
)</f>
        <v>High Risk</v>
      </c>
    </row>
    <row r="513" spans="1:29" x14ac:dyDescent="0.25">
      <c r="A513" t="s">
        <v>47</v>
      </c>
      <c r="B513">
        <v>165</v>
      </c>
      <c r="C513">
        <v>415</v>
      </c>
      <c r="D513" t="s">
        <v>21</v>
      </c>
      <c r="E513" t="s">
        <v>27</v>
      </c>
      <c r="F513">
        <v>33</v>
      </c>
      <c r="G513">
        <v>111.6</v>
      </c>
      <c r="H513">
        <v>140</v>
      </c>
      <c r="I513">
        <v>18.97</v>
      </c>
      <c r="J513">
        <v>213.3</v>
      </c>
      <c r="K513">
        <v>111</v>
      </c>
      <c r="L513">
        <v>18.13</v>
      </c>
      <c r="M513">
        <v>267.60000000000002</v>
      </c>
      <c r="N513">
        <v>115</v>
      </c>
      <c r="O513">
        <v>12.04</v>
      </c>
      <c r="P513">
        <v>16</v>
      </c>
      <c r="Q513">
        <v>3</v>
      </c>
      <c r="R513">
        <v>4.32</v>
      </c>
      <c r="S513">
        <v>0</v>
      </c>
      <c r="T513" t="b">
        <v>0</v>
      </c>
      <c r="U513">
        <f>IFERROR(SUM(Table1[[#This Row],[Total day minutes]],Table1[[#This Row],[Total eve minutes]],Table1[[#This Row],[Total night minutes]],Table1[[#This Row],[Total intl minutes]]),0)</f>
        <v>608.5</v>
      </c>
      <c r="V513">
        <f>SUM(Table1[[#This Row],[Total intl charge]],Table1[[#This Row],[Total night charge]],Table1[[#This Row],[Total eve charge]],Table1[[#This Row],[Total day charge]])</f>
        <v>53.459999999999994</v>
      </c>
      <c r="W513">
        <f>SUM(Table1[[#This Row],[Total intl calls]],Table1[[#This Row],[Total night calls]],Table1[[#This Row],[Total eve calls]],Table1[[#This Row],[Total day calls]])</f>
        <v>369</v>
      </c>
      <c r="X513" t="str" cm="1">
        <f t="array" ref="X513">_xlfn.IFS(Table1[[#This Row],[Customer service calls]]&gt;=4,"High risk",Table1[[#This Row],[Customer service calls]]&gt;=2,"Medium risk",TRUE,"Low risk")</f>
        <v>Low risk</v>
      </c>
      <c r="Y513" t="str" cm="1">
        <f t="array" ref="Y513">IFERROR(_xlfn.IFS(Table1[[#This Row],[Total usage(Min)]]&gt;=AVERAGE(U:U)*1.1,"High risk",Table1[[#This Row],[Total usage(Min)]]&lt;= AVERAGE(U:U)*0.9,"Low risk",TRUE,"Medium risk"),"N/A")</f>
        <v>Medium risk</v>
      </c>
      <c r="Z513" t="str" cm="1">
        <f t="array" ref="Z513">IFERROR(_xlfn.IFS(Table1[[#This Row],[Total charges]]&gt;=AVERAGE(V:V)*1.1,"High risk",Table1[[#This Row],[Total charges]]&lt;=AVERAGE(V:V)*0.9,"Low risk",TRUE,"Medium risk"),"N/A")</f>
        <v>Low risk</v>
      </c>
      <c r="AA5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13" t="str" cm="1">
        <f t="array" ref="AC513">_xlfn.IFS(
AND(Table1[[#This Row],[Customer service risk level]]="High risk", Table1[[#This Row],[Intl usage behaviour]]="Unplanned Usage"),"High Risk",
OR(Table1[[#This Row],[Customer service risk level]]="Medium risk", Table1[[#This Row],[Charges risk level]]="High risk "),"Medium Risk",
TRUE,"Low Risk"
)</f>
        <v>Low Risk</v>
      </c>
    </row>
    <row r="514" spans="1:29" x14ac:dyDescent="0.25">
      <c r="A514" t="s">
        <v>70</v>
      </c>
      <c r="B514">
        <v>115</v>
      </c>
      <c r="C514">
        <v>415</v>
      </c>
      <c r="D514" t="s">
        <v>21</v>
      </c>
      <c r="E514" t="s">
        <v>21</v>
      </c>
      <c r="F514">
        <v>0</v>
      </c>
      <c r="G514">
        <v>206.2</v>
      </c>
      <c r="H514">
        <v>113</v>
      </c>
      <c r="I514">
        <v>35.049999999999997</v>
      </c>
      <c r="J514">
        <v>176.4</v>
      </c>
      <c r="K514">
        <v>102</v>
      </c>
      <c r="L514">
        <v>14.99</v>
      </c>
      <c r="M514">
        <v>297.10000000000002</v>
      </c>
      <c r="N514">
        <v>119</v>
      </c>
      <c r="O514">
        <v>13.37</v>
      </c>
      <c r="P514">
        <v>11</v>
      </c>
      <c r="Q514">
        <v>7</v>
      </c>
      <c r="R514">
        <v>2.97</v>
      </c>
      <c r="S514">
        <v>1</v>
      </c>
      <c r="T514" t="b">
        <v>0</v>
      </c>
      <c r="U514">
        <f>IFERROR(SUM(Table1[[#This Row],[Total day minutes]],Table1[[#This Row],[Total eve minutes]],Table1[[#This Row],[Total night minutes]],Table1[[#This Row],[Total intl minutes]]),0)</f>
        <v>690.7</v>
      </c>
      <c r="V514">
        <f>SUM(Table1[[#This Row],[Total intl charge]],Table1[[#This Row],[Total night charge]],Table1[[#This Row],[Total eve charge]],Table1[[#This Row],[Total day charge]])</f>
        <v>66.38</v>
      </c>
      <c r="W514">
        <f>SUM(Table1[[#This Row],[Total intl calls]],Table1[[#This Row],[Total night calls]],Table1[[#This Row],[Total eve calls]],Table1[[#This Row],[Total day calls]])</f>
        <v>341</v>
      </c>
      <c r="X514" t="str" cm="1">
        <f t="array" ref="X514">_xlfn.IFS(Table1[[#This Row],[Customer service calls]]&gt;=4,"High risk",Table1[[#This Row],[Customer service calls]]&gt;=2,"Medium risk",TRUE,"Low risk")</f>
        <v>Low risk</v>
      </c>
      <c r="Y514" t="str" cm="1">
        <f t="array" ref="Y514">IFERROR(_xlfn.IFS(Table1[[#This Row],[Total usage(Min)]]&gt;=AVERAGE(U:U)*1.1,"High risk",Table1[[#This Row],[Total usage(Min)]]&lt;= AVERAGE(U:U)*0.9,"Low risk",TRUE,"Medium risk"),"N/A")</f>
        <v>High risk</v>
      </c>
      <c r="Z514" t="str" cm="1">
        <f t="array" ref="Z514">IFERROR(_xlfn.IFS(Table1[[#This Row],[Total charges]]&gt;=AVERAGE(V:V)*1.1,"High risk",Table1[[#This Row],[Total charges]]&lt;=AVERAGE(V:V)*0.9,"Low risk",TRUE,"Medium risk"),"N/A")</f>
        <v>High risk</v>
      </c>
      <c r="AA5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4" t="str" cm="1">
        <f t="array" ref="AC514">_xlfn.IFS(
AND(Table1[[#This Row],[Customer service risk level]]="High risk", Table1[[#This Row],[Intl usage behaviour]]="Unplanned Usage"),"High Risk",
OR(Table1[[#This Row],[Customer service risk level]]="Medium risk", Table1[[#This Row],[Charges risk level]]="High risk "),"Medium Risk",
TRUE,"Low Risk"
)</f>
        <v>Low Risk</v>
      </c>
    </row>
    <row r="515" spans="1:29" x14ac:dyDescent="0.25">
      <c r="A515" t="s">
        <v>48</v>
      </c>
      <c r="B515">
        <v>90</v>
      </c>
      <c r="C515">
        <v>408</v>
      </c>
      <c r="D515" t="s">
        <v>21</v>
      </c>
      <c r="E515" t="s">
        <v>27</v>
      </c>
      <c r="F515">
        <v>27</v>
      </c>
      <c r="G515">
        <v>156.69999999999999</v>
      </c>
      <c r="H515">
        <v>51</v>
      </c>
      <c r="I515">
        <v>26.64</v>
      </c>
      <c r="J515">
        <v>236.5</v>
      </c>
      <c r="K515">
        <v>118</v>
      </c>
      <c r="L515">
        <v>20.100000000000001</v>
      </c>
      <c r="M515">
        <v>123.2</v>
      </c>
      <c r="N515">
        <v>111</v>
      </c>
      <c r="O515">
        <v>5.54</v>
      </c>
      <c r="P515">
        <v>12.6</v>
      </c>
      <c r="Q515">
        <v>6</v>
      </c>
      <c r="R515">
        <v>3.4</v>
      </c>
      <c r="S515">
        <v>2</v>
      </c>
      <c r="T515" t="b">
        <v>0</v>
      </c>
      <c r="U515">
        <f>IFERROR(SUM(Table1[[#This Row],[Total day minutes]],Table1[[#This Row],[Total eve minutes]],Table1[[#This Row],[Total night minutes]],Table1[[#This Row],[Total intl minutes]]),0)</f>
        <v>529</v>
      </c>
      <c r="V515">
        <f>SUM(Table1[[#This Row],[Total intl charge]],Table1[[#This Row],[Total night charge]],Table1[[#This Row],[Total eve charge]],Table1[[#This Row],[Total day charge]])</f>
        <v>55.68</v>
      </c>
      <c r="W515">
        <f>SUM(Table1[[#This Row],[Total intl calls]],Table1[[#This Row],[Total night calls]],Table1[[#This Row],[Total eve calls]],Table1[[#This Row],[Total day calls]])</f>
        <v>286</v>
      </c>
      <c r="X515" t="str" cm="1">
        <f t="array" ref="X515">_xlfn.IFS(Table1[[#This Row],[Customer service calls]]&gt;=4,"High risk",Table1[[#This Row],[Customer service calls]]&gt;=2,"Medium risk",TRUE,"Low risk")</f>
        <v>Medium risk</v>
      </c>
      <c r="Y515" t="str" cm="1">
        <f t="array" ref="Y515">IFERROR(_xlfn.IFS(Table1[[#This Row],[Total usage(Min)]]&gt;=AVERAGE(U:U)*1.1,"High risk",Table1[[#This Row],[Total usage(Min)]]&lt;= AVERAGE(U:U)*0.9,"Low risk",TRUE,"Medium risk"),"N/A")</f>
        <v>Low risk</v>
      </c>
      <c r="Z515" t="str" cm="1">
        <f t="array" ref="Z515">IFERROR(_xlfn.IFS(Table1[[#This Row],[Total charges]]&gt;=AVERAGE(V:V)*1.1,"High risk",Table1[[#This Row],[Total charges]]&lt;=AVERAGE(V:V)*0.9,"Low risk",TRUE,"Medium risk"),"N/A")</f>
        <v>Medium risk</v>
      </c>
      <c r="AA5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15" t="str" cm="1">
        <f t="array" ref="AC515">_xlfn.IFS(
AND(Table1[[#This Row],[Customer service risk level]]="High risk", Table1[[#This Row],[Intl usage behaviour]]="Unplanned Usage"),"High Risk",
OR(Table1[[#This Row],[Customer service risk level]]="Medium risk", Table1[[#This Row],[Charges risk level]]="High risk "),"Medium Risk",
TRUE,"Low Risk"
)</f>
        <v>Medium Risk</v>
      </c>
    </row>
    <row r="516" spans="1:29" x14ac:dyDescent="0.25">
      <c r="A516" t="s">
        <v>70</v>
      </c>
      <c r="B516">
        <v>37</v>
      </c>
      <c r="C516">
        <v>415</v>
      </c>
      <c r="D516" t="s">
        <v>21</v>
      </c>
      <c r="E516" t="s">
        <v>21</v>
      </c>
      <c r="F516">
        <v>0</v>
      </c>
      <c r="G516">
        <v>221</v>
      </c>
      <c r="H516">
        <v>126</v>
      </c>
      <c r="I516">
        <v>37.57</v>
      </c>
      <c r="J516">
        <v>204.5</v>
      </c>
      <c r="K516">
        <v>110</v>
      </c>
      <c r="L516">
        <v>17.38</v>
      </c>
      <c r="M516">
        <v>118</v>
      </c>
      <c r="N516">
        <v>98</v>
      </c>
      <c r="O516">
        <v>5.31</v>
      </c>
      <c r="P516">
        <v>6.8</v>
      </c>
      <c r="Q516">
        <v>3</v>
      </c>
      <c r="R516">
        <v>1.84</v>
      </c>
      <c r="S516">
        <v>4</v>
      </c>
      <c r="T516" t="b">
        <v>0</v>
      </c>
      <c r="U516">
        <f>IFERROR(SUM(Table1[[#This Row],[Total day minutes]],Table1[[#This Row],[Total eve minutes]],Table1[[#This Row],[Total night minutes]],Table1[[#This Row],[Total intl minutes]]),0)</f>
        <v>550.29999999999995</v>
      </c>
      <c r="V516">
        <f>SUM(Table1[[#This Row],[Total intl charge]],Table1[[#This Row],[Total night charge]],Table1[[#This Row],[Total eve charge]],Table1[[#This Row],[Total day charge]])</f>
        <v>62.099999999999994</v>
      </c>
      <c r="W516">
        <f>SUM(Table1[[#This Row],[Total intl calls]],Table1[[#This Row],[Total night calls]],Table1[[#This Row],[Total eve calls]],Table1[[#This Row],[Total day calls]])</f>
        <v>337</v>
      </c>
      <c r="X516" t="str" cm="1">
        <f t="array" ref="X516">_xlfn.IFS(Table1[[#This Row],[Customer service calls]]&gt;=4,"High risk",Table1[[#This Row],[Customer service calls]]&gt;=2,"Medium risk",TRUE,"Low risk")</f>
        <v>High risk</v>
      </c>
      <c r="Y516" t="str" cm="1">
        <f t="array" ref="Y516">IFERROR(_xlfn.IFS(Table1[[#This Row],[Total usage(Min)]]&gt;=AVERAGE(U:U)*1.1,"High risk",Table1[[#This Row],[Total usage(Min)]]&lt;= AVERAGE(U:U)*0.9,"Low risk",TRUE,"Medium risk"),"N/A")</f>
        <v>Medium risk</v>
      </c>
      <c r="Z516" t="str" cm="1">
        <f t="array" ref="Z516">IFERROR(_xlfn.IFS(Table1[[#This Row],[Total charges]]&gt;=AVERAGE(V:V)*1.1,"High risk",Table1[[#This Row],[Total charges]]&lt;=AVERAGE(V:V)*0.9,"Low risk",TRUE,"Medium risk"),"N/A")</f>
        <v>Medium risk</v>
      </c>
      <c r="AA5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6" t="str" cm="1">
        <f t="array" ref="AC516">_xlfn.IFS(
AND(Table1[[#This Row],[Customer service risk level]]="High risk", Table1[[#This Row],[Intl usage behaviour]]="Unplanned Usage"),"High Risk",
OR(Table1[[#This Row],[Customer service risk level]]="Medium risk", Table1[[#This Row],[Charges risk level]]="High risk "),"Medium Risk",
TRUE,"Low Risk"
)</f>
        <v>High Risk</v>
      </c>
    </row>
    <row r="517" spans="1:29" x14ac:dyDescent="0.25">
      <c r="A517" t="s">
        <v>53</v>
      </c>
      <c r="B517">
        <v>76</v>
      </c>
      <c r="C517">
        <v>510</v>
      </c>
      <c r="D517" t="s">
        <v>21</v>
      </c>
      <c r="E517" t="s">
        <v>21</v>
      </c>
      <c r="F517">
        <v>0</v>
      </c>
      <c r="G517">
        <v>165.7</v>
      </c>
      <c r="H517">
        <v>94</v>
      </c>
      <c r="I517">
        <v>28.17</v>
      </c>
      <c r="J517">
        <v>257.39999999999998</v>
      </c>
      <c r="K517">
        <v>80</v>
      </c>
      <c r="L517">
        <v>21.88</v>
      </c>
      <c r="M517">
        <v>170.8</v>
      </c>
      <c r="N517">
        <v>114</v>
      </c>
      <c r="O517">
        <v>7.69</v>
      </c>
      <c r="P517">
        <v>10</v>
      </c>
      <c r="Q517">
        <v>4</v>
      </c>
      <c r="R517">
        <v>2.7</v>
      </c>
      <c r="S517">
        <v>1</v>
      </c>
      <c r="T517" t="b">
        <v>0</v>
      </c>
      <c r="U517">
        <f>IFERROR(SUM(Table1[[#This Row],[Total day minutes]],Table1[[#This Row],[Total eve minutes]],Table1[[#This Row],[Total night minutes]],Table1[[#This Row],[Total intl minutes]]),0)</f>
        <v>603.9</v>
      </c>
      <c r="V517">
        <f>SUM(Table1[[#This Row],[Total intl charge]],Table1[[#This Row],[Total night charge]],Table1[[#This Row],[Total eve charge]],Table1[[#This Row],[Total day charge]])</f>
        <v>60.44</v>
      </c>
      <c r="W517">
        <f>SUM(Table1[[#This Row],[Total intl calls]],Table1[[#This Row],[Total night calls]],Table1[[#This Row],[Total eve calls]],Table1[[#This Row],[Total day calls]])</f>
        <v>292</v>
      </c>
      <c r="X517" t="str" cm="1">
        <f t="array" ref="X517">_xlfn.IFS(Table1[[#This Row],[Customer service calls]]&gt;=4,"High risk",Table1[[#This Row],[Customer service calls]]&gt;=2,"Medium risk",TRUE,"Low risk")</f>
        <v>Low risk</v>
      </c>
      <c r="Y517" t="str" cm="1">
        <f t="array" ref="Y517">IFERROR(_xlfn.IFS(Table1[[#This Row],[Total usage(Min)]]&gt;=AVERAGE(U:U)*1.1,"High risk",Table1[[#This Row],[Total usage(Min)]]&lt;= AVERAGE(U:U)*0.9,"Low risk",TRUE,"Medium risk"),"N/A")</f>
        <v>Medium risk</v>
      </c>
      <c r="Z517" t="str" cm="1">
        <f t="array" ref="Z517">IFERROR(_xlfn.IFS(Table1[[#This Row],[Total charges]]&gt;=AVERAGE(V:V)*1.1,"High risk",Table1[[#This Row],[Total charges]]&lt;=AVERAGE(V:V)*0.9,"Low risk",TRUE,"Medium risk"),"N/A")</f>
        <v>Medium risk</v>
      </c>
      <c r="AA5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7" t="str" cm="1">
        <f t="array" ref="AC517">_xlfn.IFS(
AND(Table1[[#This Row],[Customer service risk level]]="High risk", Table1[[#This Row],[Intl usage behaviour]]="Unplanned Usage"),"High Risk",
OR(Table1[[#This Row],[Customer service risk level]]="Medium risk", Table1[[#This Row],[Charges risk level]]="High risk "),"Medium Risk",
TRUE,"Low Risk"
)</f>
        <v>Low Risk</v>
      </c>
    </row>
    <row r="518" spans="1:29" x14ac:dyDescent="0.25">
      <c r="A518" t="s">
        <v>34</v>
      </c>
      <c r="B518">
        <v>109</v>
      </c>
      <c r="C518">
        <v>510</v>
      </c>
      <c r="D518" t="s">
        <v>21</v>
      </c>
      <c r="E518" t="s">
        <v>21</v>
      </c>
      <c r="F518">
        <v>0</v>
      </c>
      <c r="G518">
        <v>154.80000000000001</v>
      </c>
      <c r="H518">
        <v>82</v>
      </c>
      <c r="I518">
        <v>26.32</v>
      </c>
      <c r="J518">
        <v>287.7</v>
      </c>
      <c r="K518">
        <v>109</v>
      </c>
      <c r="L518">
        <v>24.45</v>
      </c>
      <c r="M518">
        <v>208.4</v>
      </c>
      <c r="N518">
        <v>80</v>
      </c>
      <c r="O518">
        <v>9.3800000000000008</v>
      </c>
      <c r="P518">
        <v>5.9</v>
      </c>
      <c r="Q518">
        <v>9</v>
      </c>
      <c r="R518">
        <v>1.59</v>
      </c>
      <c r="S518">
        <v>3</v>
      </c>
      <c r="T518" t="b">
        <v>0</v>
      </c>
      <c r="U518">
        <f>IFERROR(SUM(Table1[[#This Row],[Total day minutes]],Table1[[#This Row],[Total eve minutes]],Table1[[#This Row],[Total night minutes]],Table1[[#This Row],[Total intl minutes]]),0)</f>
        <v>656.8</v>
      </c>
      <c r="V518">
        <f>SUM(Table1[[#This Row],[Total intl charge]],Table1[[#This Row],[Total night charge]],Table1[[#This Row],[Total eve charge]],Table1[[#This Row],[Total day charge]])</f>
        <v>61.74</v>
      </c>
      <c r="W518">
        <f>SUM(Table1[[#This Row],[Total intl calls]],Table1[[#This Row],[Total night calls]],Table1[[#This Row],[Total eve calls]],Table1[[#This Row],[Total day calls]])</f>
        <v>280</v>
      </c>
      <c r="X518" t="str" cm="1">
        <f t="array" ref="X518">_xlfn.IFS(Table1[[#This Row],[Customer service calls]]&gt;=4,"High risk",Table1[[#This Row],[Customer service calls]]&gt;=2,"Medium risk",TRUE,"Low risk")</f>
        <v>Medium risk</v>
      </c>
      <c r="Y518" t="str" cm="1">
        <f t="array" ref="Y518">IFERROR(_xlfn.IFS(Table1[[#This Row],[Total usage(Min)]]&gt;=AVERAGE(U:U)*1.1,"High risk",Table1[[#This Row],[Total usage(Min)]]&lt;= AVERAGE(U:U)*0.9,"Low risk",TRUE,"Medium risk"),"N/A")</f>
        <v>High risk</v>
      </c>
      <c r="Z518" t="str" cm="1">
        <f t="array" ref="Z518">IFERROR(_xlfn.IFS(Table1[[#This Row],[Total charges]]&gt;=AVERAGE(V:V)*1.1,"High risk",Table1[[#This Row],[Total charges]]&lt;=AVERAGE(V:V)*0.9,"Low risk",TRUE,"Medium risk"),"N/A")</f>
        <v>Medium risk</v>
      </c>
      <c r="AA5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8" t="str" cm="1">
        <f t="array" ref="AC518">_xlfn.IFS(
AND(Table1[[#This Row],[Customer service risk level]]="High risk", Table1[[#This Row],[Intl usage behaviour]]="Unplanned Usage"),"High Risk",
OR(Table1[[#This Row],[Customer service risk level]]="Medium risk", Table1[[#This Row],[Charges risk level]]="High risk "),"Medium Risk",
TRUE,"Low Risk"
)</f>
        <v>Medium Risk</v>
      </c>
    </row>
    <row r="519" spans="1:29" x14ac:dyDescent="0.25">
      <c r="A519" t="s">
        <v>25</v>
      </c>
      <c r="B519">
        <v>105</v>
      </c>
      <c r="C519">
        <v>510</v>
      </c>
      <c r="D519" t="s">
        <v>21</v>
      </c>
      <c r="E519" t="s">
        <v>21</v>
      </c>
      <c r="F519">
        <v>0</v>
      </c>
      <c r="G519">
        <v>125.4</v>
      </c>
      <c r="H519">
        <v>116</v>
      </c>
      <c r="I519">
        <v>21.32</v>
      </c>
      <c r="J519">
        <v>261.5</v>
      </c>
      <c r="K519">
        <v>95</v>
      </c>
      <c r="L519">
        <v>22.23</v>
      </c>
      <c r="M519">
        <v>241.6</v>
      </c>
      <c r="N519">
        <v>104</v>
      </c>
      <c r="O519">
        <v>10.87</v>
      </c>
      <c r="P519">
        <v>11.4</v>
      </c>
      <c r="Q519">
        <v>9</v>
      </c>
      <c r="R519">
        <v>3.08</v>
      </c>
      <c r="S519">
        <v>2</v>
      </c>
      <c r="T519" t="b">
        <v>0</v>
      </c>
      <c r="U519">
        <f>IFERROR(SUM(Table1[[#This Row],[Total day minutes]],Table1[[#This Row],[Total eve minutes]],Table1[[#This Row],[Total night minutes]],Table1[[#This Row],[Total intl minutes]]),0)</f>
        <v>639.9</v>
      </c>
      <c r="V519">
        <f>SUM(Table1[[#This Row],[Total intl charge]],Table1[[#This Row],[Total night charge]],Table1[[#This Row],[Total eve charge]],Table1[[#This Row],[Total day charge]])</f>
        <v>57.5</v>
      </c>
      <c r="W519">
        <f>SUM(Table1[[#This Row],[Total intl calls]],Table1[[#This Row],[Total night calls]],Table1[[#This Row],[Total eve calls]],Table1[[#This Row],[Total day calls]])</f>
        <v>324</v>
      </c>
      <c r="X519" t="str" cm="1">
        <f t="array" ref="X519">_xlfn.IFS(Table1[[#This Row],[Customer service calls]]&gt;=4,"High risk",Table1[[#This Row],[Customer service calls]]&gt;=2,"Medium risk",TRUE,"Low risk")</f>
        <v>Medium risk</v>
      </c>
      <c r="Y519" t="str" cm="1">
        <f t="array" ref="Y519">IFERROR(_xlfn.IFS(Table1[[#This Row],[Total usage(Min)]]&gt;=AVERAGE(U:U)*1.1,"High risk",Table1[[#This Row],[Total usage(Min)]]&lt;= AVERAGE(U:U)*0.9,"Low risk",TRUE,"Medium risk"),"N/A")</f>
        <v>Medium risk</v>
      </c>
      <c r="Z519" t="str" cm="1">
        <f t="array" ref="Z519">IFERROR(_xlfn.IFS(Table1[[#This Row],[Total charges]]&gt;=AVERAGE(V:V)*1.1,"High risk",Table1[[#This Row],[Total charges]]&lt;=AVERAGE(V:V)*0.9,"Low risk",TRUE,"Medium risk"),"N/A")</f>
        <v>Medium risk</v>
      </c>
      <c r="AA5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1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19" t="str" cm="1">
        <f t="array" ref="AC519">_xlfn.IFS(
AND(Table1[[#This Row],[Customer service risk level]]="High risk", Table1[[#This Row],[Intl usage behaviour]]="Unplanned Usage"),"High Risk",
OR(Table1[[#This Row],[Customer service risk level]]="Medium risk", Table1[[#This Row],[Charges risk level]]="High risk "),"Medium Risk",
TRUE,"Low Risk"
)</f>
        <v>Medium Risk</v>
      </c>
    </row>
    <row r="520" spans="1:29" x14ac:dyDescent="0.25">
      <c r="A520" t="s">
        <v>28</v>
      </c>
      <c r="B520">
        <v>74</v>
      </c>
      <c r="C520">
        <v>415</v>
      </c>
      <c r="D520" t="s">
        <v>21</v>
      </c>
      <c r="E520" t="s">
        <v>21</v>
      </c>
      <c r="F520">
        <v>0</v>
      </c>
      <c r="G520">
        <v>124.8</v>
      </c>
      <c r="H520">
        <v>114</v>
      </c>
      <c r="I520">
        <v>21.22</v>
      </c>
      <c r="J520">
        <v>133</v>
      </c>
      <c r="K520">
        <v>121</v>
      </c>
      <c r="L520">
        <v>11.31</v>
      </c>
      <c r="M520">
        <v>160.30000000000001</v>
      </c>
      <c r="N520">
        <v>85</v>
      </c>
      <c r="O520">
        <v>7.21</v>
      </c>
      <c r="P520">
        <v>10.6</v>
      </c>
      <c r="Q520">
        <v>7</v>
      </c>
      <c r="R520">
        <v>2.86</v>
      </c>
      <c r="S520">
        <v>3</v>
      </c>
      <c r="T520" t="b">
        <v>0</v>
      </c>
      <c r="U520">
        <f>IFERROR(SUM(Table1[[#This Row],[Total day minutes]],Table1[[#This Row],[Total eve minutes]],Table1[[#This Row],[Total night minutes]],Table1[[#This Row],[Total intl minutes]]),0)</f>
        <v>428.70000000000005</v>
      </c>
      <c r="V520">
        <f>SUM(Table1[[#This Row],[Total intl charge]],Table1[[#This Row],[Total night charge]],Table1[[#This Row],[Total eve charge]],Table1[[#This Row],[Total day charge]])</f>
        <v>42.6</v>
      </c>
      <c r="W520">
        <f>SUM(Table1[[#This Row],[Total intl calls]],Table1[[#This Row],[Total night calls]],Table1[[#This Row],[Total eve calls]],Table1[[#This Row],[Total day calls]])</f>
        <v>327</v>
      </c>
      <c r="X520" t="str" cm="1">
        <f t="array" ref="X520">_xlfn.IFS(Table1[[#This Row],[Customer service calls]]&gt;=4,"High risk",Table1[[#This Row],[Customer service calls]]&gt;=2,"Medium risk",TRUE,"Low risk")</f>
        <v>Medium risk</v>
      </c>
      <c r="Y520" t="str" cm="1">
        <f t="array" ref="Y520">IFERROR(_xlfn.IFS(Table1[[#This Row],[Total usage(Min)]]&gt;=AVERAGE(U:U)*1.1,"High risk",Table1[[#This Row],[Total usage(Min)]]&lt;= AVERAGE(U:U)*0.9,"Low risk",TRUE,"Medium risk"),"N/A")</f>
        <v>Low risk</v>
      </c>
      <c r="Z520" t="str" cm="1">
        <f t="array" ref="Z520">IFERROR(_xlfn.IFS(Table1[[#This Row],[Total charges]]&gt;=AVERAGE(V:V)*1.1,"High risk",Table1[[#This Row],[Total charges]]&lt;=AVERAGE(V:V)*0.9,"Low risk",TRUE,"Medium risk"),"N/A")</f>
        <v>Low risk</v>
      </c>
      <c r="AA5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0" t="str" cm="1">
        <f t="array" ref="AC520">_xlfn.IFS(
AND(Table1[[#This Row],[Customer service risk level]]="High risk", Table1[[#This Row],[Intl usage behaviour]]="Unplanned Usage"),"High Risk",
OR(Table1[[#This Row],[Customer service risk level]]="Medium risk", Table1[[#This Row],[Charges risk level]]="High risk "),"Medium Risk",
TRUE,"Low Risk"
)</f>
        <v>Medium Risk</v>
      </c>
    </row>
    <row r="521" spans="1:29" x14ac:dyDescent="0.25">
      <c r="A521" t="s">
        <v>44</v>
      </c>
      <c r="B521">
        <v>76</v>
      </c>
      <c r="C521">
        <v>415</v>
      </c>
      <c r="D521" t="s">
        <v>21</v>
      </c>
      <c r="E521" t="s">
        <v>21</v>
      </c>
      <c r="F521">
        <v>0</v>
      </c>
      <c r="G521">
        <v>179.2</v>
      </c>
      <c r="H521">
        <v>85</v>
      </c>
      <c r="I521">
        <v>30.46</v>
      </c>
      <c r="J521">
        <v>222.9</v>
      </c>
      <c r="K521">
        <v>66</v>
      </c>
      <c r="L521">
        <v>18.95</v>
      </c>
      <c r="M521">
        <v>188.2</v>
      </c>
      <c r="N521">
        <v>113</v>
      </c>
      <c r="O521">
        <v>8.4700000000000006</v>
      </c>
      <c r="P521">
        <v>12.4</v>
      </c>
      <c r="Q521">
        <v>2</v>
      </c>
      <c r="R521">
        <v>3.35</v>
      </c>
      <c r="S521">
        <v>0</v>
      </c>
      <c r="T521" t="b">
        <v>0</v>
      </c>
      <c r="U521">
        <f>IFERROR(SUM(Table1[[#This Row],[Total day minutes]],Table1[[#This Row],[Total eve minutes]],Table1[[#This Row],[Total night minutes]],Table1[[#This Row],[Total intl minutes]]),0)</f>
        <v>602.69999999999993</v>
      </c>
      <c r="V521">
        <f>SUM(Table1[[#This Row],[Total intl charge]],Table1[[#This Row],[Total night charge]],Table1[[#This Row],[Total eve charge]],Table1[[#This Row],[Total day charge]])</f>
        <v>61.230000000000004</v>
      </c>
      <c r="W521">
        <f>SUM(Table1[[#This Row],[Total intl calls]],Table1[[#This Row],[Total night calls]],Table1[[#This Row],[Total eve calls]],Table1[[#This Row],[Total day calls]])</f>
        <v>266</v>
      </c>
      <c r="X521" t="str" cm="1">
        <f t="array" ref="X521">_xlfn.IFS(Table1[[#This Row],[Customer service calls]]&gt;=4,"High risk",Table1[[#This Row],[Customer service calls]]&gt;=2,"Medium risk",TRUE,"Low risk")</f>
        <v>Low risk</v>
      </c>
      <c r="Y521" t="str" cm="1">
        <f t="array" ref="Y521">IFERROR(_xlfn.IFS(Table1[[#This Row],[Total usage(Min)]]&gt;=AVERAGE(U:U)*1.1,"High risk",Table1[[#This Row],[Total usage(Min)]]&lt;= AVERAGE(U:U)*0.9,"Low risk",TRUE,"Medium risk"),"N/A")</f>
        <v>Medium risk</v>
      </c>
      <c r="Z521" t="str" cm="1">
        <f t="array" ref="Z521">IFERROR(_xlfn.IFS(Table1[[#This Row],[Total charges]]&gt;=AVERAGE(V:V)*1.1,"High risk",Table1[[#This Row],[Total charges]]&lt;=AVERAGE(V:V)*0.9,"Low risk",TRUE,"Medium risk"),"N/A")</f>
        <v>Medium risk</v>
      </c>
      <c r="AA5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1" t="str" cm="1">
        <f t="array" ref="AC521">_xlfn.IFS(
AND(Table1[[#This Row],[Customer service risk level]]="High risk", Table1[[#This Row],[Intl usage behaviour]]="Unplanned Usage"),"High Risk",
OR(Table1[[#This Row],[Customer service risk level]]="Medium risk", Table1[[#This Row],[Charges risk level]]="High risk "),"Medium Risk",
TRUE,"Low Risk"
)</f>
        <v>Low Risk</v>
      </c>
    </row>
    <row r="522" spans="1:29" x14ac:dyDescent="0.25">
      <c r="A522" t="s">
        <v>56</v>
      </c>
      <c r="B522">
        <v>116</v>
      </c>
      <c r="C522">
        <v>415</v>
      </c>
      <c r="D522" t="s">
        <v>21</v>
      </c>
      <c r="E522" t="s">
        <v>21</v>
      </c>
      <c r="F522">
        <v>0</v>
      </c>
      <c r="G522">
        <v>245.9</v>
      </c>
      <c r="H522">
        <v>73</v>
      </c>
      <c r="I522">
        <v>41.8</v>
      </c>
      <c r="J522">
        <v>240.1</v>
      </c>
      <c r="K522">
        <v>87</v>
      </c>
      <c r="L522">
        <v>20.41</v>
      </c>
      <c r="M522">
        <v>158.69999999999999</v>
      </c>
      <c r="N522">
        <v>89</v>
      </c>
      <c r="O522">
        <v>7.14</v>
      </c>
      <c r="P522">
        <v>8.9</v>
      </c>
      <c r="Q522">
        <v>5</v>
      </c>
      <c r="R522">
        <v>2.4</v>
      </c>
      <c r="S522">
        <v>3</v>
      </c>
      <c r="T522" t="b">
        <v>0</v>
      </c>
      <c r="U522">
        <f>IFERROR(SUM(Table1[[#This Row],[Total day minutes]],Table1[[#This Row],[Total eve minutes]],Table1[[#This Row],[Total night minutes]],Table1[[#This Row],[Total intl minutes]]),0)</f>
        <v>653.6</v>
      </c>
      <c r="V522">
        <f>SUM(Table1[[#This Row],[Total intl charge]],Table1[[#This Row],[Total night charge]],Table1[[#This Row],[Total eve charge]],Table1[[#This Row],[Total day charge]])</f>
        <v>71.75</v>
      </c>
      <c r="W522">
        <f>SUM(Table1[[#This Row],[Total intl calls]],Table1[[#This Row],[Total night calls]],Table1[[#This Row],[Total eve calls]],Table1[[#This Row],[Total day calls]])</f>
        <v>254</v>
      </c>
      <c r="X522" t="str" cm="1">
        <f t="array" ref="X522">_xlfn.IFS(Table1[[#This Row],[Customer service calls]]&gt;=4,"High risk",Table1[[#This Row],[Customer service calls]]&gt;=2,"Medium risk",TRUE,"Low risk")</f>
        <v>Medium risk</v>
      </c>
      <c r="Y522" t="str" cm="1">
        <f t="array" ref="Y522">IFERROR(_xlfn.IFS(Table1[[#This Row],[Total usage(Min)]]&gt;=AVERAGE(U:U)*1.1,"High risk",Table1[[#This Row],[Total usage(Min)]]&lt;= AVERAGE(U:U)*0.9,"Low risk",TRUE,"Medium risk"),"N/A")</f>
        <v>Medium risk</v>
      </c>
      <c r="Z522" t="str" cm="1">
        <f t="array" ref="Z522">IFERROR(_xlfn.IFS(Table1[[#This Row],[Total charges]]&gt;=AVERAGE(V:V)*1.1,"High risk",Table1[[#This Row],[Total charges]]&lt;=AVERAGE(V:V)*0.9,"Low risk",TRUE,"Medium risk"),"N/A")</f>
        <v>High risk</v>
      </c>
      <c r="AA5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2" t="str" cm="1">
        <f t="array" ref="AC522">_xlfn.IFS(
AND(Table1[[#This Row],[Customer service risk level]]="High risk", Table1[[#This Row],[Intl usage behaviour]]="Unplanned Usage"),"High Risk",
OR(Table1[[#This Row],[Customer service risk level]]="Medium risk", Table1[[#This Row],[Charges risk level]]="High risk "),"Medium Risk",
TRUE,"Low Risk"
)</f>
        <v>Medium Risk</v>
      </c>
    </row>
    <row r="523" spans="1:29" x14ac:dyDescent="0.25">
      <c r="A523" t="s">
        <v>59</v>
      </c>
      <c r="B523">
        <v>138</v>
      </c>
      <c r="C523">
        <v>510</v>
      </c>
      <c r="D523" t="s">
        <v>21</v>
      </c>
      <c r="E523" t="s">
        <v>21</v>
      </c>
      <c r="F523">
        <v>0</v>
      </c>
      <c r="G523">
        <v>205.9</v>
      </c>
      <c r="H523">
        <v>96</v>
      </c>
      <c r="I523">
        <v>35</v>
      </c>
      <c r="J523">
        <v>257.10000000000002</v>
      </c>
      <c r="K523">
        <v>94</v>
      </c>
      <c r="L523">
        <v>21.85</v>
      </c>
      <c r="M523">
        <v>209</v>
      </c>
      <c r="N523">
        <v>63</v>
      </c>
      <c r="O523">
        <v>9.4</v>
      </c>
      <c r="P523">
        <v>12.1</v>
      </c>
      <c r="Q523">
        <v>8</v>
      </c>
      <c r="R523">
        <v>3.27</v>
      </c>
      <c r="S523">
        <v>0</v>
      </c>
      <c r="T523" t="b">
        <v>0</v>
      </c>
      <c r="U523">
        <f>IFERROR(SUM(Table1[[#This Row],[Total day minutes]],Table1[[#This Row],[Total eve minutes]],Table1[[#This Row],[Total night minutes]],Table1[[#This Row],[Total intl minutes]]),0)</f>
        <v>684.1</v>
      </c>
      <c r="V523">
        <f>SUM(Table1[[#This Row],[Total intl charge]],Table1[[#This Row],[Total night charge]],Table1[[#This Row],[Total eve charge]],Table1[[#This Row],[Total day charge]])</f>
        <v>69.52000000000001</v>
      </c>
      <c r="W523">
        <f>SUM(Table1[[#This Row],[Total intl calls]],Table1[[#This Row],[Total night calls]],Table1[[#This Row],[Total eve calls]],Table1[[#This Row],[Total day calls]])</f>
        <v>261</v>
      </c>
      <c r="X523" t="str" cm="1">
        <f t="array" ref="X523">_xlfn.IFS(Table1[[#This Row],[Customer service calls]]&gt;=4,"High risk",Table1[[#This Row],[Customer service calls]]&gt;=2,"Medium risk",TRUE,"Low risk")</f>
        <v>Low risk</v>
      </c>
      <c r="Y523" t="str" cm="1">
        <f t="array" ref="Y523">IFERROR(_xlfn.IFS(Table1[[#This Row],[Total usage(Min)]]&gt;=AVERAGE(U:U)*1.1,"High risk",Table1[[#This Row],[Total usage(Min)]]&lt;= AVERAGE(U:U)*0.9,"Low risk",TRUE,"Medium risk"),"N/A")</f>
        <v>High risk</v>
      </c>
      <c r="Z523" t="str" cm="1">
        <f t="array" ref="Z523">IFERROR(_xlfn.IFS(Table1[[#This Row],[Total charges]]&gt;=AVERAGE(V:V)*1.1,"High risk",Table1[[#This Row],[Total charges]]&lt;=AVERAGE(V:V)*0.9,"Low risk",TRUE,"Medium risk"),"N/A")</f>
        <v>High risk</v>
      </c>
      <c r="AA5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3" t="str" cm="1">
        <f t="array" ref="AC523">_xlfn.IFS(
AND(Table1[[#This Row],[Customer service risk level]]="High risk", Table1[[#This Row],[Intl usage behaviour]]="Unplanned Usage"),"High Risk",
OR(Table1[[#This Row],[Customer service risk level]]="Medium risk", Table1[[#This Row],[Charges risk level]]="High risk "),"Medium Risk",
TRUE,"Low Risk"
)</f>
        <v>Low Risk</v>
      </c>
    </row>
    <row r="524" spans="1:29" x14ac:dyDescent="0.25">
      <c r="A524" t="s">
        <v>61</v>
      </c>
      <c r="B524">
        <v>102</v>
      </c>
      <c r="C524">
        <v>415</v>
      </c>
      <c r="D524" t="s">
        <v>21</v>
      </c>
      <c r="E524" t="s">
        <v>21</v>
      </c>
      <c r="F524">
        <v>0</v>
      </c>
      <c r="G524">
        <v>186.8</v>
      </c>
      <c r="H524">
        <v>92</v>
      </c>
      <c r="I524">
        <v>31.76</v>
      </c>
      <c r="J524">
        <v>173.7</v>
      </c>
      <c r="K524">
        <v>123</v>
      </c>
      <c r="L524">
        <v>14.76</v>
      </c>
      <c r="M524">
        <v>250.9</v>
      </c>
      <c r="N524">
        <v>131</v>
      </c>
      <c r="O524">
        <v>11.29</v>
      </c>
      <c r="P524">
        <v>9.6999999999999993</v>
      </c>
      <c r="Q524">
        <v>4</v>
      </c>
      <c r="R524">
        <v>2.62</v>
      </c>
      <c r="S524">
        <v>2</v>
      </c>
      <c r="T524" t="b">
        <v>0</v>
      </c>
      <c r="U524">
        <f>IFERROR(SUM(Table1[[#This Row],[Total day minutes]],Table1[[#This Row],[Total eve minutes]],Table1[[#This Row],[Total night minutes]],Table1[[#This Row],[Total intl minutes]]),0)</f>
        <v>621.1</v>
      </c>
      <c r="V524">
        <f>SUM(Table1[[#This Row],[Total intl charge]],Table1[[#This Row],[Total night charge]],Table1[[#This Row],[Total eve charge]],Table1[[#This Row],[Total day charge]])</f>
        <v>60.430000000000007</v>
      </c>
      <c r="W524">
        <f>SUM(Table1[[#This Row],[Total intl calls]],Table1[[#This Row],[Total night calls]],Table1[[#This Row],[Total eve calls]],Table1[[#This Row],[Total day calls]])</f>
        <v>350</v>
      </c>
      <c r="X524" t="str" cm="1">
        <f t="array" ref="X524">_xlfn.IFS(Table1[[#This Row],[Customer service calls]]&gt;=4,"High risk",Table1[[#This Row],[Customer service calls]]&gt;=2,"Medium risk",TRUE,"Low risk")</f>
        <v>Medium risk</v>
      </c>
      <c r="Y524" t="str" cm="1">
        <f t="array" ref="Y524">IFERROR(_xlfn.IFS(Table1[[#This Row],[Total usage(Min)]]&gt;=AVERAGE(U:U)*1.1,"High risk",Table1[[#This Row],[Total usage(Min)]]&lt;= AVERAGE(U:U)*0.9,"Low risk",TRUE,"Medium risk"),"N/A")</f>
        <v>Medium risk</v>
      </c>
      <c r="Z524" t="str" cm="1">
        <f t="array" ref="Z524">IFERROR(_xlfn.IFS(Table1[[#This Row],[Total charges]]&gt;=AVERAGE(V:V)*1.1,"High risk",Table1[[#This Row],[Total charges]]&lt;=AVERAGE(V:V)*0.9,"Low risk",TRUE,"Medium risk"),"N/A")</f>
        <v>Medium risk</v>
      </c>
      <c r="AA5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4" t="str" cm="1">
        <f t="array" ref="AC524">_xlfn.IFS(
AND(Table1[[#This Row],[Customer service risk level]]="High risk", Table1[[#This Row],[Intl usage behaviour]]="Unplanned Usage"),"High Risk",
OR(Table1[[#This Row],[Customer service risk level]]="Medium risk", Table1[[#This Row],[Charges risk level]]="High risk "),"Medium Risk",
TRUE,"Low Risk"
)</f>
        <v>Medium Risk</v>
      </c>
    </row>
    <row r="525" spans="1:29" x14ac:dyDescent="0.25">
      <c r="A525" t="s">
        <v>59</v>
      </c>
      <c r="B525">
        <v>164</v>
      </c>
      <c r="C525">
        <v>510</v>
      </c>
      <c r="D525" t="s">
        <v>21</v>
      </c>
      <c r="E525" t="s">
        <v>21</v>
      </c>
      <c r="F525">
        <v>0</v>
      </c>
      <c r="G525">
        <v>192.1</v>
      </c>
      <c r="H525">
        <v>95</v>
      </c>
      <c r="I525">
        <v>32.659999999999997</v>
      </c>
      <c r="J525">
        <v>249.8</v>
      </c>
      <c r="K525">
        <v>94</v>
      </c>
      <c r="L525">
        <v>21.23</v>
      </c>
      <c r="M525">
        <v>132.6</v>
      </c>
      <c r="N525">
        <v>100</v>
      </c>
      <c r="O525">
        <v>5.97</v>
      </c>
      <c r="P525">
        <v>7.3</v>
      </c>
      <c r="Q525">
        <v>3</v>
      </c>
      <c r="R525">
        <v>1.97</v>
      </c>
      <c r="S525">
        <v>3</v>
      </c>
      <c r="T525" t="b">
        <v>0</v>
      </c>
      <c r="U525">
        <f>IFERROR(SUM(Table1[[#This Row],[Total day minutes]],Table1[[#This Row],[Total eve minutes]],Table1[[#This Row],[Total night minutes]],Table1[[#This Row],[Total intl minutes]]),0)</f>
        <v>581.79999999999995</v>
      </c>
      <c r="V525">
        <f>SUM(Table1[[#This Row],[Total intl charge]],Table1[[#This Row],[Total night charge]],Table1[[#This Row],[Total eve charge]],Table1[[#This Row],[Total day charge]])</f>
        <v>61.83</v>
      </c>
      <c r="W525">
        <f>SUM(Table1[[#This Row],[Total intl calls]],Table1[[#This Row],[Total night calls]],Table1[[#This Row],[Total eve calls]],Table1[[#This Row],[Total day calls]])</f>
        <v>292</v>
      </c>
      <c r="X525" t="str" cm="1">
        <f t="array" ref="X525">_xlfn.IFS(Table1[[#This Row],[Customer service calls]]&gt;=4,"High risk",Table1[[#This Row],[Customer service calls]]&gt;=2,"Medium risk",TRUE,"Low risk")</f>
        <v>Medium risk</v>
      </c>
      <c r="Y525" t="str" cm="1">
        <f t="array" ref="Y525">IFERROR(_xlfn.IFS(Table1[[#This Row],[Total usage(Min)]]&gt;=AVERAGE(U:U)*1.1,"High risk",Table1[[#This Row],[Total usage(Min)]]&lt;= AVERAGE(U:U)*0.9,"Low risk",TRUE,"Medium risk"),"N/A")</f>
        <v>Medium risk</v>
      </c>
      <c r="Z525" t="str" cm="1">
        <f t="array" ref="Z525">IFERROR(_xlfn.IFS(Table1[[#This Row],[Total charges]]&gt;=AVERAGE(V:V)*1.1,"High risk",Table1[[#This Row],[Total charges]]&lt;=AVERAGE(V:V)*0.9,"Low risk",TRUE,"Medium risk"),"N/A")</f>
        <v>Medium risk</v>
      </c>
      <c r="AA5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5" t="str" cm="1">
        <f t="array" ref="AC525">_xlfn.IFS(
AND(Table1[[#This Row],[Customer service risk level]]="High risk", Table1[[#This Row],[Intl usage behaviour]]="Unplanned Usage"),"High Risk",
OR(Table1[[#This Row],[Customer service risk level]]="Medium risk", Table1[[#This Row],[Charges risk level]]="High risk "),"Medium Risk",
TRUE,"Low Risk"
)</f>
        <v>Medium Risk</v>
      </c>
    </row>
    <row r="526" spans="1:29" x14ac:dyDescent="0.25">
      <c r="A526" t="s">
        <v>32</v>
      </c>
      <c r="B526">
        <v>125</v>
      </c>
      <c r="C526">
        <v>415</v>
      </c>
      <c r="D526" t="s">
        <v>21</v>
      </c>
      <c r="E526" t="s">
        <v>21</v>
      </c>
      <c r="F526">
        <v>0</v>
      </c>
      <c r="G526">
        <v>240.7</v>
      </c>
      <c r="H526">
        <v>82</v>
      </c>
      <c r="I526">
        <v>40.92</v>
      </c>
      <c r="J526">
        <v>269.39999999999998</v>
      </c>
      <c r="K526">
        <v>85</v>
      </c>
      <c r="L526">
        <v>22.9</v>
      </c>
      <c r="M526">
        <v>187.1</v>
      </c>
      <c r="N526">
        <v>74</v>
      </c>
      <c r="O526">
        <v>8.42</v>
      </c>
      <c r="P526">
        <v>10.1</v>
      </c>
      <c r="Q526">
        <v>3</v>
      </c>
      <c r="R526">
        <v>2.73</v>
      </c>
      <c r="S526">
        <v>0</v>
      </c>
      <c r="T526" t="b">
        <v>1</v>
      </c>
      <c r="U526">
        <f>IFERROR(SUM(Table1[[#This Row],[Total day minutes]],Table1[[#This Row],[Total eve minutes]],Table1[[#This Row],[Total night minutes]],Table1[[#This Row],[Total intl minutes]]),0)</f>
        <v>707.3</v>
      </c>
      <c r="V526">
        <f>SUM(Table1[[#This Row],[Total intl charge]],Table1[[#This Row],[Total night charge]],Table1[[#This Row],[Total eve charge]],Table1[[#This Row],[Total day charge]])</f>
        <v>74.97</v>
      </c>
      <c r="W526">
        <f>SUM(Table1[[#This Row],[Total intl calls]],Table1[[#This Row],[Total night calls]],Table1[[#This Row],[Total eve calls]],Table1[[#This Row],[Total day calls]])</f>
        <v>244</v>
      </c>
      <c r="X526" t="str" cm="1">
        <f t="array" ref="X526">_xlfn.IFS(Table1[[#This Row],[Customer service calls]]&gt;=4,"High risk",Table1[[#This Row],[Customer service calls]]&gt;=2,"Medium risk",TRUE,"Low risk")</f>
        <v>Low risk</v>
      </c>
      <c r="Y526" t="str" cm="1">
        <f t="array" ref="Y526">IFERROR(_xlfn.IFS(Table1[[#This Row],[Total usage(Min)]]&gt;=AVERAGE(U:U)*1.1,"High risk",Table1[[#This Row],[Total usage(Min)]]&lt;= AVERAGE(U:U)*0.9,"Low risk",TRUE,"Medium risk"),"N/A")</f>
        <v>High risk</v>
      </c>
      <c r="Z526" t="str" cm="1">
        <f t="array" ref="Z526">IFERROR(_xlfn.IFS(Table1[[#This Row],[Total charges]]&gt;=AVERAGE(V:V)*1.1,"High risk",Table1[[#This Row],[Total charges]]&lt;=AVERAGE(V:V)*0.9,"Low risk",TRUE,"Medium risk"),"N/A")</f>
        <v>High risk</v>
      </c>
      <c r="AA5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6" t="str" cm="1">
        <f t="array" ref="AC526">_xlfn.IFS(
AND(Table1[[#This Row],[Customer service risk level]]="High risk", Table1[[#This Row],[Intl usage behaviour]]="Unplanned Usage"),"High Risk",
OR(Table1[[#This Row],[Customer service risk level]]="Medium risk", Table1[[#This Row],[Charges risk level]]="High risk "),"Medium Risk",
TRUE,"Low Risk"
)</f>
        <v>Low Risk</v>
      </c>
    </row>
    <row r="527" spans="1:29" x14ac:dyDescent="0.25">
      <c r="A527" t="s">
        <v>24</v>
      </c>
      <c r="B527">
        <v>209</v>
      </c>
      <c r="C527">
        <v>510</v>
      </c>
      <c r="D527" t="s">
        <v>21</v>
      </c>
      <c r="E527" t="s">
        <v>21</v>
      </c>
      <c r="F527">
        <v>0</v>
      </c>
      <c r="G527">
        <v>255.1</v>
      </c>
      <c r="H527">
        <v>124</v>
      </c>
      <c r="I527">
        <v>43.37</v>
      </c>
      <c r="J527">
        <v>230.6</v>
      </c>
      <c r="K527">
        <v>110</v>
      </c>
      <c r="L527">
        <v>19.600000000000001</v>
      </c>
      <c r="M527">
        <v>218</v>
      </c>
      <c r="N527">
        <v>69</v>
      </c>
      <c r="O527">
        <v>9.81</v>
      </c>
      <c r="P527">
        <v>8.5</v>
      </c>
      <c r="Q527">
        <v>5</v>
      </c>
      <c r="R527">
        <v>2.2999999999999998</v>
      </c>
      <c r="S527">
        <v>3</v>
      </c>
      <c r="T527" t="b">
        <v>1</v>
      </c>
      <c r="U527">
        <f>IFERROR(SUM(Table1[[#This Row],[Total day minutes]],Table1[[#This Row],[Total eve minutes]],Table1[[#This Row],[Total night minutes]],Table1[[#This Row],[Total intl minutes]]),0)</f>
        <v>712.2</v>
      </c>
      <c r="V527">
        <f>SUM(Table1[[#This Row],[Total intl charge]],Table1[[#This Row],[Total night charge]],Table1[[#This Row],[Total eve charge]],Table1[[#This Row],[Total day charge]])</f>
        <v>75.08</v>
      </c>
      <c r="W527">
        <f>SUM(Table1[[#This Row],[Total intl calls]],Table1[[#This Row],[Total night calls]],Table1[[#This Row],[Total eve calls]],Table1[[#This Row],[Total day calls]])</f>
        <v>308</v>
      </c>
      <c r="X527" t="str" cm="1">
        <f t="array" ref="X527">_xlfn.IFS(Table1[[#This Row],[Customer service calls]]&gt;=4,"High risk",Table1[[#This Row],[Customer service calls]]&gt;=2,"Medium risk",TRUE,"Low risk")</f>
        <v>Medium risk</v>
      </c>
      <c r="Y527" t="str" cm="1">
        <f t="array" ref="Y527">IFERROR(_xlfn.IFS(Table1[[#This Row],[Total usage(Min)]]&gt;=AVERAGE(U:U)*1.1,"High risk",Table1[[#This Row],[Total usage(Min)]]&lt;= AVERAGE(U:U)*0.9,"Low risk",TRUE,"Medium risk"),"N/A")</f>
        <v>High risk</v>
      </c>
      <c r="Z527" t="str" cm="1">
        <f t="array" ref="Z527">IFERROR(_xlfn.IFS(Table1[[#This Row],[Total charges]]&gt;=AVERAGE(V:V)*1.1,"High risk",Table1[[#This Row],[Total charges]]&lt;=AVERAGE(V:V)*0.9,"Low risk",TRUE,"Medium risk"),"N/A")</f>
        <v>High risk</v>
      </c>
      <c r="AA5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27" t="str" cm="1">
        <f t="array" ref="AC527">_xlfn.IFS(
AND(Table1[[#This Row],[Customer service risk level]]="High risk", Table1[[#This Row],[Intl usage behaviour]]="Unplanned Usage"),"High Risk",
OR(Table1[[#This Row],[Customer service risk level]]="Medium risk", Table1[[#This Row],[Charges risk level]]="High risk "),"Medium Risk",
TRUE,"Low Risk"
)</f>
        <v>Medium Risk</v>
      </c>
    </row>
    <row r="528" spans="1:29" x14ac:dyDescent="0.25">
      <c r="A528" t="s">
        <v>45</v>
      </c>
      <c r="B528">
        <v>116</v>
      </c>
      <c r="C528">
        <v>408</v>
      </c>
      <c r="D528" t="s">
        <v>21</v>
      </c>
      <c r="E528" t="s">
        <v>27</v>
      </c>
      <c r="F528">
        <v>24</v>
      </c>
      <c r="G528">
        <v>183.6</v>
      </c>
      <c r="H528">
        <v>138</v>
      </c>
      <c r="I528">
        <v>31.21</v>
      </c>
      <c r="J528">
        <v>203.8</v>
      </c>
      <c r="K528">
        <v>90</v>
      </c>
      <c r="L528">
        <v>17.32</v>
      </c>
      <c r="M528">
        <v>166.9</v>
      </c>
      <c r="N528">
        <v>89</v>
      </c>
      <c r="O528">
        <v>7.51</v>
      </c>
      <c r="P528">
        <v>6</v>
      </c>
      <c r="Q528">
        <v>3</v>
      </c>
      <c r="R528">
        <v>1.62</v>
      </c>
      <c r="S528">
        <v>2</v>
      </c>
      <c r="T528" t="b">
        <v>0</v>
      </c>
      <c r="U528">
        <f>IFERROR(SUM(Table1[[#This Row],[Total day minutes]],Table1[[#This Row],[Total eve minutes]],Table1[[#This Row],[Total night minutes]],Table1[[#This Row],[Total intl minutes]]),0)</f>
        <v>560.29999999999995</v>
      </c>
      <c r="V528">
        <f>SUM(Table1[[#This Row],[Total intl charge]],Table1[[#This Row],[Total night charge]],Table1[[#This Row],[Total eve charge]],Table1[[#This Row],[Total day charge]])</f>
        <v>57.66</v>
      </c>
      <c r="W528">
        <f>SUM(Table1[[#This Row],[Total intl calls]],Table1[[#This Row],[Total night calls]],Table1[[#This Row],[Total eve calls]],Table1[[#This Row],[Total day calls]])</f>
        <v>320</v>
      </c>
      <c r="X528" t="str" cm="1">
        <f t="array" ref="X528">_xlfn.IFS(Table1[[#This Row],[Customer service calls]]&gt;=4,"High risk",Table1[[#This Row],[Customer service calls]]&gt;=2,"Medium risk",TRUE,"Low risk")</f>
        <v>Medium risk</v>
      </c>
      <c r="Y528" t="str" cm="1">
        <f t="array" ref="Y528">IFERROR(_xlfn.IFS(Table1[[#This Row],[Total usage(Min)]]&gt;=AVERAGE(U:U)*1.1,"High risk",Table1[[#This Row],[Total usage(Min)]]&lt;= AVERAGE(U:U)*0.9,"Low risk",TRUE,"Medium risk"),"N/A")</f>
        <v>Medium risk</v>
      </c>
      <c r="Z528" t="str" cm="1">
        <f t="array" ref="Z528">IFERROR(_xlfn.IFS(Table1[[#This Row],[Total charges]]&gt;=AVERAGE(V:V)*1.1,"High risk",Table1[[#This Row],[Total charges]]&lt;=AVERAGE(V:V)*0.9,"Low risk",TRUE,"Medium risk"),"N/A")</f>
        <v>Medium risk</v>
      </c>
      <c r="AA5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28" t="str" cm="1">
        <f t="array" ref="AC528">_xlfn.IFS(
AND(Table1[[#This Row],[Customer service risk level]]="High risk", Table1[[#This Row],[Intl usage behaviour]]="Unplanned Usage"),"High Risk",
OR(Table1[[#This Row],[Customer service risk level]]="Medium risk", Table1[[#This Row],[Charges risk level]]="High risk "),"Medium Risk",
TRUE,"Low Risk"
)</f>
        <v>Medium Risk</v>
      </c>
    </row>
    <row r="529" spans="1:29" x14ac:dyDescent="0.25">
      <c r="A529" t="s">
        <v>65</v>
      </c>
      <c r="B529">
        <v>189</v>
      </c>
      <c r="C529">
        <v>415</v>
      </c>
      <c r="D529" t="s">
        <v>21</v>
      </c>
      <c r="E529" t="s">
        <v>27</v>
      </c>
      <c r="F529">
        <v>30</v>
      </c>
      <c r="G529">
        <v>155.19999999999999</v>
      </c>
      <c r="H529">
        <v>116</v>
      </c>
      <c r="I529">
        <v>26.38</v>
      </c>
      <c r="J529">
        <v>195.5</v>
      </c>
      <c r="K529">
        <v>50</v>
      </c>
      <c r="L529">
        <v>16.62</v>
      </c>
      <c r="M529">
        <v>170.1</v>
      </c>
      <c r="N529">
        <v>108</v>
      </c>
      <c r="O529">
        <v>7.65</v>
      </c>
      <c r="P529">
        <v>15.4</v>
      </c>
      <c r="Q529">
        <v>6</v>
      </c>
      <c r="R529">
        <v>4.16</v>
      </c>
      <c r="S529">
        <v>1</v>
      </c>
      <c r="T529" t="b">
        <v>0</v>
      </c>
      <c r="U529">
        <f>IFERROR(SUM(Table1[[#This Row],[Total day minutes]],Table1[[#This Row],[Total eve minutes]],Table1[[#This Row],[Total night minutes]],Table1[[#This Row],[Total intl minutes]]),0)</f>
        <v>536.19999999999993</v>
      </c>
      <c r="V529">
        <f>SUM(Table1[[#This Row],[Total intl charge]],Table1[[#This Row],[Total night charge]],Table1[[#This Row],[Total eve charge]],Table1[[#This Row],[Total day charge]])</f>
        <v>54.81</v>
      </c>
      <c r="W529">
        <f>SUM(Table1[[#This Row],[Total intl calls]],Table1[[#This Row],[Total night calls]],Table1[[#This Row],[Total eve calls]],Table1[[#This Row],[Total day calls]])</f>
        <v>280</v>
      </c>
      <c r="X529" t="str" cm="1">
        <f t="array" ref="X529">_xlfn.IFS(Table1[[#This Row],[Customer service calls]]&gt;=4,"High risk",Table1[[#This Row],[Customer service calls]]&gt;=2,"Medium risk",TRUE,"Low risk")</f>
        <v>Low risk</v>
      </c>
      <c r="Y529" t="str" cm="1">
        <f t="array" ref="Y529">IFERROR(_xlfn.IFS(Table1[[#This Row],[Total usage(Min)]]&gt;=AVERAGE(U:U)*1.1,"High risk",Table1[[#This Row],[Total usage(Min)]]&lt;= AVERAGE(U:U)*0.9,"Low risk",TRUE,"Medium risk"),"N/A")</f>
        <v>Medium risk</v>
      </c>
      <c r="Z529" t="str" cm="1">
        <f t="array" ref="Z529">IFERROR(_xlfn.IFS(Table1[[#This Row],[Total charges]]&gt;=AVERAGE(V:V)*1.1,"High risk",Table1[[#This Row],[Total charges]]&lt;=AVERAGE(V:V)*0.9,"Low risk",TRUE,"Medium risk"),"N/A")</f>
        <v>Medium risk</v>
      </c>
      <c r="AA5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2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29" t="str" cm="1">
        <f t="array" ref="AC529">_xlfn.IFS(
AND(Table1[[#This Row],[Customer service risk level]]="High risk", Table1[[#This Row],[Intl usage behaviour]]="Unplanned Usage"),"High Risk",
OR(Table1[[#This Row],[Customer service risk level]]="Medium risk", Table1[[#This Row],[Charges risk level]]="High risk "),"Medium Risk",
TRUE,"Low Risk"
)</f>
        <v>Low Risk</v>
      </c>
    </row>
    <row r="530" spans="1:29" x14ac:dyDescent="0.25">
      <c r="A530" t="s">
        <v>55</v>
      </c>
      <c r="B530">
        <v>84</v>
      </c>
      <c r="C530">
        <v>510</v>
      </c>
      <c r="D530" t="s">
        <v>21</v>
      </c>
      <c r="E530" t="s">
        <v>21</v>
      </c>
      <c r="F530">
        <v>0</v>
      </c>
      <c r="G530">
        <v>203.4</v>
      </c>
      <c r="H530">
        <v>125</v>
      </c>
      <c r="I530">
        <v>34.58</v>
      </c>
      <c r="J530">
        <v>182.9</v>
      </c>
      <c r="K530">
        <v>88</v>
      </c>
      <c r="L530">
        <v>15.55</v>
      </c>
      <c r="M530">
        <v>213.7</v>
      </c>
      <c r="N530">
        <v>121</v>
      </c>
      <c r="O530">
        <v>9.6199999999999992</v>
      </c>
      <c r="P530">
        <v>13.8</v>
      </c>
      <c r="Q530">
        <v>2</v>
      </c>
      <c r="R530">
        <v>3.73</v>
      </c>
      <c r="S530">
        <v>1</v>
      </c>
      <c r="T530" t="b">
        <v>0</v>
      </c>
      <c r="U530">
        <f>IFERROR(SUM(Table1[[#This Row],[Total day minutes]],Table1[[#This Row],[Total eve minutes]],Table1[[#This Row],[Total night minutes]],Table1[[#This Row],[Total intl minutes]]),0)</f>
        <v>613.79999999999995</v>
      </c>
      <c r="V530">
        <f>SUM(Table1[[#This Row],[Total intl charge]],Table1[[#This Row],[Total night charge]],Table1[[#This Row],[Total eve charge]],Table1[[#This Row],[Total day charge]])</f>
        <v>63.48</v>
      </c>
      <c r="W530">
        <f>SUM(Table1[[#This Row],[Total intl calls]],Table1[[#This Row],[Total night calls]],Table1[[#This Row],[Total eve calls]],Table1[[#This Row],[Total day calls]])</f>
        <v>336</v>
      </c>
      <c r="X530" t="str" cm="1">
        <f t="array" ref="X530">_xlfn.IFS(Table1[[#This Row],[Customer service calls]]&gt;=4,"High risk",Table1[[#This Row],[Customer service calls]]&gt;=2,"Medium risk",TRUE,"Low risk")</f>
        <v>Low risk</v>
      </c>
      <c r="Y530" t="str" cm="1">
        <f t="array" ref="Y530">IFERROR(_xlfn.IFS(Table1[[#This Row],[Total usage(Min)]]&gt;=AVERAGE(U:U)*1.1,"High risk",Table1[[#This Row],[Total usage(Min)]]&lt;= AVERAGE(U:U)*0.9,"Low risk",TRUE,"Medium risk"),"N/A")</f>
        <v>Medium risk</v>
      </c>
      <c r="Z530" t="str" cm="1">
        <f t="array" ref="Z530">IFERROR(_xlfn.IFS(Table1[[#This Row],[Total charges]]&gt;=AVERAGE(V:V)*1.1,"High risk",Table1[[#This Row],[Total charges]]&lt;=AVERAGE(V:V)*0.9,"Low risk",TRUE,"Medium risk"),"N/A")</f>
        <v>Medium risk</v>
      </c>
      <c r="AA5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0" t="str" cm="1">
        <f t="array" ref="AC530">_xlfn.IFS(
AND(Table1[[#This Row],[Customer service risk level]]="High risk", Table1[[#This Row],[Intl usage behaviour]]="Unplanned Usage"),"High Risk",
OR(Table1[[#This Row],[Customer service risk level]]="Medium risk", Table1[[#This Row],[Charges risk level]]="High risk "),"Medium Risk",
TRUE,"Low Risk"
)</f>
        <v>Low Risk</v>
      </c>
    </row>
    <row r="531" spans="1:29" x14ac:dyDescent="0.25">
      <c r="A531" t="s">
        <v>64</v>
      </c>
      <c r="B531">
        <v>182</v>
      </c>
      <c r="C531">
        <v>415</v>
      </c>
      <c r="D531" t="s">
        <v>21</v>
      </c>
      <c r="E531" t="s">
        <v>21</v>
      </c>
      <c r="F531">
        <v>0</v>
      </c>
      <c r="G531">
        <v>279.10000000000002</v>
      </c>
      <c r="H531">
        <v>124</v>
      </c>
      <c r="I531">
        <v>47.45</v>
      </c>
      <c r="J531">
        <v>180.5</v>
      </c>
      <c r="K531">
        <v>108</v>
      </c>
      <c r="L531">
        <v>15.34</v>
      </c>
      <c r="M531">
        <v>217.5</v>
      </c>
      <c r="N531">
        <v>104</v>
      </c>
      <c r="O531">
        <v>9.7899999999999991</v>
      </c>
      <c r="P531">
        <v>9.5</v>
      </c>
      <c r="Q531">
        <v>11</v>
      </c>
      <c r="R531">
        <v>2.57</v>
      </c>
      <c r="S531">
        <v>2</v>
      </c>
      <c r="T531" t="b">
        <v>1</v>
      </c>
      <c r="U531">
        <f>IFERROR(SUM(Table1[[#This Row],[Total day minutes]],Table1[[#This Row],[Total eve minutes]],Table1[[#This Row],[Total night minutes]],Table1[[#This Row],[Total intl minutes]]),0)</f>
        <v>686.6</v>
      </c>
      <c r="V531">
        <f>SUM(Table1[[#This Row],[Total intl charge]],Table1[[#This Row],[Total night charge]],Table1[[#This Row],[Total eve charge]],Table1[[#This Row],[Total day charge]])</f>
        <v>75.150000000000006</v>
      </c>
      <c r="W531">
        <f>SUM(Table1[[#This Row],[Total intl calls]],Table1[[#This Row],[Total night calls]],Table1[[#This Row],[Total eve calls]],Table1[[#This Row],[Total day calls]])</f>
        <v>347</v>
      </c>
      <c r="X531" t="str" cm="1">
        <f t="array" ref="X531">_xlfn.IFS(Table1[[#This Row],[Customer service calls]]&gt;=4,"High risk",Table1[[#This Row],[Customer service calls]]&gt;=2,"Medium risk",TRUE,"Low risk")</f>
        <v>Medium risk</v>
      </c>
      <c r="Y531" t="str" cm="1">
        <f t="array" ref="Y531">IFERROR(_xlfn.IFS(Table1[[#This Row],[Total usage(Min)]]&gt;=AVERAGE(U:U)*1.1,"High risk",Table1[[#This Row],[Total usage(Min)]]&lt;= AVERAGE(U:U)*0.9,"Low risk",TRUE,"Medium risk"),"N/A")</f>
        <v>High risk</v>
      </c>
      <c r="Z531" t="str" cm="1">
        <f t="array" ref="Z531">IFERROR(_xlfn.IFS(Table1[[#This Row],[Total charges]]&gt;=AVERAGE(V:V)*1.1,"High risk",Table1[[#This Row],[Total charges]]&lt;=AVERAGE(V:V)*0.9,"Low risk",TRUE,"Medium risk"),"N/A")</f>
        <v>High risk</v>
      </c>
      <c r="AA5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1" t="str" cm="1">
        <f t="array" ref="AC531">_xlfn.IFS(
AND(Table1[[#This Row],[Customer service risk level]]="High risk", Table1[[#This Row],[Intl usage behaviour]]="Unplanned Usage"),"High Risk",
OR(Table1[[#This Row],[Customer service risk level]]="Medium risk", Table1[[#This Row],[Charges risk level]]="High risk "),"Medium Risk",
TRUE,"Low Risk"
)</f>
        <v>Medium Risk</v>
      </c>
    </row>
    <row r="532" spans="1:29" x14ac:dyDescent="0.25">
      <c r="A532" t="s">
        <v>25</v>
      </c>
      <c r="B532">
        <v>171</v>
      </c>
      <c r="C532">
        <v>510</v>
      </c>
      <c r="D532" t="s">
        <v>21</v>
      </c>
      <c r="E532" t="s">
        <v>21</v>
      </c>
      <c r="F532">
        <v>0</v>
      </c>
      <c r="G532">
        <v>189.8</v>
      </c>
      <c r="H532">
        <v>122</v>
      </c>
      <c r="I532">
        <v>32.270000000000003</v>
      </c>
      <c r="J532">
        <v>173.7</v>
      </c>
      <c r="K532">
        <v>85</v>
      </c>
      <c r="L532">
        <v>14.76</v>
      </c>
      <c r="M532">
        <v>257.10000000000002</v>
      </c>
      <c r="N532">
        <v>84</v>
      </c>
      <c r="O532">
        <v>11.57</v>
      </c>
      <c r="P532">
        <v>10.3</v>
      </c>
      <c r="Q532">
        <v>1</v>
      </c>
      <c r="R532">
        <v>2.78</v>
      </c>
      <c r="S532">
        <v>0</v>
      </c>
      <c r="T532" t="b">
        <v>0</v>
      </c>
      <c r="U532">
        <f>IFERROR(SUM(Table1[[#This Row],[Total day minutes]],Table1[[#This Row],[Total eve minutes]],Table1[[#This Row],[Total night minutes]],Table1[[#This Row],[Total intl minutes]]),0)</f>
        <v>630.9</v>
      </c>
      <c r="V532">
        <f>SUM(Table1[[#This Row],[Total intl charge]],Table1[[#This Row],[Total night charge]],Table1[[#This Row],[Total eve charge]],Table1[[#This Row],[Total day charge]])</f>
        <v>61.38</v>
      </c>
      <c r="W532">
        <f>SUM(Table1[[#This Row],[Total intl calls]],Table1[[#This Row],[Total night calls]],Table1[[#This Row],[Total eve calls]],Table1[[#This Row],[Total day calls]])</f>
        <v>292</v>
      </c>
      <c r="X532" t="str" cm="1">
        <f t="array" ref="X532">_xlfn.IFS(Table1[[#This Row],[Customer service calls]]&gt;=4,"High risk",Table1[[#This Row],[Customer service calls]]&gt;=2,"Medium risk",TRUE,"Low risk")</f>
        <v>Low risk</v>
      </c>
      <c r="Y532" t="str" cm="1">
        <f t="array" ref="Y532">IFERROR(_xlfn.IFS(Table1[[#This Row],[Total usage(Min)]]&gt;=AVERAGE(U:U)*1.1,"High risk",Table1[[#This Row],[Total usage(Min)]]&lt;= AVERAGE(U:U)*0.9,"Low risk",TRUE,"Medium risk"),"N/A")</f>
        <v>Medium risk</v>
      </c>
      <c r="Z532" t="str" cm="1">
        <f t="array" ref="Z532">IFERROR(_xlfn.IFS(Table1[[#This Row],[Total charges]]&gt;=AVERAGE(V:V)*1.1,"High risk",Table1[[#This Row],[Total charges]]&lt;=AVERAGE(V:V)*0.9,"Low risk",TRUE,"Medium risk"),"N/A")</f>
        <v>Medium risk</v>
      </c>
      <c r="AA5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2" t="str" cm="1">
        <f t="array" ref="AC532">_xlfn.IFS(
AND(Table1[[#This Row],[Customer service risk level]]="High risk", Table1[[#This Row],[Intl usage behaviour]]="Unplanned Usage"),"High Risk",
OR(Table1[[#This Row],[Customer service risk level]]="Medium risk", Table1[[#This Row],[Charges risk level]]="High risk "),"Medium Risk",
TRUE,"Low Risk"
)</f>
        <v>Low Risk</v>
      </c>
    </row>
    <row r="533" spans="1:29" x14ac:dyDescent="0.25">
      <c r="A533" t="s">
        <v>58</v>
      </c>
      <c r="B533">
        <v>90</v>
      </c>
      <c r="C533">
        <v>415</v>
      </c>
      <c r="D533" t="s">
        <v>21</v>
      </c>
      <c r="E533" t="s">
        <v>21</v>
      </c>
      <c r="F533">
        <v>0</v>
      </c>
      <c r="G533">
        <v>198.5</v>
      </c>
      <c r="H533">
        <v>124</v>
      </c>
      <c r="I533">
        <v>33.75</v>
      </c>
      <c r="J533">
        <v>266.60000000000002</v>
      </c>
      <c r="K533">
        <v>100</v>
      </c>
      <c r="L533">
        <v>22.66</v>
      </c>
      <c r="M533">
        <v>243.3</v>
      </c>
      <c r="N533">
        <v>80</v>
      </c>
      <c r="O533">
        <v>10.95</v>
      </c>
      <c r="P533">
        <v>8</v>
      </c>
      <c r="Q533">
        <v>7</v>
      </c>
      <c r="R533">
        <v>2.16</v>
      </c>
      <c r="S533">
        <v>2</v>
      </c>
      <c r="T533" t="b">
        <v>0</v>
      </c>
      <c r="U533">
        <f>IFERROR(SUM(Table1[[#This Row],[Total day minutes]],Table1[[#This Row],[Total eve minutes]],Table1[[#This Row],[Total night minutes]],Table1[[#This Row],[Total intl minutes]]),0)</f>
        <v>716.40000000000009</v>
      </c>
      <c r="V533">
        <f>SUM(Table1[[#This Row],[Total intl charge]],Table1[[#This Row],[Total night charge]],Table1[[#This Row],[Total eve charge]],Table1[[#This Row],[Total day charge]])</f>
        <v>69.52</v>
      </c>
      <c r="W533">
        <f>SUM(Table1[[#This Row],[Total intl calls]],Table1[[#This Row],[Total night calls]],Table1[[#This Row],[Total eve calls]],Table1[[#This Row],[Total day calls]])</f>
        <v>311</v>
      </c>
      <c r="X533" t="str" cm="1">
        <f t="array" ref="X533">_xlfn.IFS(Table1[[#This Row],[Customer service calls]]&gt;=4,"High risk",Table1[[#This Row],[Customer service calls]]&gt;=2,"Medium risk",TRUE,"Low risk")</f>
        <v>Medium risk</v>
      </c>
      <c r="Y533" t="str" cm="1">
        <f t="array" ref="Y533">IFERROR(_xlfn.IFS(Table1[[#This Row],[Total usage(Min)]]&gt;=AVERAGE(U:U)*1.1,"High risk",Table1[[#This Row],[Total usage(Min)]]&lt;= AVERAGE(U:U)*0.9,"Low risk",TRUE,"Medium risk"),"N/A")</f>
        <v>High risk</v>
      </c>
      <c r="Z533" t="str" cm="1">
        <f t="array" ref="Z533">IFERROR(_xlfn.IFS(Table1[[#This Row],[Total charges]]&gt;=AVERAGE(V:V)*1.1,"High risk",Table1[[#This Row],[Total charges]]&lt;=AVERAGE(V:V)*0.9,"Low risk",TRUE,"Medium risk"),"N/A")</f>
        <v>High risk</v>
      </c>
      <c r="AA5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3" t="str" cm="1">
        <f t="array" ref="AC533">_xlfn.IFS(
AND(Table1[[#This Row],[Customer service risk level]]="High risk", Table1[[#This Row],[Intl usage behaviour]]="Unplanned Usage"),"High Risk",
OR(Table1[[#This Row],[Customer service risk level]]="Medium risk", Table1[[#This Row],[Charges risk level]]="High risk "),"Medium Risk",
TRUE,"Low Risk"
)</f>
        <v>Medium Risk</v>
      </c>
    </row>
    <row r="534" spans="1:29" x14ac:dyDescent="0.25">
      <c r="A534" t="s">
        <v>44</v>
      </c>
      <c r="B534">
        <v>117</v>
      </c>
      <c r="C534">
        <v>510</v>
      </c>
      <c r="D534" t="s">
        <v>21</v>
      </c>
      <c r="E534" t="s">
        <v>21</v>
      </c>
      <c r="F534">
        <v>0</v>
      </c>
      <c r="G534">
        <v>158.69999999999999</v>
      </c>
      <c r="H534">
        <v>84</v>
      </c>
      <c r="I534">
        <v>26.98</v>
      </c>
      <c r="J534">
        <v>181.7</v>
      </c>
      <c r="K534">
        <v>91</v>
      </c>
      <c r="L534">
        <v>15.44</v>
      </c>
      <c r="M534">
        <v>177.3</v>
      </c>
      <c r="N534">
        <v>67</v>
      </c>
      <c r="O534">
        <v>7.98</v>
      </c>
      <c r="P534">
        <v>7.7</v>
      </c>
      <c r="Q534">
        <v>10</v>
      </c>
      <c r="R534">
        <v>2.08</v>
      </c>
      <c r="S534">
        <v>2</v>
      </c>
      <c r="T534" t="b">
        <v>0</v>
      </c>
      <c r="U534">
        <f>IFERROR(SUM(Table1[[#This Row],[Total day minutes]],Table1[[#This Row],[Total eve minutes]],Table1[[#This Row],[Total night minutes]],Table1[[#This Row],[Total intl minutes]]),0)</f>
        <v>525.40000000000009</v>
      </c>
      <c r="V534">
        <f>SUM(Table1[[#This Row],[Total intl charge]],Table1[[#This Row],[Total night charge]],Table1[[#This Row],[Total eve charge]],Table1[[#This Row],[Total day charge]])</f>
        <v>52.480000000000004</v>
      </c>
      <c r="W534">
        <f>SUM(Table1[[#This Row],[Total intl calls]],Table1[[#This Row],[Total night calls]],Table1[[#This Row],[Total eve calls]],Table1[[#This Row],[Total day calls]])</f>
        <v>252</v>
      </c>
      <c r="X534" t="str" cm="1">
        <f t="array" ref="X534">_xlfn.IFS(Table1[[#This Row],[Customer service calls]]&gt;=4,"High risk",Table1[[#This Row],[Customer service calls]]&gt;=2,"Medium risk",TRUE,"Low risk")</f>
        <v>Medium risk</v>
      </c>
      <c r="Y534" t="str" cm="1">
        <f t="array" ref="Y534">IFERROR(_xlfn.IFS(Table1[[#This Row],[Total usage(Min)]]&gt;=AVERAGE(U:U)*1.1,"High risk",Table1[[#This Row],[Total usage(Min)]]&lt;= AVERAGE(U:U)*0.9,"Low risk",TRUE,"Medium risk"),"N/A")</f>
        <v>Low risk</v>
      </c>
      <c r="Z534" t="str" cm="1">
        <f t="array" ref="Z534">IFERROR(_xlfn.IFS(Table1[[#This Row],[Total charges]]&gt;=AVERAGE(V:V)*1.1,"High risk",Table1[[#This Row],[Total charges]]&lt;=AVERAGE(V:V)*0.9,"Low risk",TRUE,"Medium risk"),"N/A")</f>
        <v>Low risk</v>
      </c>
      <c r="AA5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4" t="str" cm="1">
        <f t="array" ref="AC534">_xlfn.IFS(
AND(Table1[[#This Row],[Customer service risk level]]="High risk", Table1[[#This Row],[Intl usage behaviour]]="Unplanned Usage"),"High Risk",
OR(Table1[[#This Row],[Customer service risk level]]="Medium risk", Table1[[#This Row],[Charges risk level]]="High risk "),"Medium Risk",
TRUE,"Low Risk"
)</f>
        <v>Medium Risk</v>
      </c>
    </row>
    <row r="535" spans="1:29" x14ac:dyDescent="0.25">
      <c r="A535" t="s">
        <v>52</v>
      </c>
      <c r="B535">
        <v>186</v>
      </c>
      <c r="C535">
        <v>510</v>
      </c>
      <c r="D535" t="s">
        <v>21</v>
      </c>
      <c r="E535" t="s">
        <v>21</v>
      </c>
      <c r="F535">
        <v>0</v>
      </c>
      <c r="G535">
        <v>137.80000000000001</v>
      </c>
      <c r="H535">
        <v>97</v>
      </c>
      <c r="I535">
        <v>23.43</v>
      </c>
      <c r="J535">
        <v>187.7</v>
      </c>
      <c r="K535">
        <v>118</v>
      </c>
      <c r="L535">
        <v>15.95</v>
      </c>
      <c r="M535">
        <v>146.4</v>
      </c>
      <c r="N535">
        <v>85</v>
      </c>
      <c r="O535">
        <v>6.59</v>
      </c>
      <c r="P535">
        <v>8.6999999999999993</v>
      </c>
      <c r="Q535">
        <v>6</v>
      </c>
      <c r="R535">
        <v>2.35</v>
      </c>
      <c r="S535">
        <v>1</v>
      </c>
      <c r="T535" t="b">
        <v>0</v>
      </c>
      <c r="U535">
        <f>IFERROR(SUM(Table1[[#This Row],[Total day minutes]],Table1[[#This Row],[Total eve minutes]],Table1[[#This Row],[Total night minutes]],Table1[[#This Row],[Total intl minutes]]),0)</f>
        <v>480.59999999999997</v>
      </c>
      <c r="V535">
        <f>SUM(Table1[[#This Row],[Total intl charge]],Table1[[#This Row],[Total night charge]],Table1[[#This Row],[Total eve charge]],Table1[[#This Row],[Total day charge]])</f>
        <v>48.32</v>
      </c>
      <c r="W535">
        <f>SUM(Table1[[#This Row],[Total intl calls]],Table1[[#This Row],[Total night calls]],Table1[[#This Row],[Total eve calls]],Table1[[#This Row],[Total day calls]])</f>
        <v>306</v>
      </c>
      <c r="X535" t="str" cm="1">
        <f t="array" ref="X535">_xlfn.IFS(Table1[[#This Row],[Customer service calls]]&gt;=4,"High risk",Table1[[#This Row],[Customer service calls]]&gt;=2,"Medium risk",TRUE,"Low risk")</f>
        <v>Low risk</v>
      </c>
      <c r="Y535" t="str" cm="1">
        <f t="array" ref="Y535">IFERROR(_xlfn.IFS(Table1[[#This Row],[Total usage(Min)]]&gt;=AVERAGE(U:U)*1.1,"High risk",Table1[[#This Row],[Total usage(Min)]]&lt;= AVERAGE(U:U)*0.9,"Low risk",TRUE,"Medium risk"),"N/A")</f>
        <v>Low risk</v>
      </c>
      <c r="Z535" t="str" cm="1">
        <f t="array" ref="Z535">IFERROR(_xlfn.IFS(Table1[[#This Row],[Total charges]]&gt;=AVERAGE(V:V)*1.1,"High risk",Table1[[#This Row],[Total charges]]&lt;=AVERAGE(V:V)*0.9,"Low risk",TRUE,"Medium risk"),"N/A")</f>
        <v>Low risk</v>
      </c>
      <c r="AA5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5" t="str" cm="1">
        <f t="array" ref="AC535">_xlfn.IFS(
AND(Table1[[#This Row],[Customer service risk level]]="High risk", Table1[[#This Row],[Intl usage behaviour]]="Unplanned Usage"),"High Risk",
OR(Table1[[#This Row],[Customer service risk level]]="Medium risk", Table1[[#This Row],[Charges risk level]]="High risk "),"Medium Risk",
TRUE,"Low Risk"
)</f>
        <v>Low Risk</v>
      </c>
    </row>
    <row r="536" spans="1:29" x14ac:dyDescent="0.25">
      <c r="A536" t="s">
        <v>26</v>
      </c>
      <c r="B536">
        <v>55</v>
      </c>
      <c r="C536">
        <v>408</v>
      </c>
      <c r="D536" t="s">
        <v>21</v>
      </c>
      <c r="E536" t="s">
        <v>27</v>
      </c>
      <c r="F536">
        <v>39</v>
      </c>
      <c r="G536">
        <v>139.30000000000001</v>
      </c>
      <c r="H536">
        <v>101</v>
      </c>
      <c r="I536">
        <v>23.68</v>
      </c>
      <c r="J536">
        <v>178.3</v>
      </c>
      <c r="K536">
        <v>117</v>
      </c>
      <c r="L536">
        <v>15.16</v>
      </c>
      <c r="M536">
        <v>246.5</v>
      </c>
      <c r="N536">
        <v>104</v>
      </c>
      <c r="O536">
        <v>11.09</v>
      </c>
      <c r="P536">
        <v>8.1</v>
      </c>
      <c r="Q536">
        <v>1</v>
      </c>
      <c r="R536">
        <v>2.19</v>
      </c>
      <c r="S536">
        <v>3</v>
      </c>
      <c r="T536" t="b">
        <v>0</v>
      </c>
      <c r="U536">
        <f>IFERROR(SUM(Table1[[#This Row],[Total day minutes]],Table1[[#This Row],[Total eve minutes]],Table1[[#This Row],[Total night minutes]],Table1[[#This Row],[Total intl minutes]]),0)</f>
        <v>572.20000000000005</v>
      </c>
      <c r="V536">
        <f>SUM(Table1[[#This Row],[Total intl charge]],Table1[[#This Row],[Total night charge]],Table1[[#This Row],[Total eve charge]],Table1[[#This Row],[Total day charge]])</f>
        <v>52.12</v>
      </c>
      <c r="W536">
        <f>SUM(Table1[[#This Row],[Total intl calls]],Table1[[#This Row],[Total night calls]],Table1[[#This Row],[Total eve calls]],Table1[[#This Row],[Total day calls]])</f>
        <v>323</v>
      </c>
      <c r="X536" t="str" cm="1">
        <f t="array" ref="X536">_xlfn.IFS(Table1[[#This Row],[Customer service calls]]&gt;=4,"High risk",Table1[[#This Row],[Customer service calls]]&gt;=2,"Medium risk",TRUE,"Low risk")</f>
        <v>Medium risk</v>
      </c>
      <c r="Y536" t="str" cm="1">
        <f t="array" ref="Y536">IFERROR(_xlfn.IFS(Table1[[#This Row],[Total usage(Min)]]&gt;=AVERAGE(U:U)*1.1,"High risk",Table1[[#This Row],[Total usage(Min)]]&lt;= AVERAGE(U:U)*0.9,"Low risk",TRUE,"Medium risk"),"N/A")</f>
        <v>Medium risk</v>
      </c>
      <c r="Z536" t="str" cm="1">
        <f t="array" ref="Z536">IFERROR(_xlfn.IFS(Table1[[#This Row],[Total charges]]&gt;=AVERAGE(V:V)*1.1,"High risk",Table1[[#This Row],[Total charges]]&lt;=AVERAGE(V:V)*0.9,"Low risk",TRUE,"Medium risk"),"N/A")</f>
        <v>Low risk</v>
      </c>
      <c r="AA5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36" t="str" cm="1">
        <f t="array" ref="AC536">_xlfn.IFS(
AND(Table1[[#This Row],[Customer service risk level]]="High risk", Table1[[#This Row],[Intl usage behaviour]]="Unplanned Usage"),"High Risk",
OR(Table1[[#This Row],[Customer service risk level]]="Medium risk", Table1[[#This Row],[Charges risk level]]="High risk "),"Medium Risk",
TRUE,"Low Risk"
)</f>
        <v>Medium Risk</v>
      </c>
    </row>
    <row r="537" spans="1:29" x14ac:dyDescent="0.25">
      <c r="A537" t="s">
        <v>31</v>
      </c>
      <c r="B537">
        <v>74</v>
      </c>
      <c r="C537">
        <v>408</v>
      </c>
      <c r="D537" t="s">
        <v>21</v>
      </c>
      <c r="E537" t="s">
        <v>21</v>
      </c>
      <c r="F537">
        <v>0</v>
      </c>
      <c r="G537">
        <v>177.4</v>
      </c>
      <c r="H537">
        <v>136</v>
      </c>
      <c r="I537">
        <v>30.16</v>
      </c>
      <c r="J537">
        <v>240.3</v>
      </c>
      <c r="K537">
        <v>104</v>
      </c>
      <c r="L537">
        <v>20.43</v>
      </c>
      <c r="M537">
        <v>237.3</v>
      </c>
      <c r="N537">
        <v>133</v>
      </c>
      <c r="O537">
        <v>10.68</v>
      </c>
      <c r="P537">
        <v>12</v>
      </c>
      <c r="Q537">
        <v>3</v>
      </c>
      <c r="R537">
        <v>3.24</v>
      </c>
      <c r="S537">
        <v>0</v>
      </c>
      <c r="T537" t="b">
        <v>0</v>
      </c>
      <c r="U537">
        <f>IFERROR(SUM(Table1[[#This Row],[Total day minutes]],Table1[[#This Row],[Total eve minutes]],Table1[[#This Row],[Total night minutes]],Table1[[#This Row],[Total intl minutes]]),0)</f>
        <v>667</v>
      </c>
      <c r="V537">
        <f>SUM(Table1[[#This Row],[Total intl charge]],Table1[[#This Row],[Total night charge]],Table1[[#This Row],[Total eve charge]],Table1[[#This Row],[Total day charge]])</f>
        <v>64.510000000000005</v>
      </c>
      <c r="W537">
        <f>SUM(Table1[[#This Row],[Total intl calls]],Table1[[#This Row],[Total night calls]],Table1[[#This Row],[Total eve calls]],Table1[[#This Row],[Total day calls]])</f>
        <v>376</v>
      </c>
      <c r="X537" t="str" cm="1">
        <f t="array" ref="X537">_xlfn.IFS(Table1[[#This Row],[Customer service calls]]&gt;=4,"High risk",Table1[[#This Row],[Customer service calls]]&gt;=2,"Medium risk",TRUE,"Low risk")</f>
        <v>Low risk</v>
      </c>
      <c r="Y537" t="str" cm="1">
        <f t="array" ref="Y537">IFERROR(_xlfn.IFS(Table1[[#This Row],[Total usage(Min)]]&gt;=AVERAGE(U:U)*1.1,"High risk",Table1[[#This Row],[Total usage(Min)]]&lt;= AVERAGE(U:U)*0.9,"Low risk",TRUE,"Medium risk"),"N/A")</f>
        <v>High risk</v>
      </c>
      <c r="Z537" t="str" cm="1">
        <f t="array" ref="Z537">IFERROR(_xlfn.IFS(Table1[[#This Row],[Total charges]]&gt;=AVERAGE(V:V)*1.1,"High risk",Table1[[#This Row],[Total charges]]&lt;=AVERAGE(V:V)*0.9,"Low risk",TRUE,"Medium risk"),"N/A")</f>
        <v>Medium risk</v>
      </c>
      <c r="AA5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7" t="str" cm="1">
        <f t="array" ref="AC537">_xlfn.IFS(
AND(Table1[[#This Row],[Customer service risk level]]="High risk", Table1[[#This Row],[Intl usage behaviour]]="Unplanned Usage"),"High Risk",
OR(Table1[[#This Row],[Customer service risk level]]="Medium risk", Table1[[#This Row],[Charges risk level]]="High risk "),"Medium Risk",
TRUE,"Low Risk"
)</f>
        <v>Low Risk</v>
      </c>
    </row>
    <row r="538" spans="1:29" x14ac:dyDescent="0.25">
      <c r="A538" t="s">
        <v>22</v>
      </c>
      <c r="B538">
        <v>130</v>
      </c>
      <c r="C538">
        <v>408</v>
      </c>
      <c r="D538" t="s">
        <v>21</v>
      </c>
      <c r="E538" t="s">
        <v>21</v>
      </c>
      <c r="F538">
        <v>0</v>
      </c>
      <c r="G538">
        <v>115.6</v>
      </c>
      <c r="H538">
        <v>129</v>
      </c>
      <c r="I538">
        <v>19.649999999999999</v>
      </c>
      <c r="J538">
        <v>167.8</v>
      </c>
      <c r="K538">
        <v>104</v>
      </c>
      <c r="L538">
        <v>14.26</v>
      </c>
      <c r="M538">
        <v>141.80000000000001</v>
      </c>
      <c r="N538">
        <v>124</v>
      </c>
      <c r="O538">
        <v>6.38</v>
      </c>
      <c r="P538">
        <v>12.6</v>
      </c>
      <c r="Q538">
        <v>9</v>
      </c>
      <c r="R538">
        <v>3.4</v>
      </c>
      <c r="S538">
        <v>1</v>
      </c>
      <c r="T538" t="b">
        <v>0</v>
      </c>
      <c r="U538">
        <f>IFERROR(SUM(Table1[[#This Row],[Total day minutes]],Table1[[#This Row],[Total eve minutes]],Table1[[#This Row],[Total night minutes]],Table1[[#This Row],[Total intl minutes]]),0)</f>
        <v>437.8</v>
      </c>
      <c r="V538">
        <f>SUM(Table1[[#This Row],[Total intl charge]],Table1[[#This Row],[Total night charge]],Table1[[#This Row],[Total eve charge]],Table1[[#This Row],[Total day charge]])</f>
        <v>43.69</v>
      </c>
      <c r="W538">
        <f>SUM(Table1[[#This Row],[Total intl calls]],Table1[[#This Row],[Total night calls]],Table1[[#This Row],[Total eve calls]],Table1[[#This Row],[Total day calls]])</f>
        <v>366</v>
      </c>
      <c r="X538" t="str" cm="1">
        <f t="array" ref="X538">_xlfn.IFS(Table1[[#This Row],[Customer service calls]]&gt;=4,"High risk",Table1[[#This Row],[Customer service calls]]&gt;=2,"Medium risk",TRUE,"Low risk")</f>
        <v>Low risk</v>
      </c>
      <c r="Y538" t="str" cm="1">
        <f t="array" ref="Y538">IFERROR(_xlfn.IFS(Table1[[#This Row],[Total usage(Min)]]&gt;=AVERAGE(U:U)*1.1,"High risk",Table1[[#This Row],[Total usage(Min)]]&lt;= AVERAGE(U:U)*0.9,"Low risk",TRUE,"Medium risk"),"N/A")</f>
        <v>Low risk</v>
      </c>
      <c r="Z538" t="str" cm="1">
        <f t="array" ref="Z538">IFERROR(_xlfn.IFS(Table1[[#This Row],[Total charges]]&gt;=AVERAGE(V:V)*1.1,"High risk",Table1[[#This Row],[Total charges]]&lt;=AVERAGE(V:V)*0.9,"Low risk",TRUE,"Medium risk"),"N/A")</f>
        <v>Low risk</v>
      </c>
      <c r="AA5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8" t="str" cm="1">
        <f t="array" ref="AC538">_xlfn.IFS(
AND(Table1[[#This Row],[Customer service risk level]]="High risk", Table1[[#This Row],[Intl usage behaviour]]="Unplanned Usage"),"High Risk",
OR(Table1[[#This Row],[Customer service risk level]]="Medium risk", Table1[[#This Row],[Charges risk level]]="High risk "),"Medium Risk",
TRUE,"Low Risk"
)</f>
        <v>Low Risk</v>
      </c>
    </row>
    <row r="539" spans="1:29" x14ac:dyDescent="0.25">
      <c r="A539" t="s">
        <v>61</v>
      </c>
      <c r="B539">
        <v>80</v>
      </c>
      <c r="C539">
        <v>408</v>
      </c>
      <c r="D539" t="s">
        <v>21</v>
      </c>
      <c r="E539" t="s">
        <v>21</v>
      </c>
      <c r="F539">
        <v>0</v>
      </c>
      <c r="G539">
        <v>51.5</v>
      </c>
      <c r="H539">
        <v>90</v>
      </c>
      <c r="I539">
        <v>8.76</v>
      </c>
      <c r="J539">
        <v>164</v>
      </c>
      <c r="K539">
        <v>98</v>
      </c>
      <c r="L539">
        <v>13.94</v>
      </c>
      <c r="M539">
        <v>169.4</v>
      </c>
      <c r="N539">
        <v>80</v>
      </c>
      <c r="O539">
        <v>7.62</v>
      </c>
      <c r="P539">
        <v>9.5</v>
      </c>
      <c r="Q539">
        <v>4</v>
      </c>
      <c r="R539">
        <v>2.57</v>
      </c>
      <c r="S539">
        <v>3</v>
      </c>
      <c r="T539" t="b">
        <v>0</v>
      </c>
      <c r="U539">
        <f>IFERROR(SUM(Table1[[#This Row],[Total day minutes]],Table1[[#This Row],[Total eve minutes]],Table1[[#This Row],[Total night minutes]],Table1[[#This Row],[Total intl minutes]]),0)</f>
        <v>394.4</v>
      </c>
      <c r="V539">
        <f>SUM(Table1[[#This Row],[Total intl charge]],Table1[[#This Row],[Total night charge]],Table1[[#This Row],[Total eve charge]],Table1[[#This Row],[Total day charge]])</f>
        <v>32.89</v>
      </c>
      <c r="W539">
        <f>SUM(Table1[[#This Row],[Total intl calls]],Table1[[#This Row],[Total night calls]],Table1[[#This Row],[Total eve calls]],Table1[[#This Row],[Total day calls]])</f>
        <v>272</v>
      </c>
      <c r="X539" t="str" cm="1">
        <f t="array" ref="X539">_xlfn.IFS(Table1[[#This Row],[Customer service calls]]&gt;=4,"High risk",Table1[[#This Row],[Customer service calls]]&gt;=2,"Medium risk",TRUE,"Low risk")</f>
        <v>Medium risk</v>
      </c>
      <c r="Y539" t="str" cm="1">
        <f t="array" ref="Y539">IFERROR(_xlfn.IFS(Table1[[#This Row],[Total usage(Min)]]&gt;=AVERAGE(U:U)*1.1,"High risk",Table1[[#This Row],[Total usage(Min)]]&lt;= AVERAGE(U:U)*0.9,"Low risk",TRUE,"Medium risk"),"N/A")</f>
        <v>Low risk</v>
      </c>
      <c r="Z539" t="str" cm="1">
        <f t="array" ref="Z539">IFERROR(_xlfn.IFS(Table1[[#This Row],[Total charges]]&gt;=AVERAGE(V:V)*1.1,"High risk",Table1[[#This Row],[Total charges]]&lt;=AVERAGE(V:V)*0.9,"Low risk",TRUE,"Medium risk"),"N/A")</f>
        <v>Low risk</v>
      </c>
      <c r="AA5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39" t="str" cm="1">
        <f t="array" ref="AC539">_xlfn.IFS(
AND(Table1[[#This Row],[Customer service risk level]]="High risk", Table1[[#This Row],[Intl usage behaviour]]="Unplanned Usage"),"High Risk",
OR(Table1[[#This Row],[Customer service risk level]]="Medium risk", Table1[[#This Row],[Charges risk level]]="High risk "),"Medium Risk",
TRUE,"Low Risk"
)</f>
        <v>Medium Risk</v>
      </c>
    </row>
    <row r="540" spans="1:29" x14ac:dyDescent="0.25">
      <c r="A540" t="s">
        <v>49</v>
      </c>
      <c r="B540">
        <v>120</v>
      </c>
      <c r="C540">
        <v>415</v>
      </c>
      <c r="D540" t="s">
        <v>21</v>
      </c>
      <c r="E540" t="s">
        <v>21</v>
      </c>
      <c r="F540">
        <v>0</v>
      </c>
      <c r="G540">
        <v>131.69999999999999</v>
      </c>
      <c r="H540">
        <v>99</v>
      </c>
      <c r="I540">
        <v>22.39</v>
      </c>
      <c r="J540">
        <v>163.1</v>
      </c>
      <c r="K540">
        <v>109</v>
      </c>
      <c r="L540">
        <v>13.86</v>
      </c>
      <c r="M540">
        <v>201.1</v>
      </c>
      <c r="N540">
        <v>116</v>
      </c>
      <c r="O540">
        <v>9.0500000000000007</v>
      </c>
      <c r="P540">
        <v>10.7</v>
      </c>
      <c r="Q540">
        <v>3</v>
      </c>
      <c r="R540">
        <v>2.89</v>
      </c>
      <c r="S540">
        <v>1</v>
      </c>
      <c r="T540" t="b">
        <v>0</v>
      </c>
      <c r="U540">
        <f>IFERROR(SUM(Table1[[#This Row],[Total day minutes]],Table1[[#This Row],[Total eve minutes]],Table1[[#This Row],[Total night minutes]],Table1[[#This Row],[Total intl minutes]]),0)</f>
        <v>506.59999999999997</v>
      </c>
      <c r="V540">
        <f>SUM(Table1[[#This Row],[Total intl charge]],Table1[[#This Row],[Total night charge]],Table1[[#This Row],[Total eve charge]],Table1[[#This Row],[Total day charge]])</f>
        <v>48.19</v>
      </c>
      <c r="W540">
        <f>SUM(Table1[[#This Row],[Total intl calls]],Table1[[#This Row],[Total night calls]],Table1[[#This Row],[Total eve calls]],Table1[[#This Row],[Total day calls]])</f>
        <v>327</v>
      </c>
      <c r="X540" t="str" cm="1">
        <f t="array" ref="X540">_xlfn.IFS(Table1[[#This Row],[Customer service calls]]&gt;=4,"High risk",Table1[[#This Row],[Customer service calls]]&gt;=2,"Medium risk",TRUE,"Low risk")</f>
        <v>Low risk</v>
      </c>
      <c r="Y540" t="str" cm="1">
        <f t="array" ref="Y540">IFERROR(_xlfn.IFS(Table1[[#This Row],[Total usage(Min)]]&gt;=AVERAGE(U:U)*1.1,"High risk",Table1[[#This Row],[Total usage(Min)]]&lt;= AVERAGE(U:U)*0.9,"Low risk",TRUE,"Medium risk"),"N/A")</f>
        <v>Low risk</v>
      </c>
      <c r="Z540" t="str" cm="1">
        <f t="array" ref="Z540">IFERROR(_xlfn.IFS(Table1[[#This Row],[Total charges]]&gt;=AVERAGE(V:V)*1.1,"High risk",Table1[[#This Row],[Total charges]]&lt;=AVERAGE(V:V)*0.9,"Low risk",TRUE,"Medium risk"),"N/A")</f>
        <v>Low risk</v>
      </c>
      <c r="AA5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40" t="str" cm="1">
        <f t="array" ref="AC540">_xlfn.IFS(
AND(Table1[[#This Row],[Customer service risk level]]="High risk", Table1[[#This Row],[Intl usage behaviour]]="Unplanned Usage"),"High Risk",
OR(Table1[[#This Row],[Customer service risk level]]="Medium risk", Table1[[#This Row],[Charges risk level]]="High risk "),"Medium Risk",
TRUE,"Low Risk"
)</f>
        <v>Low Risk</v>
      </c>
    </row>
    <row r="541" spans="1:29" x14ac:dyDescent="0.25">
      <c r="A541" t="s">
        <v>45</v>
      </c>
      <c r="B541">
        <v>84</v>
      </c>
      <c r="C541">
        <v>408</v>
      </c>
      <c r="D541" t="s">
        <v>21</v>
      </c>
      <c r="E541" t="s">
        <v>27</v>
      </c>
      <c r="F541">
        <v>30</v>
      </c>
      <c r="G541">
        <v>106.5</v>
      </c>
      <c r="H541">
        <v>65</v>
      </c>
      <c r="I541">
        <v>18.11</v>
      </c>
      <c r="J541">
        <v>225.7</v>
      </c>
      <c r="K541">
        <v>108</v>
      </c>
      <c r="L541">
        <v>19.18</v>
      </c>
      <c r="M541">
        <v>188.6</v>
      </c>
      <c r="N541">
        <v>61</v>
      </c>
      <c r="O541">
        <v>8.49</v>
      </c>
      <c r="P541">
        <v>5.7</v>
      </c>
      <c r="Q541">
        <v>3</v>
      </c>
      <c r="R541">
        <v>1.54</v>
      </c>
      <c r="S541">
        <v>2</v>
      </c>
      <c r="T541" t="b">
        <v>0</v>
      </c>
      <c r="U541">
        <f>IFERROR(SUM(Table1[[#This Row],[Total day minutes]],Table1[[#This Row],[Total eve minutes]],Table1[[#This Row],[Total night minutes]],Table1[[#This Row],[Total intl minutes]]),0)</f>
        <v>526.5</v>
      </c>
      <c r="V541">
        <f>SUM(Table1[[#This Row],[Total intl charge]],Table1[[#This Row],[Total night charge]],Table1[[#This Row],[Total eve charge]],Table1[[#This Row],[Total day charge]])</f>
        <v>47.32</v>
      </c>
      <c r="W541">
        <f>SUM(Table1[[#This Row],[Total intl calls]],Table1[[#This Row],[Total night calls]],Table1[[#This Row],[Total eve calls]],Table1[[#This Row],[Total day calls]])</f>
        <v>237</v>
      </c>
      <c r="X541" t="str" cm="1">
        <f t="array" ref="X541">_xlfn.IFS(Table1[[#This Row],[Customer service calls]]&gt;=4,"High risk",Table1[[#This Row],[Customer service calls]]&gt;=2,"Medium risk",TRUE,"Low risk")</f>
        <v>Medium risk</v>
      </c>
      <c r="Y541" t="str" cm="1">
        <f t="array" ref="Y541">IFERROR(_xlfn.IFS(Table1[[#This Row],[Total usage(Min)]]&gt;=AVERAGE(U:U)*1.1,"High risk",Table1[[#This Row],[Total usage(Min)]]&lt;= AVERAGE(U:U)*0.9,"Low risk",TRUE,"Medium risk"),"N/A")</f>
        <v>Low risk</v>
      </c>
      <c r="Z541" t="str" cm="1">
        <f t="array" ref="Z541">IFERROR(_xlfn.IFS(Table1[[#This Row],[Total charges]]&gt;=AVERAGE(V:V)*1.1,"High risk",Table1[[#This Row],[Total charges]]&lt;=AVERAGE(V:V)*0.9,"Low risk",TRUE,"Medium risk"),"N/A")</f>
        <v>Low risk</v>
      </c>
      <c r="AA5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1" t="str" cm="1">
        <f t="array" ref="AC541">_xlfn.IFS(
AND(Table1[[#This Row],[Customer service risk level]]="High risk", Table1[[#This Row],[Intl usage behaviour]]="Unplanned Usage"),"High Risk",
OR(Table1[[#This Row],[Customer service risk level]]="Medium risk", Table1[[#This Row],[Charges risk level]]="High risk "),"Medium Risk",
TRUE,"Low Risk"
)</f>
        <v>Medium Risk</v>
      </c>
    </row>
    <row r="542" spans="1:29" x14ac:dyDescent="0.25">
      <c r="A542" t="s">
        <v>64</v>
      </c>
      <c r="B542">
        <v>134</v>
      </c>
      <c r="C542">
        <v>510</v>
      </c>
      <c r="D542" t="s">
        <v>21</v>
      </c>
      <c r="E542" t="s">
        <v>27</v>
      </c>
      <c r="F542">
        <v>34</v>
      </c>
      <c r="G542">
        <v>247.2</v>
      </c>
      <c r="H542">
        <v>105</v>
      </c>
      <c r="I542">
        <v>42.02</v>
      </c>
      <c r="J542">
        <v>225.5</v>
      </c>
      <c r="K542">
        <v>133</v>
      </c>
      <c r="L542">
        <v>19.170000000000002</v>
      </c>
      <c r="M542">
        <v>186.3</v>
      </c>
      <c r="N542">
        <v>76</v>
      </c>
      <c r="O542">
        <v>8.3800000000000008</v>
      </c>
      <c r="P542">
        <v>6.1</v>
      </c>
      <c r="Q542">
        <v>5</v>
      </c>
      <c r="R542">
        <v>1.65</v>
      </c>
      <c r="S542">
        <v>2</v>
      </c>
      <c r="T542" t="b">
        <v>1</v>
      </c>
      <c r="U542">
        <f>IFERROR(SUM(Table1[[#This Row],[Total day minutes]],Table1[[#This Row],[Total eve minutes]],Table1[[#This Row],[Total night minutes]],Table1[[#This Row],[Total intl minutes]]),0)</f>
        <v>665.1</v>
      </c>
      <c r="V542">
        <f>SUM(Table1[[#This Row],[Total intl charge]],Table1[[#This Row],[Total night charge]],Table1[[#This Row],[Total eve charge]],Table1[[#This Row],[Total day charge]])</f>
        <v>71.22</v>
      </c>
      <c r="W542">
        <f>SUM(Table1[[#This Row],[Total intl calls]],Table1[[#This Row],[Total night calls]],Table1[[#This Row],[Total eve calls]],Table1[[#This Row],[Total day calls]])</f>
        <v>319</v>
      </c>
      <c r="X542" t="str" cm="1">
        <f t="array" ref="X542">_xlfn.IFS(Table1[[#This Row],[Customer service calls]]&gt;=4,"High risk",Table1[[#This Row],[Customer service calls]]&gt;=2,"Medium risk",TRUE,"Low risk")</f>
        <v>Medium risk</v>
      </c>
      <c r="Y542" t="str" cm="1">
        <f t="array" ref="Y542">IFERROR(_xlfn.IFS(Table1[[#This Row],[Total usage(Min)]]&gt;=AVERAGE(U:U)*1.1,"High risk",Table1[[#This Row],[Total usage(Min)]]&lt;= AVERAGE(U:U)*0.9,"Low risk",TRUE,"Medium risk"),"N/A")</f>
        <v>High risk</v>
      </c>
      <c r="Z542" t="str" cm="1">
        <f t="array" ref="Z542">IFERROR(_xlfn.IFS(Table1[[#This Row],[Total charges]]&gt;=AVERAGE(V:V)*1.1,"High risk",Table1[[#This Row],[Total charges]]&lt;=AVERAGE(V:V)*0.9,"Low risk",TRUE,"Medium risk"),"N/A")</f>
        <v>High risk</v>
      </c>
      <c r="AA5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2" t="str" cm="1">
        <f t="array" ref="AC542">_xlfn.IFS(
AND(Table1[[#This Row],[Customer service risk level]]="High risk", Table1[[#This Row],[Intl usage behaviour]]="Unplanned Usage"),"High Risk",
OR(Table1[[#This Row],[Customer service risk level]]="Medium risk", Table1[[#This Row],[Charges risk level]]="High risk "),"Medium Risk",
TRUE,"Low Risk"
)</f>
        <v>Medium Risk</v>
      </c>
    </row>
    <row r="543" spans="1:29" x14ac:dyDescent="0.25">
      <c r="A543" t="s">
        <v>33</v>
      </c>
      <c r="B543">
        <v>68</v>
      </c>
      <c r="C543">
        <v>415</v>
      </c>
      <c r="D543" t="s">
        <v>21</v>
      </c>
      <c r="E543" t="s">
        <v>21</v>
      </c>
      <c r="F543">
        <v>0</v>
      </c>
      <c r="G543">
        <v>158.80000000000001</v>
      </c>
      <c r="H543">
        <v>119</v>
      </c>
      <c r="I543">
        <v>27</v>
      </c>
      <c r="J543">
        <v>211.8</v>
      </c>
      <c r="K543">
        <v>105</v>
      </c>
      <c r="L543">
        <v>18</v>
      </c>
      <c r="M543">
        <v>198.1</v>
      </c>
      <c r="N543">
        <v>101</v>
      </c>
      <c r="O543">
        <v>8.91</v>
      </c>
      <c r="P543">
        <v>10.3</v>
      </c>
      <c r="Q543">
        <v>3</v>
      </c>
      <c r="R543">
        <v>2.78</v>
      </c>
      <c r="S543">
        <v>1</v>
      </c>
      <c r="T543" t="b">
        <v>0</v>
      </c>
      <c r="U543">
        <f>IFERROR(SUM(Table1[[#This Row],[Total day minutes]],Table1[[#This Row],[Total eve minutes]],Table1[[#This Row],[Total night minutes]],Table1[[#This Row],[Total intl minutes]]),0)</f>
        <v>579</v>
      </c>
      <c r="V543">
        <f>SUM(Table1[[#This Row],[Total intl charge]],Table1[[#This Row],[Total night charge]],Table1[[#This Row],[Total eve charge]],Table1[[#This Row],[Total day charge]])</f>
        <v>56.69</v>
      </c>
      <c r="W543">
        <f>SUM(Table1[[#This Row],[Total intl calls]],Table1[[#This Row],[Total night calls]],Table1[[#This Row],[Total eve calls]],Table1[[#This Row],[Total day calls]])</f>
        <v>328</v>
      </c>
      <c r="X543" t="str" cm="1">
        <f t="array" ref="X543">_xlfn.IFS(Table1[[#This Row],[Customer service calls]]&gt;=4,"High risk",Table1[[#This Row],[Customer service calls]]&gt;=2,"Medium risk",TRUE,"Low risk")</f>
        <v>Low risk</v>
      </c>
      <c r="Y543" t="str" cm="1">
        <f t="array" ref="Y543">IFERROR(_xlfn.IFS(Table1[[#This Row],[Total usage(Min)]]&gt;=AVERAGE(U:U)*1.1,"High risk",Table1[[#This Row],[Total usage(Min)]]&lt;= AVERAGE(U:U)*0.9,"Low risk",TRUE,"Medium risk"),"N/A")</f>
        <v>Medium risk</v>
      </c>
      <c r="Z543" t="str" cm="1">
        <f t="array" ref="Z543">IFERROR(_xlfn.IFS(Table1[[#This Row],[Total charges]]&gt;=AVERAGE(V:V)*1.1,"High risk",Table1[[#This Row],[Total charges]]&lt;=AVERAGE(V:V)*0.9,"Low risk",TRUE,"Medium risk"),"N/A")</f>
        <v>Medium risk</v>
      </c>
      <c r="AA5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43" t="str" cm="1">
        <f t="array" ref="AC543">_xlfn.IFS(
AND(Table1[[#This Row],[Customer service risk level]]="High risk", Table1[[#This Row],[Intl usage behaviour]]="Unplanned Usage"),"High Risk",
OR(Table1[[#This Row],[Customer service risk level]]="Medium risk", Table1[[#This Row],[Charges risk level]]="High risk "),"Medium Risk",
TRUE,"Low Risk"
)</f>
        <v>Low Risk</v>
      </c>
    </row>
    <row r="544" spans="1:29" x14ac:dyDescent="0.25">
      <c r="A544" t="s">
        <v>65</v>
      </c>
      <c r="B544">
        <v>119</v>
      </c>
      <c r="C544">
        <v>408</v>
      </c>
      <c r="D544" t="s">
        <v>21</v>
      </c>
      <c r="E544" t="s">
        <v>21</v>
      </c>
      <c r="F544">
        <v>0</v>
      </c>
      <c r="G544">
        <v>239.1</v>
      </c>
      <c r="H544">
        <v>88</v>
      </c>
      <c r="I544">
        <v>40.65</v>
      </c>
      <c r="J544">
        <v>243.5</v>
      </c>
      <c r="K544">
        <v>79</v>
      </c>
      <c r="L544">
        <v>20.7</v>
      </c>
      <c r="M544">
        <v>230.9</v>
      </c>
      <c r="N544">
        <v>92</v>
      </c>
      <c r="O544">
        <v>10.39</v>
      </c>
      <c r="P544">
        <v>10.9</v>
      </c>
      <c r="Q544">
        <v>3</v>
      </c>
      <c r="R544">
        <v>2.94</v>
      </c>
      <c r="S544">
        <v>3</v>
      </c>
      <c r="T544" t="b">
        <v>1</v>
      </c>
      <c r="U544">
        <f>IFERROR(SUM(Table1[[#This Row],[Total day minutes]],Table1[[#This Row],[Total eve minutes]],Table1[[#This Row],[Total night minutes]],Table1[[#This Row],[Total intl minutes]]),0)</f>
        <v>724.4</v>
      </c>
      <c r="V544">
        <f>SUM(Table1[[#This Row],[Total intl charge]],Table1[[#This Row],[Total night charge]],Table1[[#This Row],[Total eve charge]],Table1[[#This Row],[Total day charge]])</f>
        <v>74.680000000000007</v>
      </c>
      <c r="W544">
        <f>SUM(Table1[[#This Row],[Total intl calls]],Table1[[#This Row],[Total night calls]],Table1[[#This Row],[Total eve calls]],Table1[[#This Row],[Total day calls]])</f>
        <v>262</v>
      </c>
      <c r="X544" t="str" cm="1">
        <f t="array" ref="X544">_xlfn.IFS(Table1[[#This Row],[Customer service calls]]&gt;=4,"High risk",Table1[[#This Row],[Customer service calls]]&gt;=2,"Medium risk",TRUE,"Low risk")</f>
        <v>Medium risk</v>
      </c>
      <c r="Y544" t="str" cm="1">
        <f t="array" ref="Y544">IFERROR(_xlfn.IFS(Table1[[#This Row],[Total usage(Min)]]&gt;=AVERAGE(U:U)*1.1,"High risk",Table1[[#This Row],[Total usage(Min)]]&lt;= AVERAGE(U:U)*0.9,"Low risk",TRUE,"Medium risk"),"N/A")</f>
        <v>High risk</v>
      </c>
      <c r="Z544" t="str" cm="1">
        <f t="array" ref="Z544">IFERROR(_xlfn.IFS(Table1[[#This Row],[Total charges]]&gt;=AVERAGE(V:V)*1.1,"High risk",Table1[[#This Row],[Total charges]]&lt;=AVERAGE(V:V)*0.9,"Low risk",TRUE,"Medium risk"),"N/A")</f>
        <v>High risk</v>
      </c>
      <c r="AA5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44" t="str" cm="1">
        <f t="array" ref="AC544">_xlfn.IFS(
AND(Table1[[#This Row],[Customer service risk level]]="High risk", Table1[[#This Row],[Intl usage behaviour]]="Unplanned Usage"),"High Risk",
OR(Table1[[#This Row],[Customer service risk level]]="Medium risk", Table1[[#This Row],[Charges risk level]]="High risk "),"Medium Risk",
TRUE,"Low Risk"
)</f>
        <v>Medium Risk</v>
      </c>
    </row>
    <row r="545" spans="1:29" x14ac:dyDescent="0.25">
      <c r="A545" t="s">
        <v>52</v>
      </c>
      <c r="B545">
        <v>166</v>
      </c>
      <c r="C545">
        <v>415</v>
      </c>
      <c r="D545" t="s">
        <v>27</v>
      </c>
      <c r="E545" t="s">
        <v>27</v>
      </c>
      <c r="F545">
        <v>28</v>
      </c>
      <c r="G545">
        <v>175.8</v>
      </c>
      <c r="H545">
        <v>126</v>
      </c>
      <c r="I545">
        <v>29.89</v>
      </c>
      <c r="J545">
        <v>253.6</v>
      </c>
      <c r="K545">
        <v>76</v>
      </c>
      <c r="L545">
        <v>21.56</v>
      </c>
      <c r="M545">
        <v>128.5</v>
      </c>
      <c r="N545">
        <v>72</v>
      </c>
      <c r="O545">
        <v>5.78</v>
      </c>
      <c r="P545">
        <v>11.4</v>
      </c>
      <c r="Q545">
        <v>5</v>
      </c>
      <c r="R545">
        <v>3.08</v>
      </c>
      <c r="S545">
        <v>1</v>
      </c>
      <c r="T545" t="b">
        <v>0</v>
      </c>
      <c r="U545">
        <f>IFERROR(SUM(Table1[[#This Row],[Total day minutes]],Table1[[#This Row],[Total eve minutes]],Table1[[#This Row],[Total night minutes]],Table1[[#This Row],[Total intl minutes]]),0)</f>
        <v>569.29999999999995</v>
      </c>
      <c r="V545">
        <f>SUM(Table1[[#This Row],[Total intl charge]],Table1[[#This Row],[Total night charge]],Table1[[#This Row],[Total eve charge]],Table1[[#This Row],[Total day charge]])</f>
        <v>60.31</v>
      </c>
      <c r="W545">
        <f>SUM(Table1[[#This Row],[Total intl calls]],Table1[[#This Row],[Total night calls]],Table1[[#This Row],[Total eve calls]],Table1[[#This Row],[Total day calls]])</f>
        <v>279</v>
      </c>
      <c r="X545" t="str" cm="1">
        <f t="array" ref="X545">_xlfn.IFS(Table1[[#This Row],[Customer service calls]]&gt;=4,"High risk",Table1[[#This Row],[Customer service calls]]&gt;=2,"Medium risk",TRUE,"Low risk")</f>
        <v>Low risk</v>
      </c>
      <c r="Y545" t="str" cm="1">
        <f t="array" ref="Y545">IFERROR(_xlfn.IFS(Table1[[#This Row],[Total usage(Min)]]&gt;=AVERAGE(U:U)*1.1,"High risk",Table1[[#This Row],[Total usage(Min)]]&lt;= AVERAGE(U:U)*0.9,"Low risk",TRUE,"Medium risk"),"N/A")</f>
        <v>Medium risk</v>
      </c>
      <c r="Z545" t="str" cm="1">
        <f t="array" ref="Z545">IFERROR(_xlfn.IFS(Table1[[#This Row],[Total charges]]&gt;=AVERAGE(V:V)*1.1,"High risk",Table1[[#This Row],[Total charges]]&lt;=AVERAGE(V:V)*0.9,"Low risk",TRUE,"Medium risk"),"N/A")</f>
        <v>Medium risk</v>
      </c>
      <c r="AA5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54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5" t="str" cm="1">
        <f t="array" ref="AC545">_xlfn.IFS(
AND(Table1[[#This Row],[Customer service risk level]]="High risk", Table1[[#This Row],[Intl usage behaviour]]="Unplanned Usage"),"High Risk",
OR(Table1[[#This Row],[Customer service risk level]]="Medium risk", Table1[[#This Row],[Charges risk level]]="High risk "),"Medium Risk",
TRUE,"Low Risk"
)</f>
        <v>Low Risk</v>
      </c>
    </row>
    <row r="546" spans="1:29" x14ac:dyDescent="0.25">
      <c r="A546" t="s">
        <v>45</v>
      </c>
      <c r="B546">
        <v>90</v>
      </c>
      <c r="C546">
        <v>415</v>
      </c>
      <c r="D546" t="s">
        <v>21</v>
      </c>
      <c r="E546" t="s">
        <v>27</v>
      </c>
      <c r="F546">
        <v>42</v>
      </c>
      <c r="G546">
        <v>193.3</v>
      </c>
      <c r="H546">
        <v>66</v>
      </c>
      <c r="I546">
        <v>32.86</v>
      </c>
      <c r="J546">
        <v>263.3</v>
      </c>
      <c r="K546">
        <v>85</v>
      </c>
      <c r="L546">
        <v>22.38</v>
      </c>
      <c r="M546">
        <v>214.4</v>
      </c>
      <c r="N546">
        <v>97</v>
      </c>
      <c r="O546">
        <v>9.65</v>
      </c>
      <c r="P546">
        <v>11.1</v>
      </c>
      <c r="Q546">
        <v>4</v>
      </c>
      <c r="R546">
        <v>3</v>
      </c>
      <c r="S546">
        <v>0</v>
      </c>
      <c r="T546" t="b">
        <v>0</v>
      </c>
      <c r="U546">
        <f>IFERROR(SUM(Table1[[#This Row],[Total day minutes]],Table1[[#This Row],[Total eve minutes]],Table1[[#This Row],[Total night minutes]],Table1[[#This Row],[Total intl minutes]]),0)</f>
        <v>682.1</v>
      </c>
      <c r="V546">
        <f>SUM(Table1[[#This Row],[Total intl charge]],Table1[[#This Row],[Total night charge]],Table1[[#This Row],[Total eve charge]],Table1[[#This Row],[Total day charge]])</f>
        <v>67.89</v>
      </c>
      <c r="W546">
        <f>SUM(Table1[[#This Row],[Total intl calls]],Table1[[#This Row],[Total night calls]],Table1[[#This Row],[Total eve calls]],Table1[[#This Row],[Total day calls]])</f>
        <v>252</v>
      </c>
      <c r="X546" t="str" cm="1">
        <f t="array" ref="X546">_xlfn.IFS(Table1[[#This Row],[Customer service calls]]&gt;=4,"High risk",Table1[[#This Row],[Customer service calls]]&gt;=2,"Medium risk",TRUE,"Low risk")</f>
        <v>Low risk</v>
      </c>
      <c r="Y546" t="str" cm="1">
        <f t="array" ref="Y546">IFERROR(_xlfn.IFS(Table1[[#This Row],[Total usage(Min)]]&gt;=AVERAGE(U:U)*1.1,"High risk",Table1[[#This Row],[Total usage(Min)]]&lt;= AVERAGE(U:U)*0.9,"Low risk",TRUE,"Medium risk"),"N/A")</f>
        <v>High risk</v>
      </c>
      <c r="Z546" t="str" cm="1">
        <f t="array" ref="Z546">IFERROR(_xlfn.IFS(Table1[[#This Row],[Total charges]]&gt;=AVERAGE(V:V)*1.1,"High risk",Table1[[#This Row],[Total charges]]&lt;=AVERAGE(V:V)*0.9,"Low risk",TRUE,"Medium risk"),"N/A")</f>
        <v>High risk</v>
      </c>
      <c r="AA5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6" t="str" cm="1">
        <f t="array" ref="AC546">_xlfn.IFS(
AND(Table1[[#This Row],[Customer service risk level]]="High risk", Table1[[#This Row],[Intl usage behaviour]]="Unplanned Usage"),"High Risk",
OR(Table1[[#This Row],[Customer service risk level]]="Medium risk", Table1[[#This Row],[Charges risk level]]="High risk "),"Medium Risk",
TRUE,"Low Risk"
)</f>
        <v>Low Risk</v>
      </c>
    </row>
    <row r="547" spans="1:29" x14ac:dyDescent="0.25">
      <c r="A547" t="s">
        <v>38</v>
      </c>
      <c r="B547">
        <v>82</v>
      </c>
      <c r="C547">
        <v>415</v>
      </c>
      <c r="D547" t="s">
        <v>21</v>
      </c>
      <c r="E547" t="s">
        <v>27</v>
      </c>
      <c r="F547">
        <v>33</v>
      </c>
      <c r="G547">
        <v>137.80000000000001</v>
      </c>
      <c r="H547">
        <v>95</v>
      </c>
      <c r="I547">
        <v>23.43</v>
      </c>
      <c r="J547">
        <v>235.5</v>
      </c>
      <c r="K547">
        <v>128</v>
      </c>
      <c r="L547">
        <v>20.02</v>
      </c>
      <c r="M547">
        <v>268.10000000000002</v>
      </c>
      <c r="N547">
        <v>70</v>
      </c>
      <c r="O547">
        <v>12.06</v>
      </c>
      <c r="P547">
        <v>11</v>
      </c>
      <c r="Q547">
        <v>6</v>
      </c>
      <c r="R547">
        <v>2.97</v>
      </c>
      <c r="S547">
        <v>2</v>
      </c>
      <c r="T547" t="b">
        <v>0</v>
      </c>
      <c r="U547">
        <f>IFERROR(SUM(Table1[[#This Row],[Total day minutes]],Table1[[#This Row],[Total eve minutes]],Table1[[#This Row],[Total night minutes]],Table1[[#This Row],[Total intl minutes]]),0)</f>
        <v>652.40000000000009</v>
      </c>
      <c r="V547">
        <f>SUM(Table1[[#This Row],[Total intl charge]],Table1[[#This Row],[Total night charge]],Table1[[#This Row],[Total eve charge]],Table1[[#This Row],[Total day charge]])</f>
        <v>58.48</v>
      </c>
      <c r="W547">
        <f>SUM(Table1[[#This Row],[Total intl calls]],Table1[[#This Row],[Total night calls]],Table1[[#This Row],[Total eve calls]],Table1[[#This Row],[Total day calls]])</f>
        <v>299</v>
      </c>
      <c r="X547" t="str" cm="1">
        <f t="array" ref="X547">_xlfn.IFS(Table1[[#This Row],[Customer service calls]]&gt;=4,"High risk",Table1[[#This Row],[Customer service calls]]&gt;=2,"Medium risk",TRUE,"Low risk")</f>
        <v>Medium risk</v>
      </c>
      <c r="Y547" t="str" cm="1">
        <f t="array" ref="Y547">IFERROR(_xlfn.IFS(Table1[[#This Row],[Total usage(Min)]]&gt;=AVERAGE(U:U)*1.1,"High risk",Table1[[#This Row],[Total usage(Min)]]&lt;= AVERAGE(U:U)*0.9,"Low risk",TRUE,"Medium risk"),"N/A")</f>
        <v>Medium risk</v>
      </c>
      <c r="Z547" t="str" cm="1">
        <f t="array" ref="Z547">IFERROR(_xlfn.IFS(Table1[[#This Row],[Total charges]]&gt;=AVERAGE(V:V)*1.1,"High risk",Table1[[#This Row],[Total charges]]&lt;=AVERAGE(V:V)*0.9,"Low risk",TRUE,"Medium risk"),"N/A")</f>
        <v>Medium risk</v>
      </c>
      <c r="AA5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47" t="str" cm="1">
        <f t="array" ref="AC547">_xlfn.IFS(
AND(Table1[[#This Row],[Customer service risk level]]="High risk", Table1[[#This Row],[Intl usage behaviour]]="Unplanned Usage"),"High Risk",
OR(Table1[[#This Row],[Customer service risk level]]="Medium risk", Table1[[#This Row],[Charges risk level]]="High risk "),"Medium Risk",
TRUE,"Low Risk"
)</f>
        <v>Medium Risk</v>
      </c>
    </row>
    <row r="548" spans="1:29" x14ac:dyDescent="0.25">
      <c r="A548" t="s">
        <v>29</v>
      </c>
      <c r="B548">
        <v>130</v>
      </c>
      <c r="C548">
        <v>415</v>
      </c>
      <c r="D548" t="s">
        <v>21</v>
      </c>
      <c r="E548" t="s">
        <v>21</v>
      </c>
      <c r="F548">
        <v>0</v>
      </c>
      <c r="G548">
        <v>263.7</v>
      </c>
      <c r="H548">
        <v>113</v>
      </c>
      <c r="I548">
        <v>44.83</v>
      </c>
      <c r="J548">
        <v>186.5</v>
      </c>
      <c r="K548">
        <v>103</v>
      </c>
      <c r="L548">
        <v>15.85</v>
      </c>
      <c r="M548">
        <v>195.3</v>
      </c>
      <c r="N548">
        <v>99</v>
      </c>
      <c r="O548">
        <v>8.7899999999999991</v>
      </c>
      <c r="P548">
        <v>18.3</v>
      </c>
      <c r="Q548">
        <v>6</v>
      </c>
      <c r="R548">
        <v>4.9400000000000004</v>
      </c>
      <c r="S548">
        <v>1</v>
      </c>
      <c r="T548" t="b">
        <v>1</v>
      </c>
      <c r="U548">
        <f>IFERROR(SUM(Table1[[#This Row],[Total day minutes]],Table1[[#This Row],[Total eve minutes]],Table1[[#This Row],[Total night minutes]],Table1[[#This Row],[Total intl minutes]]),0)</f>
        <v>663.8</v>
      </c>
      <c r="V548">
        <f>SUM(Table1[[#This Row],[Total intl charge]],Table1[[#This Row],[Total night charge]],Table1[[#This Row],[Total eve charge]],Table1[[#This Row],[Total day charge]])</f>
        <v>74.41</v>
      </c>
      <c r="W548">
        <f>SUM(Table1[[#This Row],[Total intl calls]],Table1[[#This Row],[Total night calls]],Table1[[#This Row],[Total eve calls]],Table1[[#This Row],[Total day calls]])</f>
        <v>321</v>
      </c>
      <c r="X548" t="str" cm="1">
        <f t="array" ref="X548">_xlfn.IFS(Table1[[#This Row],[Customer service calls]]&gt;=4,"High risk",Table1[[#This Row],[Customer service calls]]&gt;=2,"Medium risk",TRUE,"Low risk")</f>
        <v>Low risk</v>
      </c>
      <c r="Y548" t="str" cm="1">
        <f t="array" ref="Y548">IFERROR(_xlfn.IFS(Table1[[#This Row],[Total usage(Min)]]&gt;=AVERAGE(U:U)*1.1,"High risk",Table1[[#This Row],[Total usage(Min)]]&lt;= AVERAGE(U:U)*0.9,"Low risk",TRUE,"Medium risk"),"N/A")</f>
        <v>High risk</v>
      </c>
      <c r="Z548" t="str" cm="1">
        <f t="array" ref="Z548">IFERROR(_xlfn.IFS(Table1[[#This Row],[Total charges]]&gt;=AVERAGE(V:V)*1.1,"High risk",Table1[[#This Row],[Total charges]]&lt;=AVERAGE(V:V)*0.9,"Low risk",TRUE,"Medium risk"),"N/A")</f>
        <v>High risk</v>
      </c>
      <c r="AA5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48" t="str" cm="1">
        <f t="array" ref="AC548">_xlfn.IFS(
AND(Table1[[#This Row],[Customer service risk level]]="High risk", Table1[[#This Row],[Intl usage behaviour]]="Unplanned Usage"),"High Risk",
OR(Table1[[#This Row],[Customer service risk level]]="Medium risk", Table1[[#This Row],[Charges risk level]]="High risk "),"Medium Risk",
TRUE,"Low Risk"
)</f>
        <v>Low Risk</v>
      </c>
    </row>
    <row r="549" spans="1:29" x14ac:dyDescent="0.25">
      <c r="A549" t="s">
        <v>48</v>
      </c>
      <c r="B549">
        <v>130</v>
      </c>
      <c r="C549">
        <v>408</v>
      </c>
      <c r="D549" t="s">
        <v>21</v>
      </c>
      <c r="E549" t="s">
        <v>21</v>
      </c>
      <c r="F549">
        <v>0</v>
      </c>
      <c r="G549">
        <v>252</v>
      </c>
      <c r="H549">
        <v>101</v>
      </c>
      <c r="I549">
        <v>42.84</v>
      </c>
      <c r="J549">
        <v>170.2</v>
      </c>
      <c r="K549">
        <v>105</v>
      </c>
      <c r="L549">
        <v>14.47</v>
      </c>
      <c r="M549">
        <v>209.2</v>
      </c>
      <c r="N549">
        <v>64</v>
      </c>
      <c r="O549">
        <v>9.41</v>
      </c>
      <c r="P549">
        <v>5.7</v>
      </c>
      <c r="Q549">
        <v>5</v>
      </c>
      <c r="R549">
        <v>1.54</v>
      </c>
      <c r="S549">
        <v>0</v>
      </c>
      <c r="T549" t="b">
        <v>0</v>
      </c>
      <c r="U549">
        <f>IFERROR(SUM(Table1[[#This Row],[Total day minutes]],Table1[[#This Row],[Total eve minutes]],Table1[[#This Row],[Total night minutes]],Table1[[#This Row],[Total intl minutes]]),0)</f>
        <v>637.1</v>
      </c>
      <c r="V549">
        <f>SUM(Table1[[#This Row],[Total intl charge]],Table1[[#This Row],[Total night charge]],Table1[[#This Row],[Total eve charge]],Table1[[#This Row],[Total day charge]])</f>
        <v>68.260000000000005</v>
      </c>
      <c r="W549">
        <f>SUM(Table1[[#This Row],[Total intl calls]],Table1[[#This Row],[Total night calls]],Table1[[#This Row],[Total eve calls]],Table1[[#This Row],[Total day calls]])</f>
        <v>275</v>
      </c>
      <c r="X549" t="str" cm="1">
        <f t="array" ref="X549">_xlfn.IFS(Table1[[#This Row],[Customer service calls]]&gt;=4,"High risk",Table1[[#This Row],[Customer service calls]]&gt;=2,"Medium risk",TRUE,"Low risk")</f>
        <v>Low risk</v>
      </c>
      <c r="Y549" t="str" cm="1">
        <f t="array" ref="Y549">IFERROR(_xlfn.IFS(Table1[[#This Row],[Total usage(Min)]]&gt;=AVERAGE(U:U)*1.1,"High risk",Table1[[#This Row],[Total usage(Min)]]&lt;= AVERAGE(U:U)*0.9,"Low risk",TRUE,"Medium risk"),"N/A")</f>
        <v>Medium risk</v>
      </c>
      <c r="Z549" t="str" cm="1">
        <f t="array" ref="Z549">IFERROR(_xlfn.IFS(Table1[[#This Row],[Total charges]]&gt;=AVERAGE(V:V)*1.1,"High risk",Table1[[#This Row],[Total charges]]&lt;=AVERAGE(V:V)*0.9,"Low risk",TRUE,"Medium risk"),"N/A")</f>
        <v>High risk</v>
      </c>
      <c r="AA5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4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49" t="str" cm="1">
        <f t="array" ref="AC549">_xlfn.IFS(
AND(Table1[[#This Row],[Customer service risk level]]="High risk", Table1[[#This Row],[Intl usage behaviour]]="Unplanned Usage"),"High Risk",
OR(Table1[[#This Row],[Customer service risk level]]="Medium risk", Table1[[#This Row],[Charges risk level]]="High risk "),"Medium Risk",
TRUE,"Low Risk"
)</f>
        <v>Low Risk</v>
      </c>
    </row>
    <row r="550" spans="1:29" x14ac:dyDescent="0.25">
      <c r="A550" t="s">
        <v>57</v>
      </c>
      <c r="B550">
        <v>155</v>
      </c>
      <c r="C550">
        <v>408</v>
      </c>
      <c r="D550" t="s">
        <v>27</v>
      </c>
      <c r="E550" t="s">
        <v>21</v>
      </c>
      <c r="F550">
        <v>0</v>
      </c>
      <c r="G550">
        <v>163.1</v>
      </c>
      <c r="H550">
        <v>94</v>
      </c>
      <c r="I550">
        <v>27.73</v>
      </c>
      <c r="J550">
        <v>291.7</v>
      </c>
      <c r="K550">
        <v>108</v>
      </c>
      <c r="L550">
        <v>24.79</v>
      </c>
      <c r="M550">
        <v>96.4</v>
      </c>
      <c r="N550">
        <v>111</v>
      </c>
      <c r="O550">
        <v>4.34</v>
      </c>
      <c r="P550">
        <v>11.2</v>
      </c>
      <c r="Q550">
        <v>3</v>
      </c>
      <c r="R550">
        <v>3.02</v>
      </c>
      <c r="S550">
        <v>0</v>
      </c>
      <c r="T550" t="b">
        <v>0</v>
      </c>
      <c r="U550">
        <f>IFERROR(SUM(Table1[[#This Row],[Total day minutes]],Table1[[#This Row],[Total eve minutes]],Table1[[#This Row],[Total night minutes]],Table1[[#This Row],[Total intl minutes]]),0)</f>
        <v>562.4</v>
      </c>
      <c r="V550">
        <f>SUM(Table1[[#This Row],[Total intl charge]],Table1[[#This Row],[Total night charge]],Table1[[#This Row],[Total eve charge]],Table1[[#This Row],[Total day charge]])</f>
        <v>59.879999999999995</v>
      </c>
      <c r="W550">
        <f>SUM(Table1[[#This Row],[Total intl calls]],Table1[[#This Row],[Total night calls]],Table1[[#This Row],[Total eve calls]],Table1[[#This Row],[Total day calls]])</f>
        <v>316</v>
      </c>
      <c r="X550" t="str" cm="1">
        <f t="array" ref="X550">_xlfn.IFS(Table1[[#This Row],[Customer service calls]]&gt;=4,"High risk",Table1[[#This Row],[Customer service calls]]&gt;=2,"Medium risk",TRUE,"Low risk")</f>
        <v>Low risk</v>
      </c>
      <c r="Y550" t="str" cm="1">
        <f t="array" ref="Y550">IFERROR(_xlfn.IFS(Table1[[#This Row],[Total usage(Min)]]&gt;=AVERAGE(U:U)*1.1,"High risk",Table1[[#This Row],[Total usage(Min)]]&lt;= AVERAGE(U:U)*0.9,"Low risk",TRUE,"Medium risk"),"N/A")</f>
        <v>Medium risk</v>
      </c>
      <c r="Z550" t="str" cm="1">
        <f t="array" ref="Z550">IFERROR(_xlfn.IFS(Table1[[#This Row],[Total charges]]&gt;=AVERAGE(V:V)*1.1,"High risk",Table1[[#This Row],[Total charges]]&lt;=AVERAGE(V:V)*0.9,"Low risk",TRUE,"Medium risk"),"N/A")</f>
        <v>Medium risk</v>
      </c>
      <c r="AA5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55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0" t="str" cm="1">
        <f t="array" ref="AC550">_xlfn.IFS(
AND(Table1[[#This Row],[Customer service risk level]]="High risk", Table1[[#This Row],[Intl usage behaviour]]="Unplanned Usage"),"High Risk",
OR(Table1[[#This Row],[Customer service risk level]]="Medium risk", Table1[[#This Row],[Charges risk level]]="High risk "),"Medium Risk",
TRUE,"Low Risk"
)</f>
        <v>Low Risk</v>
      </c>
    </row>
    <row r="551" spans="1:29" x14ac:dyDescent="0.25">
      <c r="A551" t="s">
        <v>47</v>
      </c>
      <c r="B551">
        <v>81</v>
      </c>
      <c r="C551">
        <v>415</v>
      </c>
      <c r="D551" t="s">
        <v>21</v>
      </c>
      <c r="E551" t="s">
        <v>21</v>
      </c>
      <c r="F551">
        <v>0</v>
      </c>
      <c r="G551">
        <v>324.7</v>
      </c>
      <c r="H551">
        <v>48</v>
      </c>
      <c r="I551">
        <v>55.2</v>
      </c>
      <c r="J551">
        <v>236.4</v>
      </c>
      <c r="K551">
        <v>82</v>
      </c>
      <c r="L551">
        <v>20.09</v>
      </c>
      <c r="M551">
        <v>187.6</v>
      </c>
      <c r="N551">
        <v>78</v>
      </c>
      <c r="O551">
        <v>8.44</v>
      </c>
      <c r="P551">
        <v>13.1</v>
      </c>
      <c r="Q551">
        <v>5</v>
      </c>
      <c r="R551">
        <v>3.54</v>
      </c>
      <c r="S551">
        <v>0</v>
      </c>
      <c r="T551" t="b">
        <v>1</v>
      </c>
      <c r="U551">
        <f>IFERROR(SUM(Table1[[#This Row],[Total day minutes]],Table1[[#This Row],[Total eve minutes]],Table1[[#This Row],[Total night minutes]],Table1[[#This Row],[Total intl minutes]]),0)</f>
        <v>761.80000000000007</v>
      </c>
      <c r="V551">
        <f>SUM(Table1[[#This Row],[Total intl charge]],Table1[[#This Row],[Total night charge]],Table1[[#This Row],[Total eve charge]],Table1[[#This Row],[Total day charge]])</f>
        <v>87.27000000000001</v>
      </c>
      <c r="W551">
        <f>SUM(Table1[[#This Row],[Total intl calls]],Table1[[#This Row],[Total night calls]],Table1[[#This Row],[Total eve calls]],Table1[[#This Row],[Total day calls]])</f>
        <v>213</v>
      </c>
      <c r="X551" t="str" cm="1">
        <f t="array" ref="X551">_xlfn.IFS(Table1[[#This Row],[Customer service calls]]&gt;=4,"High risk",Table1[[#This Row],[Customer service calls]]&gt;=2,"Medium risk",TRUE,"Low risk")</f>
        <v>Low risk</v>
      </c>
      <c r="Y551" t="str" cm="1">
        <f t="array" ref="Y551">IFERROR(_xlfn.IFS(Table1[[#This Row],[Total usage(Min)]]&gt;=AVERAGE(U:U)*1.1,"High risk",Table1[[#This Row],[Total usage(Min)]]&lt;= AVERAGE(U:U)*0.9,"Low risk",TRUE,"Medium risk"),"N/A")</f>
        <v>High risk</v>
      </c>
      <c r="Z551" t="str" cm="1">
        <f t="array" ref="Z551">IFERROR(_xlfn.IFS(Table1[[#This Row],[Total charges]]&gt;=AVERAGE(V:V)*1.1,"High risk",Table1[[#This Row],[Total charges]]&lt;=AVERAGE(V:V)*0.9,"Low risk",TRUE,"Medium risk"),"N/A")</f>
        <v>High risk</v>
      </c>
      <c r="AA5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1" t="str" cm="1">
        <f t="array" ref="AC551">_xlfn.IFS(
AND(Table1[[#This Row],[Customer service risk level]]="High risk", Table1[[#This Row],[Intl usage behaviour]]="Unplanned Usage"),"High Risk",
OR(Table1[[#This Row],[Customer service risk level]]="Medium risk", Table1[[#This Row],[Charges risk level]]="High risk "),"Medium Risk",
TRUE,"Low Risk"
)</f>
        <v>Low Risk</v>
      </c>
    </row>
    <row r="552" spans="1:29" x14ac:dyDescent="0.25">
      <c r="A552" t="s">
        <v>53</v>
      </c>
      <c r="B552">
        <v>75</v>
      </c>
      <c r="C552">
        <v>408</v>
      </c>
      <c r="D552" t="s">
        <v>21</v>
      </c>
      <c r="E552" t="s">
        <v>21</v>
      </c>
      <c r="F552">
        <v>0</v>
      </c>
      <c r="G552">
        <v>203.3</v>
      </c>
      <c r="H552">
        <v>70</v>
      </c>
      <c r="I552">
        <v>34.56</v>
      </c>
      <c r="J552">
        <v>228.9</v>
      </c>
      <c r="K552">
        <v>97</v>
      </c>
      <c r="L552">
        <v>19.46</v>
      </c>
      <c r="M552">
        <v>222.2</v>
      </c>
      <c r="N552">
        <v>118</v>
      </c>
      <c r="O552">
        <v>10</v>
      </c>
      <c r="P552">
        <v>14.3</v>
      </c>
      <c r="Q552">
        <v>3</v>
      </c>
      <c r="R552">
        <v>3.86</v>
      </c>
      <c r="S552">
        <v>1</v>
      </c>
      <c r="T552" t="b">
        <v>0</v>
      </c>
      <c r="U552">
        <f>IFERROR(SUM(Table1[[#This Row],[Total day minutes]],Table1[[#This Row],[Total eve minutes]],Table1[[#This Row],[Total night minutes]],Table1[[#This Row],[Total intl minutes]]),0)</f>
        <v>668.7</v>
      </c>
      <c r="V552">
        <f>SUM(Table1[[#This Row],[Total intl charge]],Table1[[#This Row],[Total night charge]],Table1[[#This Row],[Total eve charge]],Table1[[#This Row],[Total day charge]])</f>
        <v>67.88</v>
      </c>
      <c r="W552">
        <f>SUM(Table1[[#This Row],[Total intl calls]],Table1[[#This Row],[Total night calls]],Table1[[#This Row],[Total eve calls]],Table1[[#This Row],[Total day calls]])</f>
        <v>288</v>
      </c>
      <c r="X552" t="str" cm="1">
        <f t="array" ref="X552">_xlfn.IFS(Table1[[#This Row],[Customer service calls]]&gt;=4,"High risk",Table1[[#This Row],[Customer service calls]]&gt;=2,"Medium risk",TRUE,"Low risk")</f>
        <v>Low risk</v>
      </c>
      <c r="Y552" t="str" cm="1">
        <f t="array" ref="Y552">IFERROR(_xlfn.IFS(Table1[[#This Row],[Total usage(Min)]]&gt;=AVERAGE(U:U)*1.1,"High risk",Table1[[#This Row],[Total usage(Min)]]&lt;= AVERAGE(U:U)*0.9,"Low risk",TRUE,"Medium risk"),"N/A")</f>
        <v>High risk</v>
      </c>
      <c r="Z552" t="str" cm="1">
        <f t="array" ref="Z552">IFERROR(_xlfn.IFS(Table1[[#This Row],[Total charges]]&gt;=AVERAGE(V:V)*1.1,"High risk",Table1[[#This Row],[Total charges]]&lt;=AVERAGE(V:V)*0.9,"Low risk",TRUE,"Medium risk"),"N/A")</f>
        <v>High risk</v>
      </c>
      <c r="AA5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2" t="str" cm="1">
        <f t="array" ref="AC552">_xlfn.IFS(
AND(Table1[[#This Row],[Customer service risk level]]="High risk", Table1[[#This Row],[Intl usage behaviour]]="Unplanned Usage"),"High Risk",
OR(Table1[[#This Row],[Customer service risk level]]="Medium risk", Table1[[#This Row],[Charges risk level]]="High risk "),"Medium Risk",
TRUE,"Low Risk"
)</f>
        <v>Low Risk</v>
      </c>
    </row>
    <row r="553" spans="1:29" x14ac:dyDescent="0.25">
      <c r="A553" t="s">
        <v>46</v>
      </c>
      <c r="B553">
        <v>178</v>
      </c>
      <c r="C553">
        <v>415</v>
      </c>
      <c r="D553" t="s">
        <v>21</v>
      </c>
      <c r="E553" t="s">
        <v>27</v>
      </c>
      <c r="F553">
        <v>35</v>
      </c>
      <c r="G553">
        <v>175.4</v>
      </c>
      <c r="H553">
        <v>88</v>
      </c>
      <c r="I553">
        <v>29.82</v>
      </c>
      <c r="J553">
        <v>190</v>
      </c>
      <c r="K553">
        <v>65</v>
      </c>
      <c r="L553">
        <v>16.149999999999999</v>
      </c>
      <c r="M553">
        <v>138.69999999999999</v>
      </c>
      <c r="N553">
        <v>94</v>
      </c>
      <c r="O553">
        <v>6.24</v>
      </c>
      <c r="P553">
        <v>10.5</v>
      </c>
      <c r="Q553">
        <v>3</v>
      </c>
      <c r="R553">
        <v>2.84</v>
      </c>
      <c r="S553">
        <v>2</v>
      </c>
      <c r="T553" t="b">
        <v>0</v>
      </c>
      <c r="U553">
        <f>IFERROR(SUM(Table1[[#This Row],[Total day minutes]],Table1[[#This Row],[Total eve minutes]],Table1[[#This Row],[Total night minutes]],Table1[[#This Row],[Total intl minutes]]),0)</f>
        <v>514.59999999999991</v>
      </c>
      <c r="V553">
        <f>SUM(Table1[[#This Row],[Total intl charge]],Table1[[#This Row],[Total night charge]],Table1[[#This Row],[Total eve charge]],Table1[[#This Row],[Total day charge]])</f>
        <v>55.05</v>
      </c>
      <c r="W553">
        <f>SUM(Table1[[#This Row],[Total intl calls]],Table1[[#This Row],[Total night calls]],Table1[[#This Row],[Total eve calls]],Table1[[#This Row],[Total day calls]])</f>
        <v>250</v>
      </c>
      <c r="X553" t="str" cm="1">
        <f t="array" ref="X553">_xlfn.IFS(Table1[[#This Row],[Customer service calls]]&gt;=4,"High risk",Table1[[#This Row],[Customer service calls]]&gt;=2,"Medium risk",TRUE,"Low risk")</f>
        <v>Medium risk</v>
      </c>
      <c r="Y553" t="str" cm="1">
        <f t="array" ref="Y553">IFERROR(_xlfn.IFS(Table1[[#This Row],[Total usage(Min)]]&gt;=AVERAGE(U:U)*1.1,"High risk",Table1[[#This Row],[Total usage(Min)]]&lt;= AVERAGE(U:U)*0.9,"Low risk",TRUE,"Medium risk"),"N/A")</f>
        <v>Low risk</v>
      </c>
      <c r="Z553" t="str" cm="1">
        <f t="array" ref="Z553">IFERROR(_xlfn.IFS(Table1[[#This Row],[Total charges]]&gt;=AVERAGE(V:V)*1.1,"High risk",Table1[[#This Row],[Total charges]]&lt;=AVERAGE(V:V)*0.9,"Low risk",TRUE,"Medium risk"),"N/A")</f>
        <v>Medium risk</v>
      </c>
      <c r="AA5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53" t="str" cm="1">
        <f t="array" ref="AC553">_xlfn.IFS(
AND(Table1[[#This Row],[Customer service risk level]]="High risk", Table1[[#This Row],[Intl usage behaviour]]="Unplanned Usage"),"High Risk",
OR(Table1[[#This Row],[Customer service risk level]]="Medium risk", Table1[[#This Row],[Charges risk level]]="High risk "),"Medium Risk",
TRUE,"Low Risk"
)</f>
        <v>Medium Risk</v>
      </c>
    </row>
    <row r="554" spans="1:29" x14ac:dyDescent="0.25">
      <c r="A554" t="s">
        <v>24</v>
      </c>
      <c r="B554">
        <v>112</v>
      </c>
      <c r="C554">
        <v>415</v>
      </c>
      <c r="D554" t="s">
        <v>21</v>
      </c>
      <c r="E554" t="s">
        <v>21</v>
      </c>
      <c r="F554">
        <v>0</v>
      </c>
      <c r="G554">
        <v>266</v>
      </c>
      <c r="H554">
        <v>97</v>
      </c>
      <c r="I554">
        <v>45.22</v>
      </c>
      <c r="J554">
        <v>214.6</v>
      </c>
      <c r="K554">
        <v>94</v>
      </c>
      <c r="L554">
        <v>18.239999999999998</v>
      </c>
      <c r="M554">
        <v>306.2</v>
      </c>
      <c r="N554">
        <v>100</v>
      </c>
      <c r="O554">
        <v>13.78</v>
      </c>
      <c r="P554">
        <v>14.2</v>
      </c>
      <c r="Q554">
        <v>2</v>
      </c>
      <c r="R554">
        <v>3.83</v>
      </c>
      <c r="S554">
        <v>2</v>
      </c>
      <c r="T554" t="b">
        <v>1</v>
      </c>
      <c r="U554">
        <f>IFERROR(SUM(Table1[[#This Row],[Total day minutes]],Table1[[#This Row],[Total eve minutes]],Table1[[#This Row],[Total night minutes]],Table1[[#This Row],[Total intl minutes]]),0)</f>
        <v>801</v>
      </c>
      <c r="V554">
        <f>SUM(Table1[[#This Row],[Total intl charge]],Table1[[#This Row],[Total night charge]],Table1[[#This Row],[Total eve charge]],Table1[[#This Row],[Total day charge]])</f>
        <v>81.069999999999993</v>
      </c>
      <c r="W554">
        <f>SUM(Table1[[#This Row],[Total intl calls]],Table1[[#This Row],[Total night calls]],Table1[[#This Row],[Total eve calls]],Table1[[#This Row],[Total day calls]])</f>
        <v>293</v>
      </c>
      <c r="X554" t="str" cm="1">
        <f t="array" ref="X554">_xlfn.IFS(Table1[[#This Row],[Customer service calls]]&gt;=4,"High risk",Table1[[#This Row],[Customer service calls]]&gt;=2,"Medium risk",TRUE,"Low risk")</f>
        <v>Medium risk</v>
      </c>
      <c r="Y554" t="str" cm="1">
        <f t="array" ref="Y554">IFERROR(_xlfn.IFS(Table1[[#This Row],[Total usage(Min)]]&gt;=AVERAGE(U:U)*1.1,"High risk",Table1[[#This Row],[Total usage(Min)]]&lt;= AVERAGE(U:U)*0.9,"Low risk",TRUE,"Medium risk"),"N/A")</f>
        <v>High risk</v>
      </c>
      <c r="Z554" t="str" cm="1">
        <f t="array" ref="Z554">IFERROR(_xlfn.IFS(Table1[[#This Row],[Total charges]]&gt;=AVERAGE(V:V)*1.1,"High risk",Table1[[#This Row],[Total charges]]&lt;=AVERAGE(V:V)*0.9,"Low risk",TRUE,"Medium risk"),"N/A")</f>
        <v>High risk</v>
      </c>
      <c r="AA5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4" t="str" cm="1">
        <f t="array" ref="AC554">_xlfn.IFS(
AND(Table1[[#This Row],[Customer service risk level]]="High risk", Table1[[#This Row],[Intl usage behaviour]]="Unplanned Usage"),"High Risk",
OR(Table1[[#This Row],[Customer service risk level]]="Medium risk", Table1[[#This Row],[Charges risk level]]="High risk "),"Medium Risk",
TRUE,"Low Risk"
)</f>
        <v>Medium Risk</v>
      </c>
    </row>
    <row r="555" spans="1:29" x14ac:dyDescent="0.25">
      <c r="A555" t="s">
        <v>38</v>
      </c>
      <c r="B555">
        <v>100</v>
      </c>
      <c r="C555">
        <v>510</v>
      </c>
      <c r="D555" t="s">
        <v>21</v>
      </c>
      <c r="E555" t="s">
        <v>21</v>
      </c>
      <c r="F555">
        <v>0</v>
      </c>
      <c r="G555">
        <v>78.7</v>
      </c>
      <c r="H555">
        <v>98</v>
      </c>
      <c r="I555">
        <v>13.38</v>
      </c>
      <c r="J555">
        <v>225.6</v>
      </c>
      <c r="K555">
        <v>102</v>
      </c>
      <c r="L555">
        <v>19.18</v>
      </c>
      <c r="M555">
        <v>150.4</v>
      </c>
      <c r="N555">
        <v>106</v>
      </c>
      <c r="O555">
        <v>6.77</v>
      </c>
      <c r="P555">
        <v>14</v>
      </c>
      <c r="Q555">
        <v>8</v>
      </c>
      <c r="R555">
        <v>3.78</v>
      </c>
      <c r="S555">
        <v>0</v>
      </c>
      <c r="T555" t="b">
        <v>0</v>
      </c>
      <c r="U555">
        <f>IFERROR(SUM(Table1[[#This Row],[Total day minutes]],Table1[[#This Row],[Total eve minutes]],Table1[[#This Row],[Total night minutes]],Table1[[#This Row],[Total intl minutes]]),0)</f>
        <v>468.70000000000005</v>
      </c>
      <c r="V555">
        <f>SUM(Table1[[#This Row],[Total intl charge]],Table1[[#This Row],[Total night charge]],Table1[[#This Row],[Total eve charge]],Table1[[#This Row],[Total day charge]])</f>
        <v>43.11</v>
      </c>
      <c r="W555">
        <f>SUM(Table1[[#This Row],[Total intl calls]],Table1[[#This Row],[Total night calls]],Table1[[#This Row],[Total eve calls]],Table1[[#This Row],[Total day calls]])</f>
        <v>314</v>
      </c>
      <c r="X555" t="str" cm="1">
        <f t="array" ref="X555">_xlfn.IFS(Table1[[#This Row],[Customer service calls]]&gt;=4,"High risk",Table1[[#This Row],[Customer service calls]]&gt;=2,"Medium risk",TRUE,"Low risk")</f>
        <v>Low risk</v>
      </c>
      <c r="Y555" t="str" cm="1">
        <f t="array" ref="Y555">IFERROR(_xlfn.IFS(Table1[[#This Row],[Total usage(Min)]]&gt;=AVERAGE(U:U)*1.1,"High risk",Table1[[#This Row],[Total usage(Min)]]&lt;= AVERAGE(U:U)*0.9,"Low risk",TRUE,"Medium risk"),"N/A")</f>
        <v>Low risk</v>
      </c>
      <c r="Z555" t="str" cm="1">
        <f t="array" ref="Z555">IFERROR(_xlfn.IFS(Table1[[#This Row],[Total charges]]&gt;=AVERAGE(V:V)*1.1,"High risk",Table1[[#This Row],[Total charges]]&lt;=AVERAGE(V:V)*0.9,"Low risk",TRUE,"Medium risk"),"N/A")</f>
        <v>Low risk</v>
      </c>
      <c r="AA5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5" t="str" cm="1">
        <f t="array" ref="AC555">_xlfn.IFS(
AND(Table1[[#This Row],[Customer service risk level]]="High risk", Table1[[#This Row],[Intl usage behaviour]]="Unplanned Usage"),"High Risk",
OR(Table1[[#This Row],[Customer service risk level]]="Medium risk", Table1[[#This Row],[Charges risk level]]="High risk "),"Medium Risk",
TRUE,"Low Risk"
)</f>
        <v>Low Risk</v>
      </c>
    </row>
    <row r="556" spans="1:29" x14ac:dyDescent="0.25">
      <c r="A556" t="s">
        <v>66</v>
      </c>
      <c r="B556">
        <v>104</v>
      </c>
      <c r="C556">
        <v>415</v>
      </c>
      <c r="D556" t="s">
        <v>21</v>
      </c>
      <c r="E556" t="s">
        <v>21</v>
      </c>
      <c r="F556">
        <v>0</v>
      </c>
      <c r="G556">
        <v>225.9</v>
      </c>
      <c r="H556">
        <v>123</v>
      </c>
      <c r="I556">
        <v>38.4</v>
      </c>
      <c r="J556">
        <v>162.80000000000001</v>
      </c>
      <c r="K556">
        <v>106</v>
      </c>
      <c r="L556">
        <v>13.84</v>
      </c>
      <c r="M556">
        <v>272.10000000000002</v>
      </c>
      <c r="N556">
        <v>85</v>
      </c>
      <c r="O556">
        <v>12.24</v>
      </c>
      <c r="P556">
        <v>10.1</v>
      </c>
      <c r="Q556">
        <v>4</v>
      </c>
      <c r="R556">
        <v>2.73</v>
      </c>
      <c r="S556">
        <v>1</v>
      </c>
      <c r="T556" t="b">
        <v>0</v>
      </c>
      <c r="U556">
        <f>IFERROR(SUM(Table1[[#This Row],[Total day minutes]],Table1[[#This Row],[Total eve minutes]],Table1[[#This Row],[Total night minutes]],Table1[[#This Row],[Total intl minutes]]),0)</f>
        <v>670.90000000000009</v>
      </c>
      <c r="V556">
        <f>SUM(Table1[[#This Row],[Total intl charge]],Table1[[#This Row],[Total night charge]],Table1[[#This Row],[Total eve charge]],Table1[[#This Row],[Total day charge]])</f>
        <v>67.210000000000008</v>
      </c>
      <c r="W556">
        <f>SUM(Table1[[#This Row],[Total intl calls]],Table1[[#This Row],[Total night calls]],Table1[[#This Row],[Total eve calls]],Table1[[#This Row],[Total day calls]])</f>
        <v>318</v>
      </c>
      <c r="X556" t="str" cm="1">
        <f t="array" ref="X556">_xlfn.IFS(Table1[[#This Row],[Customer service calls]]&gt;=4,"High risk",Table1[[#This Row],[Customer service calls]]&gt;=2,"Medium risk",TRUE,"Low risk")</f>
        <v>Low risk</v>
      </c>
      <c r="Y556" t="str" cm="1">
        <f t="array" ref="Y556">IFERROR(_xlfn.IFS(Table1[[#This Row],[Total usage(Min)]]&gt;=AVERAGE(U:U)*1.1,"High risk",Table1[[#This Row],[Total usage(Min)]]&lt;= AVERAGE(U:U)*0.9,"Low risk",TRUE,"Medium risk"),"N/A")</f>
        <v>High risk</v>
      </c>
      <c r="Z556" t="str" cm="1">
        <f t="array" ref="Z556">IFERROR(_xlfn.IFS(Table1[[#This Row],[Total charges]]&gt;=AVERAGE(V:V)*1.1,"High risk",Table1[[#This Row],[Total charges]]&lt;=AVERAGE(V:V)*0.9,"Low risk",TRUE,"Medium risk"),"N/A")</f>
        <v>High risk</v>
      </c>
      <c r="AA5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6" t="str" cm="1">
        <f t="array" ref="AC556">_xlfn.IFS(
AND(Table1[[#This Row],[Customer service risk level]]="High risk", Table1[[#This Row],[Intl usage behaviour]]="Unplanned Usage"),"High Risk",
OR(Table1[[#This Row],[Customer service risk level]]="Medium risk", Table1[[#This Row],[Charges risk level]]="High risk "),"Medium Risk",
TRUE,"Low Risk"
)</f>
        <v>Low Risk</v>
      </c>
    </row>
    <row r="557" spans="1:29" x14ac:dyDescent="0.25">
      <c r="A557" t="s">
        <v>23</v>
      </c>
      <c r="B557">
        <v>160</v>
      </c>
      <c r="C557">
        <v>408</v>
      </c>
      <c r="D557" t="s">
        <v>21</v>
      </c>
      <c r="E557" t="s">
        <v>21</v>
      </c>
      <c r="F557">
        <v>0</v>
      </c>
      <c r="G557">
        <v>216.8</v>
      </c>
      <c r="H557">
        <v>77</v>
      </c>
      <c r="I557">
        <v>36.86</v>
      </c>
      <c r="J557">
        <v>207.3</v>
      </c>
      <c r="K557">
        <v>117</v>
      </c>
      <c r="L557">
        <v>17.62</v>
      </c>
      <c r="M557">
        <v>228.6</v>
      </c>
      <c r="N557">
        <v>117</v>
      </c>
      <c r="O557">
        <v>10.29</v>
      </c>
      <c r="P557">
        <v>5.6</v>
      </c>
      <c r="Q557">
        <v>2</v>
      </c>
      <c r="R557">
        <v>1.51</v>
      </c>
      <c r="S557">
        <v>1</v>
      </c>
      <c r="T557" t="b">
        <v>0</v>
      </c>
      <c r="U557">
        <f>IFERROR(SUM(Table1[[#This Row],[Total day minutes]],Table1[[#This Row],[Total eve minutes]],Table1[[#This Row],[Total night minutes]],Table1[[#This Row],[Total intl minutes]]),0)</f>
        <v>658.30000000000007</v>
      </c>
      <c r="V557">
        <f>SUM(Table1[[#This Row],[Total intl charge]],Table1[[#This Row],[Total night charge]],Table1[[#This Row],[Total eve charge]],Table1[[#This Row],[Total day charge]])</f>
        <v>66.28</v>
      </c>
      <c r="W557">
        <f>SUM(Table1[[#This Row],[Total intl calls]],Table1[[#This Row],[Total night calls]],Table1[[#This Row],[Total eve calls]],Table1[[#This Row],[Total day calls]])</f>
        <v>313</v>
      </c>
      <c r="X557" t="str" cm="1">
        <f t="array" ref="X557">_xlfn.IFS(Table1[[#This Row],[Customer service calls]]&gt;=4,"High risk",Table1[[#This Row],[Customer service calls]]&gt;=2,"Medium risk",TRUE,"Low risk")</f>
        <v>Low risk</v>
      </c>
      <c r="Y557" t="str" cm="1">
        <f t="array" ref="Y557">IFERROR(_xlfn.IFS(Table1[[#This Row],[Total usage(Min)]]&gt;=AVERAGE(U:U)*1.1,"High risk",Table1[[#This Row],[Total usage(Min)]]&lt;= AVERAGE(U:U)*0.9,"Low risk",TRUE,"Medium risk"),"N/A")</f>
        <v>High risk</v>
      </c>
      <c r="Z557" t="str" cm="1">
        <f t="array" ref="Z557">IFERROR(_xlfn.IFS(Table1[[#This Row],[Total charges]]&gt;=AVERAGE(V:V)*1.1,"High risk",Table1[[#This Row],[Total charges]]&lt;=AVERAGE(V:V)*0.9,"Low risk",TRUE,"Medium risk"),"N/A")</f>
        <v>High risk</v>
      </c>
      <c r="AA5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7" t="str" cm="1">
        <f t="array" ref="AC557">_xlfn.IFS(
AND(Table1[[#This Row],[Customer service risk level]]="High risk", Table1[[#This Row],[Intl usage behaviour]]="Unplanned Usage"),"High Risk",
OR(Table1[[#This Row],[Customer service risk level]]="Medium risk", Table1[[#This Row],[Charges risk level]]="High risk "),"Medium Risk",
TRUE,"Low Risk"
)</f>
        <v>Low Risk</v>
      </c>
    </row>
    <row r="558" spans="1:29" x14ac:dyDescent="0.25">
      <c r="A558" t="s">
        <v>66</v>
      </c>
      <c r="B558">
        <v>87</v>
      </c>
      <c r="C558">
        <v>415</v>
      </c>
      <c r="D558" t="s">
        <v>21</v>
      </c>
      <c r="E558" t="s">
        <v>21</v>
      </c>
      <c r="F558">
        <v>0</v>
      </c>
      <c r="G558">
        <v>58</v>
      </c>
      <c r="H558">
        <v>125</v>
      </c>
      <c r="I558">
        <v>9.86</v>
      </c>
      <c r="J558">
        <v>67.5</v>
      </c>
      <c r="K558">
        <v>116</v>
      </c>
      <c r="L558">
        <v>5.74</v>
      </c>
      <c r="M558">
        <v>185.9</v>
      </c>
      <c r="N558">
        <v>136</v>
      </c>
      <c r="O558">
        <v>8.3699999999999992</v>
      </c>
      <c r="P558">
        <v>11.5</v>
      </c>
      <c r="Q558">
        <v>3</v>
      </c>
      <c r="R558">
        <v>3.11</v>
      </c>
      <c r="S558">
        <v>0</v>
      </c>
      <c r="T558" t="b">
        <v>0</v>
      </c>
      <c r="U558">
        <f>IFERROR(SUM(Table1[[#This Row],[Total day minutes]],Table1[[#This Row],[Total eve minutes]],Table1[[#This Row],[Total night minutes]],Table1[[#This Row],[Total intl minutes]]),0)</f>
        <v>322.89999999999998</v>
      </c>
      <c r="V558">
        <f>SUM(Table1[[#This Row],[Total intl charge]],Table1[[#This Row],[Total night charge]],Table1[[#This Row],[Total eve charge]],Table1[[#This Row],[Total day charge]])</f>
        <v>27.08</v>
      </c>
      <c r="W558">
        <f>SUM(Table1[[#This Row],[Total intl calls]],Table1[[#This Row],[Total night calls]],Table1[[#This Row],[Total eve calls]],Table1[[#This Row],[Total day calls]])</f>
        <v>380</v>
      </c>
      <c r="X558" t="str" cm="1">
        <f t="array" ref="X558">_xlfn.IFS(Table1[[#This Row],[Customer service calls]]&gt;=4,"High risk",Table1[[#This Row],[Customer service calls]]&gt;=2,"Medium risk",TRUE,"Low risk")</f>
        <v>Low risk</v>
      </c>
      <c r="Y558" t="str" cm="1">
        <f t="array" ref="Y558">IFERROR(_xlfn.IFS(Table1[[#This Row],[Total usage(Min)]]&gt;=AVERAGE(U:U)*1.1,"High risk",Table1[[#This Row],[Total usage(Min)]]&lt;= AVERAGE(U:U)*0.9,"Low risk",TRUE,"Medium risk"),"N/A")</f>
        <v>Low risk</v>
      </c>
      <c r="Z558" t="str" cm="1">
        <f t="array" ref="Z558">IFERROR(_xlfn.IFS(Table1[[#This Row],[Total charges]]&gt;=AVERAGE(V:V)*1.1,"High risk",Table1[[#This Row],[Total charges]]&lt;=AVERAGE(V:V)*0.9,"Low risk",TRUE,"Medium risk"),"N/A")</f>
        <v>Low risk</v>
      </c>
      <c r="AA5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8" t="str" cm="1">
        <f t="array" ref="AC558">_xlfn.IFS(
AND(Table1[[#This Row],[Customer service risk level]]="High risk", Table1[[#This Row],[Intl usage behaviour]]="Unplanned Usage"),"High Risk",
OR(Table1[[#This Row],[Customer service risk level]]="Medium risk", Table1[[#This Row],[Charges risk level]]="High risk "),"Medium Risk",
TRUE,"Low Risk"
)</f>
        <v>Low Risk</v>
      </c>
    </row>
    <row r="559" spans="1:29" x14ac:dyDescent="0.25">
      <c r="A559" t="s">
        <v>46</v>
      </c>
      <c r="B559">
        <v>81</v>
      </c>
      <c r="C559">
        <v>415</v>
      </c>
      <c r="D559" t="s">
        <v>21</v>
      </c>
      <c r="E559" t="s">
        <v>21</v>
      </c>
      <c r="F559">
        <v>0</v>
      </c>
      <c r="G559">
        <v>173.2</v>
      </c>
      <c r="H559">
        <v>80</v>
      </c>
      <c r="I559">
        <v>29.44</v>
      </c>
      <c r="J559">
        <v>236.2</v>
      </c>
      <c r="K559">
        <v>94</v>
      </c>
      <c r="L559">
        <v>20.079999999999998</v>
      </c>
      <c r="M559">
        <v>240.2</v>
      </c>
      <c r="N559">
        <v>84</v>
      </c>
      <c r="O559">
        <v>10.81</v>
      </c>
      <c r="P559">
        <v>11.8</v>
      </c>
      <c r="Q559">
        <v>6</v>
      </c>
      <c r="R559">
        <v>3.19</v>
      </c>
      <c r="S559">
        <v>2</v>
      </c>
      <c r="T559" t="b">
        <v>0</v>
      </c>
      <c r="U559">
        <f>IFERROR(SUM(Table1[[#This Row],[Total day minutes]],Table1[[#This Row],[Total eve minutes]],Table1[[#This Row],[Total night minutes]],Table1[[#This Row],[Total intl minutes]]),0)</f>
        <v>661.39999999999986</v>
      </c>
      <c r="V559">
        <f>SUM(Table1[[#This Row],[Total intl charge]],Table1[[#This Row],[Total night charge]],Table1[[#This Row],[Total eve charge]],Table1[[#This Row],[Total day charge]])</f>
        <v>63.519999999999996</v>
      </c>
      <c r="W559">
        <f>SUM(Table1[[#This Row],[Total intl calls]],Table1[[#This Row],[Total night calls]],Table1[[#This Row],[Total eve calls]],Table1[[#This Row],[Total day calls]])</f>
        <v>264</v>
      </c>
      <c r="X559" t="str" cm="1">
        <f t="array" ref="X559">_xlfn.IFS(Table1[[#This Row],[Customer service calls]]&gt;=4,"High risk",Table1[[#This Row],[Customer service calls]]&gt;=2,"Medium risk",TRUE,"Low risk")</f>
        <v>Medium risk</v>
      </c>
      <c r="Y559" t="str" cm="1">
        <f t="array" ref="Y559">IFERROR(_xlfn.IFS(Table1[[#This Row],[Total usage(Min)]]&gt;=AVERAGE(U:U)*1.1,"High risk",Table1[[#This Row],[Total usage(Min)]]&lt;= AVERAGE(U:U)*0.9,"Low risk",TRUE,"Medium risk"),"N/A")</f>
        <v>High risk</v>
      </c>
      <c r="Z559" t="str" cm="1">
        <f t="array" ref="Z559">IFERROR(_xlfn.IFS(Table1[[#This Row],[Total charges]]&gt;=AVERAGE(V:V)*1.1,"High risk",Table1[[#This Row],[Total charges]]&lt;=AVERAGE(V:V)*0.9,"Low risk",TRUE,"Medium risk"),"N/A")</f>
        <v>Medium risk</v>
      </c>
      <c r="AA5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5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59" t="str" cm="1">
        <f t="array" ref="AC559">_xlfn.IFS(
AND(Table1[[#This Row],[Customer service risk level]]="High risk", Table1[[#This Row],[Intl usage behaviour]]="Unplanned Usage"),"High Risk",
OR(Table1[[#This Row],[Customer service risk level]]="Medium risk", Table1[[#This Row],[Charges risk level]]="High risk "),"Medium Risk",
TRUE,"Low Risk"
)</f>
        <v>Medium Risk</v>
      </c>
    </row>
    <row r="560" spans="1:29" x14ac:dyDescent="0.25">
      <c r="A560" t="s">
        <v>62</v>
      </c>
      <c r="B560">
        <v>28</v>
      </c>
      <c r="C560">
        <v>415</v>
      </c>
      <c r="D560" t="s">
        <v>21</v>
      </c>
      <c r="E560" t="s">
        <v>21</v>
      </c>
      <c r="F560">
        <v>0</v>
      </c>
      <c r="G560">
        <v>236.8</v>
      </c>
      <c r="H560">
        <v>102</v>
      </c>
      <c r="I560">
        <v>40.26</v>
      </c>
      <c r="J560">
        <v>167.1</v>
      </c>
      <c r="K560">
        <v>87</v>
      </c>
      <c r="L560">
        <v>14.2</v>
      </c>
      <c r="M560">
        <v>280.2</v>
      </c>
      <c r="N560">
        <v>115</v>
      </c>
      <c r="O560">
        <v>12.61</v>
      </c>
      <c r="P560">
        <v>9.6999999999999993</v>
      </c>
      <c r="Q560">
        <v>3</v>
      </c>
      <c r="R560">
        <v>2.62</v>
      </c>
      <c r="S560">
        <v>3</v>
      </c>
      <c r="T560" t="b">
        <v>0</v>
      </c>
      <c r="U560">
        <f>IFERROR(SUM(Table1[[#This Row],[Total day minutes]],Table1[[#This Row],[Total eve minutes]],Table1[[#This Row],[Total night minutes]],Table1[[#This Row],[Total intl minutes]]),0)</f>
        <v>693.8</v>
      </c>
      <c r="V560">
        <f>SUM(Table1[[#This Row],[Total intl charge]],Table1[[#This Row],[Total night charge]],Table1[[#This Row],[Total eve charge]],Table1[[#This Row],[Total day charge]])</f>
        <v>69.69</v>
      </c>
      <c r="W560">
        <f>SUM(Table1[[#This Row],[Total intl calls]],Table1[[#This Row],[Total night calls]],Table1[[#This Row],[Total eve calls]],Table1[[#This Row],[Total day calls]])</f>
        <v>307</v>
      </c>
      <c r="X560" t="str" cm="1">
        <f t="array" ref="X560">_xlfn.IFS(Table1[[#This Row],[Customer service calls]]&gt;=4,"High risk",Table1[[#This Row],[Customer service calls]]&gt;=2,"Medium risk",TRUE,"Low risk")</f>
        <v>Medium risk</v>
      </c>
      <c r="Y560" t="str" cm="1">
        <f t="array" ref="Y560">IFERROR(_xlfn.IFS(Table1[[#This Row],[Total usage(Min)]]&gt;=AVERAGE(U:U)*1.1,"High risk",Table1[[#This Row],[Total usage(Min)]]&lt;= AVERAGE(U:U)*0.9,"Low risk",TRUE,"Medium risk"),"N/A")</f>
        <v>High risk</v>
      </c>
      <c r="Z560" t="str" cm="1">
        <f t="array" ref="Z560">IFERROR(_xlfn.IFS(Table1[[#This Row],[Total charges]]&gt;=AVERAGE(V:V)*1.1,"High risk",Table1[[#This Row],[Total charges]]&lt;=AVERAGE(V:V)*0.9,"Low risk",TRUE,"Medium risk"),"N/A")</f>
        <v>High risk</v>
      </c>
      <c r="AA5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0" t="str" cm="1">
        <f t="array" ref="AC560">_xlfn.IFS(
AND(Table1[[#This Row],[Customer service risk level]]="High risk", Table1[[#This Row],[Intl usage behaviour]]="Unplanned Usage"),"High Risk",
OR(Table1[[#This Row],[Customer service risk level]]="Medium risk", Table1[[#This Row],[Charges risk level]]="High risk "),"Medium Risk",
TRUE,"Low Risk"
)</f>
        <v>Medium Risk</v>
      </c>
    </row>
    <row r="561" spans="1:29" x14ac:dyDescent="0.25">
      <c r="A561" t="s">
        <v>31</v>
      </c>
      <c r="B561">
        <v>95</v>
      </c>
      <c r="C561">
        <v>408</v>
      </c>
      <c r="D561" t="s">
        <v>21</v>
      </c>
      <c r="E561" t="s">
        <v>21</v>
      </c>
      <c r="F561">
        <v>0</v>
      </c>
      <c r="G561">
        <v>237.3</v>
      </c>
      <c r="H561">
        <v>83</v>
      </c>
      <c r="I561">
        <v>40.340000000000003</v>
      </c>
      <c r="J561">
        <v>154</v>
      </c>
      <c r="K561">
        <v>65</v>
      </c>
      <c r="L561">
        <v>13.09</v>
      </c>
      <c r="M561">
        <v>237</v>
      </c>
      <c r="N561">
        <v>105</v>
      </c>
      <c r="O561">
        <v>10.67</v>
      </c>
      <c r="P561">
        <v>11.2</v>
      </c>
      <c r="Q561">
        <v>6</v>
      </c>
      <c r="R561">
        <v>3.02</v>
      </c>
      <c r="S561">
        <v>1</v>
      </c>
      <c r="T561" t="b">
        <v>0</v>
      </c>
      <c r="U561">
        <f>IFERROR(SUM(Table1[[#This Row],[Total day minutes]],Table1[[#This Row],[Total eve minutes]],Table1[[#This Row],[Total night minutes]],Table1[[#This Row],[Total intl minutes]]),0)</f>
        <v>639.5</v>
      </c>
      <c r="V561">
        <f>SUM(Table1[[#This Row],[Total intl charge]],Table1[[#This Row],[Total night charge]],Table1[[#This Row],[Total eve charge]],Table1[[#This Row],[Total day charge]])</f>
        <v>67.12</v>
      </c>
      <c r="W561">
        <f>SUM(Table1[[#This Row],[Total intl calls]],Table1[[#This Row],[Total night calls]],Table1[[#This Row],[Total eve calls]],Table1[[#This Row],[Total day calls]])</f>
        <v>259</v>
      </c>
      <c r="X561" t="str" cm="1">
        <f t="array" ref="X561">_xlfn.IFS(Table1[[#This Row],[Customer service calls]]&gt;=4,"High risk",Table1[[#This Row],[Customer service calls]]&gt;=2,"Medium risk",TRUE,"Low risk")</f>
        <v>Low risk</v>
      </c>
      <c r="Y561" t="str" cm="1">
        <f t="array" ref="Y561">IFERROR(_xlfn.IFS(Table1[[#This Row],[Total usage(Min)]]&gt;=AVERAGE(U:U)*1.1,"High risk",Table1[[#This Row],[Total usage(Min)]]&lt;= AVERAGE(U:U)*0.9,"Low risk",TRUE,"Medium risk"),"N/A")</f>
        <v>Medium risk</v>
      </c>
      <c r="Z561" t="str" cm="1">
        <f t="array" ref="Z561">IFERROR(_xlfn.IFS(Table1[[#This Row],[Total charges]]&gt;=AVERAGE(V:V)*1.1,"High risk",Table1[[#This Row],[Total charges]]&lt;=AVERAGE(V:V)*0.9,"Low risk",TRUE,"Medium risk"),"N/A")</f>
        <v>High risk</v>
      </c>
      <c r="AA5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1" t="str" cm="1">
        <f t="array" ref="AC561">_xlfn.IFS(
AND(Table1[[#This Row],[Customer service risk level]]="High risk", Table1[[#This Row],[Intl usage behaviour]]="Unplanned Usage"),"High Risk",
OR(Table1[[#This Row],[Customer service risk level]]="Medium risk", Table1[[#This Row],[Charges risk level]]="High risk "),"Medium Risk",
TRUE,"Low Risk"
)</f>
        <v>Low Risk</v>
      </c>
    </row>
    <row r="562" spans="1:29" x14ac:dyDescent="0.25">
      <c r="A562" t="s">
        <v>64</v>
      </c>
      <c r="B562">
        <v>35</v>
      </c>
      <c r="C562">
        <v>408</v>
      </c>
      <c r="D562" t="s">
        <v>21</v>
      </c>
      <c r="E562" t="s">
        <v>21</v>
      </c>
      <c r="F562">
        <v>0</v>
      </c>
      <c r="G562">
        <v>158.6</v>
      </c>
      <c r="H562">
        <v>67</v>
      </c>
      <c r="I562">
        <v>26.96</v>
      </c>
      <c r="J562">
        <v>130.4</v>
      </c>
      <c r="K562">
        <v>96</v>
      </c>
      <c r="L562">
        <v>11.08</v>
      </c>
      <c r="M562">
        <v>229.8</v>
      </c>
      <c r="N562">
        <v>80</v>
      </c>
      <c r="O562">
        <v>10.34</v>
      </c>
      <c r="P562">
        <v>6.9</v>
      </c>
      <c r="Q562">
        <v>5</v>
      </c>
      <c r="R562">
        <v>1.86</v>
      </c>
      <c r="S562">
        <v>2</v>
      </c>
      <c r="T562" t="b">
        <v>0</v>
      </c>
      <c r="U562">
        <f>IFERROR(SUM(Table1[[#This Row],[Total day minutes]],Table1[[#This Row],[Total eve minutes]],Table1[[#This Row],[Total night minutes]],Table1[[#This Row],[Total intl minutes]]),0)</f>
        <v>525.69999999999993</v>
      </c>
      <c r="V562">
        <f>SUM(Table1[[#This Row],[Total intl charge]],Table1[[#This Row],[Total night charge]],Table1[[#This Row],[Total eve charge]],Table1[[#This Row],[Total day charge]])</f>
        <v>50.24</v>
      </c>
      <c r="W562">
        <f>SUM(Table1[[#This Row],[Total intl calls]],Table1[[#This Row],[Total night calls]],Table1[[#This Row],[Total eve calls]],Table1[[#This Row],[Total day calls]])</f>
        <v>248</v>
      </c>
      <c r="X562" t="str" cm="1">
        <f t="array" ref="X562">_xlfn.IFS(Table1[[#This Row],[Customer service calls]]&gt;=4,"High risk",Table1[[#This Row],[Customer service calls]]&gt;=2,"Medium risk",TRUE,"Low risk")</f>
        <v>Medium risk</v>
      </c>
      <c r="Y562" t="str" cm="1">
        <f t="array" ref="Y562">IFERROR(_xlfn.IFS(Table1[[#This Row],[Total usage(Min)]]&gt;=AVERAGE(U:U)*1.1,"High risk",Table1[[#This Row],[Total usage(Min)]]&lt;= AVERAGE(U:U)*0.9,"Low risk",TRUE,"Medium risk"),"N/A")</f>
        <v>Low risk</v>
      </c>
      <c r="Z562" t="str" cm="1">
        <f t="array" ref="Z562">IFERROR(_xlfn.IFS(Table1[[#This Row],[Total charges]]&gt;=AVERAGE(V:V)*1.1,"High risk",Table1[[#This Row],[Total charges]]&lt;=AVERAGE(V:V)*0.9,"Low risk",TRUE,"Medium risk"),"N/A")</f>
        <v>Low risk</v>
      </c>
      <c r="AA5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2" t="str" cm="1">
        <f t="array" ref="AC562">_xlfn.IFS(
AND(Table1[[#This Row],[Customer service risk level]]="High risk", Table1[[#This Row],[Intl usage behaviour]]="Unplanned Usage"),"High Risk",
OR(Table1[[#This Row],[Customer service risk level]]="Medium risk", Table1[[#This Row],[Charges risk level]]="High risk "),"Medium Risk",
TRUE,"Low Risk"
)</f>
        <v>Medium Risk</v>
      </c>
    </row>
    <row r="563" spans="1:29" x14ac:dyDescent="0.25">
      <c r="A563" t="s">
        <v>50</v>
      </c>
      <c r="B563">
        <v>134</v>
      </c>
      <c r="C563">
        <v>510</v>
      </c>
      <c r="D563" t="s">
        <v>21</v>
      </c>
      <c r="E563" t="s">
        <v>21</v>
      </c>
      <c r="F563">
        <v>0</v>
      </c>
      <c r="G563">
        <v>296</v>
      </c>
      <c r="H563">
        <v>93</v>
      </c>
      <c r="I563">
        <v>50.32</v>
      </c>
      <c r="J563">
        <v>226.4</v>
      </c>
      <c r="K563">
        <v>117</v>
      </c>
      <c r="L563">
        <v>19.239999999999998</v>
      </c>
      <c r="M563">
        <v>246.8</v>
      </c>
      <c r="N563">
        <v>98</v>
      </c>
      <c r="O563">
        <v>11.11</v>
      </c>
      <c r="P563">
        <v>12.3</v>
      </c>
      <c r="Q563">
        <v>10</v>
      </c>
      <c r="R563">
        <v>3.32</v>
      </c>
      <c r="S563">
        <v>0</v>
      </c>
      <c r="T563" t="b">
        <v>1</v>
      </c>
      <c r="U563">
        <f>IFERROR(SUM(Table1[[#This Row],[Total day minutes]],Table1[[#This Row],[Total eve minutes]],Table1[[#This Row],[Total night minutes]],Table1[[#This Row],[Total intl minutes]]),0)</f>
        <v>781.5</v>
      </c>
      <c r="V563">
        <f>SUM(Table1[[#This Row],[Total intl charge]],Table1[[#This Row],[Total night charge]],Table1[[#This Row],[Total eve charge]],Table1[[#This Row],[Total day charge]])</f>
        <v>83.990000000000009</v>
      </c>
      <c r="W563">
        <f>SUM(Table1[[#This Row],[Total intl calls]],Table1[[#This Row],[Total night calls]],Table1[[#This Row],[Total eve calls]],Table1[[#This Row],[Total day calls]])</f>
        <v>318</v>
      </c>
      <c r="X563" t="str" cm="1">
        <f t="array" ref="X563">_xlfn.IFS(Table1[[#This Row],[Customer service calls]]&gt;=4,"High risk",Table1[[#This Row],[Customer service calls]]&gt;=2,"Medium risk",TRUE,"Low risk")</f>
        <v>Low risk</v>
      </c>
      <c r="Y563" t="str" cm="1">
        <f t="array" ref="Y563">IFERROR(_xlfn.IFS(Table1[[#This Row],[Total usage(Min)]]&gt;=AVERAGE(U:U)*1.1,"High risk",Table1[[#This Row],[Total usage(Min)]]&lt;= AVERAGE(U:U)*0.9,"Low risk",TRUE,"Medium risk"),"N/A")</f>
        <v>High risk</v>
      </c>
      <c r="Z563" t="str" cm="1">
        <f t="array" ref="Z563">IFERROR(_xlfn.IFS(Table1[[#This Row],[Total charges]]&gt;=AVERAGE(V:V)*1.1,"High risk",Table1[[#This Row],[Total charges]]&lt;=AVERAGE(V:V)*0.9,"Low risk",TRUE,"Medium risk"),"N/A")</f>
        <v>High risk</v>
      </c>
      <c r="AA5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3" t="str" cm="1">
        <f t="array" ref="AC563">_xlfn.IFS(
AND(Table1[[#This Row],[Customer service risk level]]="High risk", Table1[[#This Row],[Intl usage behaviour]]="Unplanned Usage"),"High Risk",
OR(Table1[[#This Row],[Customer service risk level]]="Medium risk", Table1[[#This Row],[Charges risk level]]="High risk "),"Medium Risk",
TRUE,"Low Risk"
)</f>
        <v>Low Risk</v>
      </c>
    </row>
    <row r="564" spans="1:29" x14ac:dyDescent="0.25">
      <c r="A564" t="s">
        <v>69</v>
      </c>
      <c r="B564">
        <v>185</v>
      </c>
      <c r="C564">
        <v>415</v>
      </c>
      <c r="D564" t="s">
        <v>21</v>
      </c>
      <c r="E564" t="s">
        <v>27</v>
      </c>
      <c r="F564">
        <v>19</v>
      </c>
      <c r="G564">
        <v>157.30000000000001</v>
      </c>
      <c r="H564">
        <v>123</v>
      </c>
      <c r="I564">
        <v>26.74</v>
      </c>
      <c r="J564">
        <v>257.7</v>
      </c>
      <c r="K564">
        <v>94</v>
      </c>
      <c r="L564">
        <v>21.9</v>
      </c>
      <c r="M564">
        <v>190.4</v>
      </c>
      <c r="N564">
        <v>107</v>
      </c>
      <c r="O564">
        <v>8.57</v>
      </c>
      <c r="P564">
        <v>9.6</v>
      </c>
      <c r="Q564">
        <v>6</v>
      </c>
      <c r="R564">
        <v>2.59</v>
      </c>
      <c r="S564">
        <v>0</v>
      </c>
      <c r="T564" t="b">
        <v>0</v>
      </c>
      <c r="U564">
        <f>IFERROR(SUM(Table1[[#This Row],[Total day minutes]],Table1[[#This Row],[Total eve minutes]],Table1[[#This Row],[Total night minutes]],Table1[[#This Row],[Total intl minutes]]),0)</f>
        <v>615</v>
      </c>
      <c r="V564">
        <f>SUM(Table1[[#This Row],[Total intl charge]],Table1[[#This Row],[Total night charge]],Table1[[#This Row],[Total eve charge]],Table1[[#This Row],[Total day charge]])</f>
        <v>59.8</v>
      </c>
      <c r="W564">
        <f>SUM(Table1[[#This Row],[Total intl calls]],Table1[[#This Row],[Total night calls]],Table1[[#This Row],[Total eve calls]],Table1[[#This Row],[Total day calls]])</f>
        <v>330</v>
      </c>
      <c r="X564" t="str" cm="1">
        <f t="array" ref="X564">_xlfn.IFS(Table1[[#This Row],[Customer service calls]]&gt;=4,"High risk",Table1[[#This Row],[Customer service calls]]&gt;=2,"Medium risk",TRUE,"Low risk")</f>
        <v>Low risk</v>
      </c>
      <c r="Y564" t="str" cm="1">
        <f t="array" ref="Y564">IFERROR(_xlfn.IFS(Table1[[#This Row],[Total usage(Min)]]&gt;=AVERAGE(U:U)*1.1,"High risk",Table1[[#This Row],[Total usage(Min)]]&lt;= AVERAGE(U:U)*0.9,"Low risk",TRUE,"Medium risk"),"N/A")</f>
        <v>Medium risk</v>
      </c>
      <c r="Z564" t="str" cm="1">
        <f t="array" ref="Z564">IFERROR(_xlfn.IFS(Table1[[#This Row],[Total charges]]&gt;=AVERAGE(V:V)*1.1,"High risk",Table1[[#This Row],[Total charges]]&lt;=AVERAGE(V:V)*0.9,"Low risk",TRUE,"Medium risk"),"N/A")</f>
        <v>Medium risk</v>
      </c>
      <c r="AA5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64" t="str" cm="1">
        <f t="array" ref="AC564">_xlfn.IFS(
AND(Table1[[#This Row],[Customer service risk level]]="High risk", Table1[[#This Row],[Intl usage behaviour]]="Unplanned Usage"),"High Risk",
OR(Table1[[#This Row],[Customer service risk level]]="Medium risk", Table1[[#This Row],[Charges risk level]]="High risk "),"Medium Risk",
TRUE,"Low Risk"
)</f>
        <v>Low Risk</v>
      </c>
    </row>
    <row r="565" spans="1:29" x14ac:dyDescent="0.25">
      <c r="A565" t="s">
        <v>67</v>
      </c>
      <c r="B565">
        <v>85</v>
      </c>
      <c r="C565">
        <v>408</v>
      </c>
      <c r="D565" t="s">
        <v>21</v>
      </c>
      <c r="E565" t="s">
        <v>21</v>
      </c>
      <c r="F565">
        <v>0</v>
      </c>
      <c r="G565">
        <v>144.4</v>
      </c>
      <c r="H565">
        <v>88</v>
      </c>
      <c r="I565">
        <v>24.55</v>
      </c>
      <c r="J565">
        <v>264.60000000000002</v>
      </c>
      <c r="K565">
        <v>105</v>
      </c>
      <c r="L565">
        <v>22.49</v>
      </c>
      <c r="M565">
        <v>185.4</v>
      </c>
      <c r="N565">
        <v>94</v>
      </c>
      <c r="O565">
        <v>8.34</v>
      </c>
      <c r="P565">
        <v>9.9</v>
      </c>
      <c r="Q565">
        <v>3</v>
      </c>
      <c r="R565">
        <v>2.67</v>
      </c>
      <c r="S565">
        <v>1</v>
      </c>
      <c r="T565" t="b">
        <v>0</v>
      </c>
      <c r="U565">
        <f>IFERROR(SUM(Table1[[#This Row],[Total day minutes]],Table1[[#This Row],[Total eve minutes]],Table1[[#This Row],[Total night minutes]],Table1[[#This Row],[Total intl minutes]]),0)</f>
        <v>604.29999999999995</v>
      </c>
      <c r="V565">
        <f>SUM(Table1[[#This Row],[Total intl charge]],Table1[[#This Row],[Total night charge]],Table1[[#This Row],[Total eve charge]],Table1[[#This Row],[Total day charge]])</f>
        <v>58.05</v>
      </c>
      <c r="W565">
        <f>SUM(Table1[[#This Row],[Total intl calls]],Table1[[#This Row],[Total night calls]],Table1[[#This Row],[Total eve calls]],Table1[[#This Row],[Total day calls]])</f>
        <v>290</v>
      </c>
      <c r="X565" t="str" cm="1">
        <f t="array" ref="X565">_xlfn.IFS(Table1[[#This Row],[Customer service calls]]&gt;=4,"High risk",Table1[[#This Row],[Customer service calls]]&gt;=2,"Medium risk",TRUE,"Low risk")</f>
        <v>Low risk</v>
      </c>
      <c r="Y565" t="str" cm="1">
        <f t="array" ref="Y565">IFERROR(_xlfn.IFS(Table1[[#This Row],[Total usage(Min)]]&gt;=AVERAGE(U:U)*1.1,"High risk",Table1[[#This Row],[Total usage(Min)]]&lt;= AVERAGE(U:U)*0.9,"Low risk",TRUE,"Medium risk"),"N/A")</f>
        <v>Medium risk</v>
      </c>
      <c r="Z565" t="str" cm="1">
        <f t="array" ref="Z565">IFERROR(_xlfn.IFS(Table1[[#This Row],[Total charges]]&gt;=AVERAGE(V:V)*1.1,"High risk",Table1[[#This Row],[Total charges]]&lt;=AVERAGE(V:V)*0.9,"Low risk",TRUE,"Medium risk"),"N/A")</f>
        <v>Medium risk</v>
      </c>
      <c r="AA5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5" t="str" cm="1">
        <f t="array" ref="AC565">_xlfn.IFS(
AND(Table1[[#This Row],[Customer service risk level]]="High risk", Table1[[#This Row],[Intl usage behaviour]]="Unplanned Usage"),"High Risk",
OR(Table1[[#This Row],[Customer service risk level]]="Medium risk", Table1[[#This Row],[Charges risk level]]="High risk "),"Medium Risk",
TRUE,"Low Risk"
)</f>
        <v>Low Risk</v>
      </c>
    </row>
    <row r="566" spans="1:29" x14ac:dyDescent="0.25">
      <c r="A566" t="s">
        <v>70</v>
      </c>
      <c r="B566">
        <v>148</v>
      </c>
      <c r="C566">
        <v>415</v>
      </c>
      <c r="D566" t="s">
        <v>21</v>
      </c>
      <c r="E566" t="s">
        <v>27</v>
      </c>
      <c r="F566">
        <v>36</v>
      </c>
      <c r="G566">
        <v>77.599999999999994</v>
      </c>
      <c r="H566">
        <v>141</v>
      </c>
      <c r="I566">
        <v>13.19</v>
      </c>
      <c r="J566">
        <v>207</v>
      </c>
      <c r="K566">
        <v>60</v>
      </c>
      <c r="L566">
        <v>17.600000000000001</v>
      </c>
      <c r="M566">
        <v>255.7</v>
      </c>
      <c r="N566">
        <v>115</v>
      </c>
      <c r="O566">
        <v>11.51</v>
      </c>
      <c r="P566">
        <v>10.9</v>
      </c>
      <c r="Q566">
        <v>2</v>
      </c>
      <c r="R566">
        <v>2.94</v>
      </c>
      <c r="S566">
        <v>1</v>
      </c>
      <c r="T566" t="b">
        <v>0</v>
      </c>
      <c r="U566">
        <f>IFERROR(SUM(Table1[[#This Row],[Total day minutes]],Table1[[#This Row],[Total eve minutes]],Table1[[#This Row],[Total night minutes]],Table1[[#This Row],[Total intl minutes]]),0)</f>
        <v>551.19999999999993</v>
      </c>
      <c r="V566">
        <f>SUM(Table1[[#This Row],[Total intl charge]],Table1[[#This Row],[Total night charge]],Table1[[#This Row],[Total eve charge]],Table1[[#This Row],[Total day charge]])</f>
        <v>45.239999999999995</v>
      </c>
      <c r="W566">
        <f>SUM(Table1[[#This Row],[Total intl calls]],Table1[[#This Row],[Total night calls]],Table1[[#This Row],[Total eve calls]],Table1[[#This Row],[Total day calls]])</f>
        <v>318</v>
      </c>
      <c r="X566" t="str" cm="1">
        <f t="array" ref="X566">_xlfn.IFS(Table1[[#This Row],[Customer service calls]]&gt;=4,"High risk",Table1[[#This Row],[Customer service calls]]&gt;=2,"Medium risk",TRUE,"Low risk")</f>
        <v>Low risk</v>
      </c>
      <c r="Y566" t="str" cm="1">
        <f t="array" ref="Y566">IFERROR(_xlfn.IFS(Table1[[#This Row],[Total usage(Min)]]&gt;=AVERAGE(U:U)*1.1,"High risk",Table1[[#This Row],[Total usage(Min)]]&lt;= AVERAGE(U:U)*0.9,"Low risk",TRUE,"Medium risk"),"N/A")</f>
        <v>Medium risk</v>
      </c>
      <c r="Z566" t="str" cm="1">
        <f t="array" ref="Z566">IFERROR(_xlfn.IFS(Table1[[#This Row],[Total charges]]&gt;=AVERAGE(V:V)*1.1,"High risk",Table1[[#This Row],[Total charges]]&lt;=AVERAGE(V:V)*0.9,"Low risk",TRUE,"Medium risk"),"N/A")</f>
        <v>Low risk</v>
      </c>
      <c r="AA5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66" t="str" cm="1">
        <f t="array" ref="AC566">_xlfn.IFS(
AND(Table1[[#This Row],[Customer service risk level]]="High risk", Table1[[#This Row],[Intl usage behaviour]]="Unplanned Usage"),"High Risk",
OR(Table1[[#This Row],[Customer service risk level]]="Medium risk", Table1[[#This Row],[Charges risk level]]="High risk "),"Medium Risk",
TRUE,"Low Risk"
)</f>
        <v>Low Risk</v>
      </c>
    </row>
    <row r="567" spans="1:29" x14ac:dyDescent="0.25">
      <c r="A567" t="s">
        <v>56</v>
      </c>
      <c r="B567">
        <v>134</v>
      </c>
      <c r="C567">
        <v>408</v>
      </c>
      <c r="D567" t="s">
        <v>21</v>
      </c>
      <c r="E567" t="s">
        <v>27</v>
      </c>
      <c r="F567">
        <v>32</v>
      </c>
      <c r="G567">
        <v>80.3</v>
      </c>
      <c r="H567">
        <v>94</v>
      </c>
      <c r="I567">
        <v>13.65</v>
      </c>
      <c r="J567">
        <v>199.9</v>
      </c>
      <c r="K567">
        <v>124</v>
      </c>
      <c r="L567">
        <v>16.989999999999998</v>
      </c>
      <c r="M567">
        <v>170.8</v>
      </c>
      <c r="N567">
        <v>117</v>
      </c>
      <c r="O567">
        <v>7.69</v>
      </c>
      <c r="P567">
        <v>16.600000000000001</v>
      </c>
      <c r="Q567">
        <v>3</v>
      </c>
      <c r="R567">
        <v>4.4800000000000004</v>
      </c>
      <c r="S567">
        <v>0</v>
      </c>
      <c r="T567" t="b">
        <v>0</v>
      </c>
      <c r="U567">
        <f>IFERROR(SUM(Table1[[#This Row],[Total day minutes]],Table1[[#This Row],[Total eve minutes]],Table1[[#This Row],[Total night minutes]],Table1[[#This Row],[Total intl minutes]]),0)</f>
        <v>467.6</v>
      </c>
      <c r="V567">
        <f>SUM(Table1[[#This Row],[Total intl charge]],Table1[[#This Row],[Total night charge]],Table1[[#This Row],[Total eve charge]],Table1[[#This Row],[Total day charge]])</f>
        <v>42.81</v>
      </c>
      <c r="W567">
        <f>SUM(Table1[[#This Row],[Total intl calls]],Table1[[#This Row],[Total night calls]],Table1[[#This Row],[Total eve calls]],Table1[[#This Row],[Total day calls]])</f>
        <v>338</v>
      </c>
      <c r="X567" t="str" cm="1">
        <f t="array" ref="X567">_xlfn.IFS(Table1[[#This Row],[Customer service calls]]&gt;=4,"High risk",Table1[[#This Row],[Customer service calls]]&gt;=2,"Medium risk",TRUE,"Low risk")</f>
        <v>Low risk</v>
      </c>
      <c r="Y567" t="str" cm="1">
        <f t="array" ref="Y567">IFERROR(_xlfn.IFS(Table1[[#This Row],[Total usage(Min)]]&gt;=AVERAGE(U:U)*1.1,"High risk",Table1[[#This Row],[Total usage(Min)]]&lt;= AVERAGE(U:U)*0.9,"Low risk",TRUE,"Medium risk"),"N/A")</f>
        <v>Low risk</v>
      </c>
      <c r="Z567" t="str" cm="1">
        <f t="array" ref="Z567">IFERROR(_xlfn.IFS(Table1[[#This Row],[Total charges]]&gt;=AVERAGE(V:V)*1.1,"High risk",Table1[[#This Row],[Total charges]]&lt;=AVERAGE(V:V)*0.9,"Low risk",TRUE,"Medium risk"),"N/A")</f>
        <v>Low risk</v>
      </c>
      <c r="AA5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67" t="str" cm="1">
        <f t="array" ref="AC567">_xlfn.IFS(
AND(Table1[[#This Row],[Customer service risk level]]="High risk", Table1[[#This Row],[Intl usage behaviour]]="Unplanned Usage"),"High Risk",
OR(Table1[[#This Row],[Customer service risk level]]="Medium risk", Table1[[#This Row],[Charges risk level]]="High risk "),"Medium Risk",
TRUE,"Low Risk"
)</f>
        <v>Low Risk</v>
      </c>
    </row>
    <row r="568" spans="1:29" x14ac:dyDescent="0.25">
      <c r="A568" t="s">
        <v>35</v>
      </c>
      <c r="B568">
        <v>80</v>
      </c>
      <c r="C568">
        <v>408</v>
      </c>
      <c r="D568" t="s">
        <v>21</v>
      </c>
      <c r="E568" t="s">
        <v>27</v>
      </c>
      <c r="F568">
        <v>36</v>
      </c>
      <c r="G568">
        <v>190.3</v>
      </c>
      <c r="H568">
        <v>115</v>
      </c>
      <c r="I568">
        <v>32.35</v>
      </c>
      <c r="J568">
        <v>256.60000000000002</v>
      </c>
      <c r="K568">
        <v>78</v>
      </c>
      <c r="L568">
        <v>21.81</v>
      </c>
      <c r="M568">
        <v>214.9</v>
      </c>
      <c r="N568">
        <v>145</v>
      </c>
      <c r="O568">
        <v>9.67</v>
      </c>
      <c r="P568">
        <v>3.8</v>
      </c>
      <c r="Q568">
        <v>4</v>
      </c>
      <c r="R568">
        <v>1.03</v>
      </c>
      <c r="S568">
        <v>1</v>
      </c>
      <c r="T568" t="b">
        <v>0</v>
      </c>
      <c r="U568">
        <f>IFERROR(SUM(Table1[[#This Row],[Total day minutes]],Table1[[#This Row],[Total eve minutes]],Table1[[#This Row],[Total night minutes]],Table1[[#This Row],[Total intl minutes]]),0)</f>
        <v>665.6</v>
      </c>
      <c r="V568">
        <f>SUM(Table1[[#This Row],[Total intl charge]],Table1[[#This Row],[Total night charge]],Table1[[#This Row],[Total eve charge]],Table1[[#This Row],[Total day charge]])</f>
        <v>64.86</v>
      </c>
      <c r="W568">
        <f>SUM(Table1[[#This Row],[Total intl calls]],Table1[[#This Row],[Total night calls]],Table1[[#This Row],[Total eve calls]],Table1[[#This Row],[Total day calls]])</f>
        <v>342</v>
      </c>
      <c r="X568" t="str" cm="1">
        <f t="array" ref="X568">_xlfn.IFS(Table1[[#This Row],[Customer service calls]]&gt;=4,"High risk",Table1[[#This Row],[Customer service calls]]&gt;=2,"Medium risk",TRUE,"Low risk")</f>
        <v>Low risk</v>
      </c>
      <c r="Y568" t="str" cm="1">
        <f t="array" ref="Y568">IFERROR(_xlfn.IFS(Table1[[#This Row],[Total usage(Min)]]&gt;=AVERAGE(U:U)*1.1,"High risk",Table1[[#This Row],[Total usage(Min)]]&lt;= AVERAGE(U:U)*0.9,"Low risk",TRUE,"Medium risk"),"N/A")</f>
        <v>High risk</v>
      </c>
      <c r="Z568" t="str" cm="1">
        <f t="array" ref="Z568">IFERROR(_xlfn.IFS(Table1[[#This Row],[Total charges]]&gt;=AVERAGE(V:V)*1.1,"High risk",Table1[[#This Row],[Total charges]]&lt;=AVERAGE(V:V)*0.9,"Low risk",TRUE,"Medium risk"),"N/A")</f>
        <v>Medium risk</v>
      </c>
      <c r="AA5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68" t="str" cm="1">
        <f t="array" ref="AC568">_xlfn.IFS(
AND(Table1[[#This Row],[Customer service risk level]]="High risk", Table1[[#This Row],[Intl usage behaviour]]="Unplanned Usage"),"High Risk",
OR(Table1[[#This Row],[Customer service risk level]]="Medium risk", Table1[[#This Row],[Charges risk level]]="High risk "),"Medium Risk",
TRUE,"Low Risk"
)</f>
        <v>Low Risk</v>
      </c>
    </row>
    <row r="569" spans="1:29" x14ac:dyDescent="0.25">
      <c r="A569" t="s">
        <v>42</v>
      </c>
      <c r="B569">
        <v>165</v>
      </c>
      <c r="C569">
        <v>510</v>
      </c>
      <c r="D569" t="s">
        <v>21</v>
      </c>
      <c r="E569" t="s">
        <v>21</v>
      </c>
      <c r="F569">
        <v>0</v>
      </c>
      <c r="G569">
        <v>209.4</v>
      </c>
      <c r="H569">
        <v>67</v>
      </c>
      <c r="I569">
        <v>35.6</v>
      </c>
      <c r="J569">
        <v>273.8</v>
      </c>
      <c r="K569">
        <v>89</v>
      </c>
      <c r="L569">
        <v>23.27</v>
      </c>
      <c r="M569">
        <v>150.19999999999999</v>
      </c>
      <c r="N569">
        <v>88</v>
      </c>
      <c r="O569">
        <v>6.76</v>
      </c>
      <c r="P569">
        <v>12.8</v>
      </c>
      <c r="Q569">
        <v>1</v>
      </c>
      <c r="R569">
        <v>3.46</v>
      </c>
      <c r="S569">
        <v>0</v>
      </c>
      <c r="T569" t="b">
        <v>0</v>
      </c>
      <c r="U569">
        <f>IFERROR(SUM(Table1[[#This Row],[Total day minutes]],Table1[[#This Row],[Total eve minutes]],Table1[[#This Row],[Total night minutes]],Table1[[#This Row],[Total intl minutes]]),0)</f>
        <v>646.20000000000005</v>
      </c>
      <c r="V569">
        <f>SUM(Table1[[#This Row],[Total intl charge]],Table1[[#This Row],[Total night charge]],Table1[[#This Row],[Total eve charge]],Table1[[#This Row],[Total day charge]])</f>
        <v>69.09</v>
      </c>
      <c r="W569">
        <f>SUM(Table1[[#This Row],[Total intl calls]],Table1[[#This Row],[Total night calls]],Table1[[#This Row],[Total eve calls]],Table1[[#This Row],[Total day calls]])</f>
        <v>245</v>
      </c>
      <c r="X569" t="str" cm="1">
        <f t="array" ref="X569">_xlfn.IFS(Table1[[#This Row],[Customer service calls]]&gt;=4,"High risk",Table1[[#This Row],[Customer service calls]]&gt;=2,"Medium risk",TRUE,"Low risk")</f>
        <v>Low risk</v>
      </c>
      <c r="Y569" t="str" cm="1">
        <f t="array" ref="Y569">IFERROR(_xlfn.IFS(Table1[[#This Row],[Total usage(Min)]]&gt;=AVERAGE(U:U)*1.1,"High risk",Table1[[#This Row],[Total usage(Min)]]&lt;= AVERAGE(U:U)*0.9,"Low risk",TRUE,"Medium risk"),"N/A")</f>
        <v>Medium risk</v>
      </c>
      <c r="Z569" t="str" cm="1">
        <f t="array" ref="Z569">IFERROR(_xlfn.IFS(Table1[[#This Row],[Total charges]]&gt;=AVERAGE(V:V)*1.1,"High risk",Table1[[#This Row],[Total charges]]&lt;=AVERAGE(V:V)*0.9,"Low risk",TRUE,"Medium risk"),"N/A")</f>
        <v>High risk</v>
      </c>
      <c r="AA56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6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69" t="str" cm="1">
        <f t="array" ref="AC569">_xlfn.IFS(
AND(Table1[[#This Row],[Customer service risk level]]="High risk", Table1[[#This Row],[Intl usage behaviour]]="Unplanned Usage"),"High Risk",
OR(Table1[[#This Row],[Customer service risk level]]="Medium risk", Table1[[#This Row],[Charges risk level]]="High risk "),"Medium Risk",
TRUE,"Low Risk"
)</f>
        <v>Low Risk</v>
      </c>
    </row>
    <row r="570" spans="1:29" x14ac:dyDescent="0.25">
      <c r="A570" t="s">
        <v>52</v>
      </c>
      <c r="B570">
        <v>65</v>
      </c>
      <c r="C570">
        <v>415</v>
      </c>
      <c r="D570" t="s">
        <v>21</v>
      </c>
      <c r="E570" t="s">
        <v>27</v>
      </c>
      <c r="F570">
        <v>34</v>
      </c>
      <c r="G570">
        <v>208.8</v>
      </c>
      <c r="H570">
        <v>119</v>
      </c>
      <c r="I570">
        <v>35.5</v>
      </c>
      <c r="J570">
        <v>142.1</v>
      </c>
      <c r="K570">
        <v>106</v>
      </c>
      <c r="L570">
        <v>12.08</v>
      </c>
      <c r="M570">
        <v>214.6</v>
      </c>
      <c r="N570">
        <v>87</v>
      </c>
      <c r="O570">
        <v>9.66</v>
      </c>
      <c r="P570">
        <v>12.5</v>
      </c>
      <c r="Q570">
        <v>4</v>
      </c>
      <c r="R570">
        <v>3.38</v>
      </c>
      <c r="S570">
        <v>4</v>
      </c>
      <c r="T570" t="b">
        <v>0</v>
      </c>
      <c r="U570">
        <f>IFERROR(SUM(Table1[[#This Row],[Total day minutes]],Table1[[#This Row],[Total eve minutes]],Table1[[#This Row],[Total night minutes]],Table1[[#This Row],[Total intl minutes]]),0)</f>
        <v>578</v>
      </c>
      <c r="V570">
        <f>SUM(Table1[[#This Row],[Total intl charge]],Table1[[#This Row],[Total night charge]],Table1[[#This Row],[Total eve charge]],Table1[[#This Row],[Total day charge]])</f>
        <v>60.62</v>
      </c>
      <c r="W570">
        <f>SUM(Table1[[#This Row],[Total intl calls]],Table1[[#This Row],[Total night calls]],Table1[[#This Row],[Total eve calls]],Table1[[#This Row],[Total day calls]])</f>
        <v>316</v>
      </c>
      <c r="X570" t="str" cm="1">
        <f t="array" ref="X570">_xlfn.IFS(Table1[[#This Row],[Customer service calls]]&gt;=4,"High risk",Table1[[#This Row],[Customer service calls]]&gt;=2,"Medium risk",TRUE,"Low risk")</f>
        <v>High risk</v>
      </c>
      <c r="Y570" t="str" cm="1">
        <f t="array" ref="Y570">IFERROR(_xlfn.IFS(Table1[[#This Row],[Total usage(Min)]]&gt;=AVERAGE(U:U)*1.1,"High risk",Table1[[#This Row],[Total usage(Min)]]&lt;= AVERAGE(U:U)*0.9,"Low risk",TRUE,"Medium risk"),"N/A")</f>
        <v>Medium risk</v>
      </c>
      <c r="Z570" t="str" cm="1">
        <f t="array" ref="Z570">IFERROR(_xlfn.IFS(Table1[[#This Row],[Total charges]]&gt;=AVERAGE(V:V)*1.1,"High risk",Table1[[#This Row],[Total charges]]&lt;=AVERAGE(V:V)*0.9,"Low risk",TRUE,"Medium risk"),"N/A")</f>
        <v>Medium risk</v>
      </c>
      <c r="AA57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70" t="str" cm="1">
        <f t="array" ref="AC570">_xlfn.IFS(
AND(Table1[[#This Row],[Customer service risk level]]="High risk", Table1[[#This Row],[Intl usage behaviour]]="Unplanned Usage"),"High Risk",
OR(Table1[[#This Row],[Customer service risk level]]="Medium risk", Table1[[#This Row],[Charges risk level]]="High risk "),"Medium Risk",
TRUE,"Low Risk"
)</f>
        <v>High Risk</v>
      </c>
    </row>
    <row r="571" spans="1:29" x14ac:dyDescent="0.25">
      <c r="A571" t="s">
        <v>55</v>
      </c>
      <c r="B571">
        <v>104</v>
      </c>
      <c r="C571">
        <v>415</v>
      </c>
      <c r="D571" t="s">
        <v>21</v>
      </c>
      <c r="E571" t="s">
        <v>21</v>
      </c>
      <c r="F571">
        <v>0</v>
      </c>
      <c r="G571">
        <v>113.6</v>
      </c>
      <c r="H571">
        <v>87</v>
      </c>
      <c r="I571">
        <v>19.309999999999999</v>
      </c>
      <c r="J571">
        <v>158.6</v>
      </c>
      <c r="K571">
        <v>98</v>
      </c>
      <c r="L571">
        <v>13.48</v>
      </c>
      <c r="M571">
        <v>187.7</v>
      </c>
      <c r="N571">
        <v>87</v>
      </c>
      <c r="O571">
        <v>8.4499999999999993</v>
      </c>
      <c r="P571">
        <v>10.5</v>
      </c>
      <c r="Q571">
        <v>6</v>
      </c>
      <c r="R571">
        <v>2.84</v>
      </c>
      <c r="S571">
        <v>2</v>
      </c>
      <c r="T571" t="b">
        <v>0</v>
      </c>
      <c r="U571">
        <f>IFERROR(SUM(Table1[[#This Row],[Total day minutes]],Table1[[#This Row],[Total eve minutes]],Table1[[#This Row],[Total night minutes]],Table1[[#This Row],[Total intl minutes]]),0)</f>
        <v>470.4</v>
      </c>
      <c r="V571">
        <f>SUM(Table1[[#This Row],[Total intl charge]],Table1[[#This Row],[Total night charge]],Table1[[#This Row],[Total eve charge]],Table1[[#This Row],[Total day charge]])</f>
        <v>44.08</v>
      </c>
      <c r="W571">
        <f>SUM(Table1[[#This Row],[Total intl calls]],Table1[[#This Row],[Total night calls]],Table1[[#This Row],[Total eve calls]],Table1[[#This Row],[Total day calls]])</f>
        <v>278</v>
      </c>
      <c r="X571" t="str" cm="1">
        <f t="array" ref="X571">_xlfn.IFS(Table1[[#This Row],[Customer service calls]]&gt;=4,"High risk",Table1[[#This Row],[Customer service calls]]&gt;=2,"Medium risk",TRUE,"Low risk")</f>
        <v>Medium risk</v>
      </c>
      <c r="Y571" t="str" cm="1">
        <f t="array" ref="Y571">IFERROR(_xlfn.IFS(Table1[[#This Row],[Total usage(Min)]]&gt;=AVERAGE(U:U)*1.1,"High risk",Table1[[#This Row],[Total usage(Min)]]&lt;= AVERAGE(U:U)*0.9,"Low risk",TRUE,"Medium risk"),"N/A")</f>
        <v>Low risk</v>
      </c>
      <c r="Z571" t="str" cm="1">
        <f t="array" ref="Z571">IFERROR(_xlfn.IFS(Table1[[#This Row],[Total charges]]&gt;=AVERAGE(V:V)*1.1,"High risk",Table1[[#This Row],[Total charges]]&lt;=AVERAGE(V:V)*0.9,"Low risk",TRUE,"Medium risk"),"N/A")</f>
        <v>Low risk</v>
      </c>
      <c r="AA57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1" t="str" cm="1">
        <f t="array" ref="AC571">_xlfn.IFS(
AND(Table1[[#This Row],[Customer service risk level]]="High risk", Table1[[#This Row],[Intl usage behaviour]]="Unplanned Usage"),"High Risk",
OR(Table1[[#This Row],[Customer service risk level]]="Medium risk", Table1[[#This Row],[Charges risk level]]="High risk "),"Medium Risk",
TRUE,"Low Risk"
)</f>
        <v>Medium Risk</v>
      </c>
    </row>
    <row r="572" spans="1:29" x14ac:dyDescent="0.25">
      <c r="A572" t="s">
        <v>59</v>
      </c>
      <c r="B572">
        <v>44</v>
      </c>
      <c r="C572">
        <v>415</v>
      </c>
      <c r="D572" t="s">
        <v>21</v>
      </c>
      <c r="E572" t="s">
        <v>21</v>
      </c>
      <c r="F572">
        <v>0</v>
      </c>
      <c r="G572">
        <v>202.6</v>
      </c>
      <c r="H572">
        <v>89</v>
      </c>
      <c r="I572">
        <v>34.44</v>
      </c>
      <c r="J572">
        <v>163</v>
      </c>
      <c r="K572">
        <v>96</v>
      </c>
      <c r="L572">
        <v>13.86</v>
      </c>
      <c r="M572">
        <v>268.10000000000002</v>
      </c>
      <c r="N572">
        <v>151</v>
      </c>
      <c r="O572">
        <v>12.06</v>
      </c>
      <c r="P572">
        <v>8.3000000000000007</v>
      </c>
      <c r="Q572">
        <v>3</v>
      </c>
      <c r="R572">
        <v>2.2400000000000002</v>
      </c>
      <c r="S572">
        <v>0</v>
      </c>
      <c r="T572" t="b">
        <v>0</v>
      </c>
      <c r="U572">
        <f>IFERROR(SUM(Table1[[#This Row],[Total day minutes]],Table1[[#This Row],[Total eve minutes]],Table1[[#This Row],[Total night minutes]],Table1[[#This Row],[Total intl minutes]]),0)</f>
        <v>642</v>
      </c>
      <c r="V572">
        <f>SUM(Table1[[#This Row],[Total intl charge]],Table1[[#This Row],[Total night charge]],Table1[[#This Row],[Total eve charge]],Table1[[#This Row],[Total day charge]])</f>
        <v>62.599999999999994</v>
      </c>
      <c r="W572">
        <f>SUM(Table1[[#This Row],[Total intl calls]],Table1[[#This Row],[Total night calls]],Table1[[#This Row],[Total eve calls]],Table1[[#This Row],[Total day calls]])</f>
        <v>339</v>
      </c>
      <c r="X572" t="str" cm="1">
        <f t="array" ref="X572">_xlfn.IFS(Table1[[#This Row],[Customer service calls]]&gt;=4,"High risk",Table1[[#This Row],[Customer service calls]]&gt;=2,"Medium risk",TRUE,"Low risk")</f>
        <v>Low risk</v>
      </c>
      <c r="Y572" t="str" cm="1">
        <f t="array" ref="Y572">IFERROR(_xlfn.IFS(Table1[[#This Row],[Total usage(Min)]]&gt;=AVERAGE(U:U)*1.1,"High risk",Table1[[#This Row],[Total usage(Min)]]&lt;= AVERAGE(U:U)*0.9,"Low risk",TRUE,"Medium risk"),"N/A")</f>
        <v>Medium risk</v>
      </c>
      <c r="Z572" t="str" cm="1">
        <f t="array" ref="Z572">IFERROR(_xlfn.IFS(Table1[[#This Row],[Total charges]]&gt;=AVERAGE(V:V)*1.1,"High risk",Table1[[#This Row],[Total charges]]&lt;=AVERAGE(V:V)*0.9,"Low risk",TRUE,"Medium risk"),"N/A")</f>
        <v>Medium risk</v>
      </c>
      <c r="AA57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2" t="str" cm="1">
        <f t="array" ref="AC572">_xlfn.IFS(
AND(Table1[[#This Row],[Customer service risk level]]="High risk", Table1[[#This Row],[Intl usage behaviour]]="Unplanned Usage"),"High Risk",
OR(Table1[[#This Row],[Customer service risk level]]="Medium risk", Table1[[#This Row],[Charges risk level]]="High risk "),"Medium Risk",
TRUE,"Low Risk"
)</f>
        <v>Low Risk</v>
      </c>
    </row>
    <row r="573" spans="1:29" x14ac:dyDescent="0.25">
      <c r="A573" t="s">
        <v>42</v>
      </c>
      <c r="B573">
        <v>162</v>
      </c>
      <c r="C573">
        <v>415</v>
      </c>
      <c r="D573" t="s">
        <v>21</v>
      </c>
      <c r="E573" t="s">
        <v>21</v>
      </c>
      <c r="F573">
        <v>0</v>
      </c>
      <c r="G573">
        <v>135.19999999999999</v>
      </c>
      <c r="H573">
        <v>98</v>
      </c>
      <c r="I573">
        <v>22.98</v>
      </c>
      <c r="J573">
        <v>242</v>
      </c>
      <c r="K573">
        <v>107</v>
      </c>
      <c r="L573">
        <v>20.57</v>
      </c>
      <c r="M573">
        <v>246.9</v>
      </c>
      <c r="N573">
        <v>96</v>
      </c>
      <c r="O573">
        <v>11.11</v>
      </c>
      <c r="P573">
        <v>10.199999999999999</v>
      </c>
      <c r="Q573">
        <v>2</v>
      </c>
      <c r="R573">
        <v>2.75</v>
      </c>
      <c r="S573">
        <v>2</v>
      </c>
      <c r="T573" t="b">
        <v>0</v>
      </c>
      <c r="U573">
        <f>IFERROR(SUM(Table1[[#This Row],[Total day minutes]],Table1[[#This Row],[Total eve minutes]],Table1[[#This Row],[Total night minutes]],Table1[[#This Row],[Total intl minutes]]),0)</f>
        <v>634.30000000000007</v>
      </c>
      <c r="V573">
        <f>SUM(Table1[[#This Row],[Total intl charge]],Table1[[#This Row],[Total night charge]],Table1[[#This Row],[Total eve charge]],Table1[[#This Row],[Total day charge]])</f>
        <v>57.41</v>
      </c>
      <c r="W573">
        <f>SUM(Table1[[#This Row],[Total intl calls]],Table1[[#This Row],[Total night calls]],Table1[[#This Row],[Total eve calls]],Table1[[#This Row],[Total day calls]])</f>
        <v>303</v>
      </c>
      <c r="X573" t="str" cm="1">
        <f t="array" ref="X573">_xlfn.IFS(Table1[[#This Row],[Customer service calls]]&gt;=4,"High risk",Table1[[#This Row],[Customer service calls]]&gt;=2,"Medium risk",TRUE,"Low risk")</f>
        <v>Medium risk</v>
      </c>
      <c r="Y573" t="str" cm="1">
        <f t="array" ref="Y573">IFERROR(_xlfn.IFS(Table1[[#This Row],[Total usage(Min)]]&gt;=AVERAGE(U:U)*1.1,"High risk",Table1[[#This Row],[Total usage(Min)]]&lt;= AVERAGE(U:U)*0.9,"Low risk",TRUE,"Medium risk"),"N/A")</f>
        <v>Medium risk</v>
      </c>
      <c r="Z573" t="str" cm="1">
        <f t="array" ref="Z573">IFERROR(_xlfn.IFS(Table1[[#This Row],[Total charges]]&gt;=AVERAGE(V:V)*1.1,"High risk",Table1[[#This Row],[Total charges]]&lt;=AVERAGE(V:V)*0.9,"Low risk",TRUE,"Medium risk"),"N/A")</f>
        <v>Medium risk</v>
      </c>
      <c r="AA57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3" t="str" cm="1">
        <f t="array" ref="AC573">_xlfn.IFS(
AND(Table1[[#This Row],[Customer service risk level]]="High risk", Table1[[#This Row],[Intl usage behaviour]]="Unplanned Usage"),"High Risk",
OR(Table1[[#This Row],[Customer service risk level]]="Medium risk", Table1[[#This Row],[Charges risk level]]="High risk "),"Medium Risk",
TRUE,"Low Risk"
)</f>
        <v>Medium Risk</v>
      </c>
    </row>
    <row r="574" spans="1:29" x14ac:dyDescent="0.25">
      <c r="A574" t="s">
        <v>40</v>
      </c>
      <c r="B574">
        <v>96</v>
      </c>
      <c r="C574">
        <v>415</v>
      </c>
      <c r="D574" t="s">
        <v>21</v>
      </c>
      <c r="E574" t="s">
        <v>21</v>
      </c>
      <c r="F574">
        <v>0</v>
      </c>
      <c r="G574">
        <v>276.89999999999998</v>
      </c>
      <c r="H574">
        <v>105</v>
      </c>
      <c r="I574">
        <v>47.07</v>
      </c>
      <c r="J574">
        <v>246.9</v>
      </c>
      <c r="K574">
        <v>94</v>
      </c>
      <c r="L574">
        <v>20.99</v>
      </c>
      <c r="M574">
        <v>254.4</v>
      </c>
      <c r="N574">
        <v>107</v>
      </c>
      <c r="O574">
        <v>11.45</v>
      </c>
      <c r="P574">
        <v>10.3</v>
      </c>
      <c r="Q574">
        <v>3</v>
      </c>
      <c r="R574">
        <v>2.78</v>
      </c>
      <c r="S574">
        <v>1</v>
      </c>
      <c r="T574" t="b">
        <v>1</v>
      </c>
      <c r="U574">
        <f>IFERROR(SUM(Table1[[#This Row],[Total day minutes]],Table1[[#This Row],[Total eve minutes]],Table1[[#This Row],[Total night minutes]],Table1[[#This Row],[Total intl minutes]]),0)</f>
        <v>788.49999999999989</v>
      </c>
      <c r="V574">
        <f>SUM(Table1[[#This Row],[Total intl charge]],Table1[[#This Row],[Total night charge]],Table1[[#This Row],[Total eve charge]],Table1[[#This Row],[Total day charge]])</f>
        <v>82.289999999999992</v>
      </c>
      <c r="W574">
        <f>SUM(Table1[[#This Row],[Total intl calls]],Table1[[#This Row],[Total night calls]],Table1[[#This Row],[Total eve calls]],Table1[[#This Row],[Total day calls]])</f>
        <v>309</v>
      </c>
      <c r="X574" t="str" cm="1">
        <f t="array" ref="X574">_xlfn.IFS(Table1[[#This Row],[Customer service calls]]&gt;=4,"High risk",Table1[[#This Row],[Customer service calls]]&gt;=2,"Medium risk",TRUE,"Low risk")</f>
        <v>Low risk</v>
      </c>
      <c r="Y574" t="str" cm="1">
        <f t="array" ref="Y574">IFERROR(_xlfn.IFS(Table1[[#This Row],[Total usage(Min)]]&gt;=AVERAGE(U:U)*1.1,"High risk",Table1[[#This Row],[Total usage(Min)]]&lt;= AVERAGE(U:U)*0.9,"Low risk",TRUE,"Medium risk"),"N/A")</f>
        <v>High risk</v>
      </c>
      <c r="Z574" t="str" cm="1">
        <f t="array" ref="Z574">IFERROR(_xlfn.IFS(Table1[[#This Row],[Total charges]]&gt;=AVERAGE(V:V)*1.1,"High risk",Table1[[#This Row],[Total charges]]&lt;=AVERAGE(V:V)*0.9,"Low risk",TRUE,"Medium risk"),"N/A")</f>
        <v>High risk</v>
      </c>
      <c r="AA57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4" t="str" cm="1">
        <f t="array" ref="AC574">_xlfn.IFS(
AND(Table1[[#This Row],[Customer service risk level]]="High risk", Table1[[#This Row],[Intl usage behaviour]]="Unplanned Usage"),"High Risk",
OR(Table1[[#This Row],[Customer service risk level]]="Medium risk", Table1[[#This Row],[Charges risk level]]="High risk "),"Medium Risk",
TRUE,"Low Risk"
)</f>
        <v>Low Risk</v>
      </c>
    </row>
    <row r="575" spans="1:29" x14ac:dyDescent="0.25">
      <c r="A575" t="s">
        <v>22</v>
      </c>
      <c r="B575">
        <v>72</v>
      </c>
      <c r="C575">
        <v>510</v>
      </c>
      <c r="D575" t="s">
        <v>21</v>
      </c>
      <c r="E575" t="s">
        <v>21</v>
      </c>
      <c r="F575">
        <v>0</v>
      </c>
      <c r="G575">
        <v>287.39999999999998</v>
      </c>
      <c r="H575">
        <v>116</v>
      </c>
      <c r="I575">
        <v>48.86</v>
      </c>
      <c r="J575">
        <v>235.3</v>
      </c>
      <c r="K575">
        <v>126</v>
      </c>
      <c r="L575">
        <v>20</v>
      </c>
      <c r="M575">
        <v>292.10000000000002</v>
      </c>
      <c r="N575">
        <v>114</v>
      </c>
      <c r="O575">
        <v>13.14</v>
      </c>
      <c r="P575">
        <v>5</v>
      </c>
      <c r="Q575">
        <v>3</v>
      </c>
      <c r="R575">
        <v>1.35</v>
      </c>
      <c r="S575">
        <v>4</v>
      </c>
      <c r="T575" t="b">
        <v>1</v>
      </c>
      <c r="U575">
        <f>IFERROR(SUM(Table1[[#This Row],[Total day minutes]],Table1[[#This Row],[Total eve minutes]],Table1[[#This Row],[Total night minutes]],Table1[[#This Row],[Total intl minutes]]),0)</f>
        <v>819.80000000000007</v>
      </c>
      <c r="V575">
        <f>SUM(Table1[[#This Row],[Total intl charge]],Table1[[#This Row],[Total night charge]],Table1[[#This Row],[Total eve charge]],Table1[[#This Row],[Total day charge]])</f>
        <v>83.35</v>
      </c>
      <c r="W575">
        <f>SUM(Table1[[#This Row],[Total intl calls]],Table1[[#This Row],[Total night calls]],Table1[[#This Row],[Total eve calls]],Table1[[#This Row],[Total day calls]])</f>
        <v>359</v>
      </c>
      <c r="X575" t="str" cm="1">
        <f t="array" ref="X575">_xlfn.IFS(Table1[[#This Row],[Customer service calls]]&gt;=4,"High risk",Table1[[#This Row],[Customer service calls]]&gt;=2,"Medium risk",TRUE,"Low risk")</f>
        <v>High risk</v>
      </c>
      <c r="Y575" t="str" cm="1">
        <f t="array" ref="Y575">IFERROR(_xlfn.IFS(Table1[[#This Row],[Total usage(Min)]]&gt;=AVERAGE(U:U)*1.1,"High risk",Table1[[#This Row],[Total usage(Min)]]&lt;= AVERAGE(U:U)*0.9,"Low risk",TRUE,"Medium risk"),"N/A")</f>
        <v>High risk</v>
      </c>
      <c r="Z575" t="str" cm="1">
        <f t="array" ref="Z575">IFERROR(_xlfn.IFS(Table1[[#This Row],[Total charges]]&gt;=AVERAGE(V:V)*1.1,"High risk",Table1[[#This Row],[Total charges]]&lt;=AVERAGE(V:V)*0.9,"Low risk",TRUE,"Medium risk"),"N/A")</f>
        <v>High risk</v>
      </c>
      <c r="AA57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5" t="str" cm="1">
        <f t="array" ref="AC575">_xlfn.IFS(
AND(Table1[[#This Row],[Customer service risk level]]="High risk", Table1[[#This Row],[Intl usage behaviour]]="Unplanned Usage"),"High Risk",
OR(Table1[[#This Row],[Customer service risk level]]="Medium risk", Table1[[#This Row],[Charges risk level]]="High risk "),"Medium Risk",
TRUE,"Low Risk"
)</f>
        <v>High Risk</v>
      </c>
    </row>
    <row r="576" spans="1:29" x14ac:dyDescent="0.25">
      <c r="A576" t="s">
        <v>41</v>
      </c>
      <c r="B576">
        <v>31</v>
      </c>
      <c r="C576">
        <v>415</v>
      </c>
      <c r="D576" t="s">
        <v>21</v>
      </c>
      <c r="E576" t="s">
        <v>21</v>
      </c>
      <c r="F576">
        <v>0</v>
      </c>
      <c r="G576">
        <v>97.5</v>
      </c>
      <c r="H576">
        <v>129</v>
      </c>
      <c r="I576">
        <v>16.579999999999998</v>
      </c>
      <c r="J576">
        <v>260.39999999999998</v>
      </c>
      <c r="K576">
        <v>78</v>
      </c>
      <c r="L576">
        <v>22.13</v>
      </c>
      <c r="M576">
        <v>88.7</v>
      </c>
      <c r="N576">
        <v>100</v>
      </c>
      <c r="O576">
        <v>3.99</v>
      </c>
      <c r="P576">
        <v>7</v>
      </c>
      <c r="Q576">
        <v>5</v>
      </c>
      <c r="R576">
        <v>1.89</v>
      </c>
      <c r="S576">
        <v>1</v>
      </c>
      <c r="T576" t="b">
        <v>0</v>
      </c>
      <c r="U576">
        <f>IFERROR(SUM(Table1[[#This Row],[Total day minutes]],Table1[[#This Row],[Total eve minutes]],Table1[[#This Row],[Total night minutes]],Table1[[#This Row],[Total intl minutes]]),0)</f>
        <v>453.59999999999997</v>
      </c>
      <c r="V576">
        <f>SUM(Table1[[#This Row],[Total intl charge]],Table1[[#This Row],[Total night charge]],Table1[[#This Row],[Total eve charge]],Table1[[#This Row],[Total day charge]])</f>
        <v>44.589999999999996</v>
      </c>
      <c r="W576">
        <f>SUM(Table1[[#This Row],[Total intl calls]],Table1[[#This Row],[Total night calls]],Table1[[#This Row],[Total eve calls]],Table1[[#This Row],[Total day calls]])</f>
        <v>312</v>
      </c>
      <c r="X576" t="str" cm="1">
        <f t="array" ref="X576">_xlfn.IFS(Table1[[#This Row],[Customer service calls]]&gt;=4,"High risk",Table1[[#This Row],[Customer service calls]]&gt;=2,"Medium risk",TRUE,"Low risk")</f>
        <v>Low risk</v>
      </c>
      <c r="Y576" t="str" cm="1">
        <f t="array" ref="Y576">IFERROR(_xlfn.IFS(Table1[[#This Row],[Total usage(Min)]]&gt;=AVERAGE(U:U)*1.1,"High risk",Table1[[#This Row],[Total usage(Min)]]&lt;= AVERAGE(U:U)*0.9,"Low risk",TRUE,"Medium risk"),"N/A")</f>
        <v>Low risk</v>
      </c>
      <c r="Z576" t="str" cm="1">
        <f t="array" ref="Z576">IFERROR(_xlfn.IFS(Table1[[#This Row],[Total charges]]&gt;=AVERAGE(V:V)*1.1,"High risk",Table1[[#This Row],[Total charges]]&lt;=AVERAGE(V:V)*0.9,"Low risk",TRUE,"Medium risk"),"N/A")</f>
        <v>Low risk</v>
      </c>
      <c r="AA57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6" t="str" cm="1">
        <f t="array" ref="AC576">_xlfn.IFS(
AND(Table1[[#This Row],[Customer service risk level]]="High risk", Table1[[#This Row],[Intl usage behaviour]]="Unplanned Usage"),"High Risk",
OR(Table1[[#This Row],[Customer service risk level]]="Medium risk", Table1[[#This Row],[Charges risk level]]="High risk "),"Medium Risk",
TRUE,"Low Risk"
)</f>
        <v>Low Risk</v>
      </c>
    </row>
    <row r="577" spans="1:29" x14ac:dyDescent="0.25">
      <c r="A577" t="s">
        <v>44</v>
      </c>
      <c r="B577">
        <v>72</v>
      </c>
      <c r="C577">
        <v>415</v>
      </c>
      <c r="D577" t="s">
        <v>21</v>
      </c>
      <c r="E577" t="s">
        <v>21</v>
      </c>
      <c r="F577">
        <v>0</v>
      </c>
      <c r="G577">
        <v>166.5</v>
      </c>
      <c r="H577">
        <v>102</v>
      </c>
      <c r="I577">
        <v>28.31</v>
      </c>
      <c r="J577">
        <v>261</v>
      </c>
      <c r="K577">
        <v>103</v>
      </c>
      <c r="L577">
        <v>22.19</v>
      </c>
      <c r="M577">
        <v>262.7</v>
      </c>
      <c r="N577">
        <v>85</v>
      </c>
      <c r="O577">
        <v>11.82</v>
      </c>
      <c r="P577">
        <v>13.3</v>
      </c>
      <c r="Q577">
        <v>5</v>
      </c>
      <c r="R577">
        <v>3.59</v>
      </c>
      <c r="S577">
        <v>0</v>
      </c>
      <c r="T577" t="b">
        <v>0</v>
      </c>
      <c r="U577">
        <f>IFERROR(SUM(Table1[[#This Row],[Total day minutes]],Table1[[#This Row],[Total eve minutes]],Table1[[#This Row],[Total night minutes]],Table1[[#This Row],[Total intl minutes]]),0)</f>
        <v>703.5</v>
      </c>
      <c r="V577">
        <f>SUM(Table1[[#This Row],[Total intl charge]],Table1[[#This Row],[Total night charge]],Table1[[#This Row],[Total eve charge]],Table1[[#This Row],[Total day charge]])</f>
        <v>65.91</v>
      </c>
      <c r="W577">
        <f>SUM(Table1[[#This Row],[Total intl calls]],Table1[[#This Row],[Total night calls]],Table1[[#This Row],[Total eve calls]],Table1[[#This Row],[Total day calls]])</f>
        <v>295</v>
      </c>
      <c r="X577" t="str" cm="1">
        <f t="array" ref="X577">_xlfn.IFS(Table1[[#This Row],[Customer service calls]]&gt;=4,"High risk",Table1[[#This Row],[Customer service calls]]&gt;=2,"Medium risk",TRUE,"Low risk")</f>
        <v>Low risk</v>
      </c>
      <c r="Y577" t="str" cm="1">
        <f t="array" ref="Y577">IFERROR(_xlfn.IFS(Table1[[#This Row],[Total usage(Min)]]&gt;=AVERAGE(U:U)*1.1,"High risk",Table1[[#This Row],[Total usage(Min)]]&lt;= AVERAGE(U:U)*0.9,"Low risk",TRUE,"Medium risk"),"N/A")</f>
        <v>High risk</v>
      </c>
      <c r="Z577" t="str" cm="1">
        <f t="array" ref="Z577">IFERROR(_xlfn.IFS(Table1[[#This Row],[Total charges]]&gt;=AVERAGE(V:V)*1.1,"High risk",Table1[[#This Row],[Total charges]]&lt;=AVERAGE(V:V)*0.9,"Low risk",TRUE,"Medium risk"),"N/A")</f>
        <v>High risk</v>
      </c>
      <c r="AA57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7" t="str" cm="1">
        <f t="array" ref="AC577">_xlfn.IFS(
AND(Table1[[#This Row],[Customer service risk level]]="High risk", Table1[[#This Row],[Intl usage behaviour]]="Unplanned Usage"),"High Risk",
OR(Table1[[#This Row],[Customer service risk level]]="Medium risk", Table1[[#This Row],[Charges risk level]]="High risk "),"Medium Risk",
TRUE,"Low Risk"
)</f>
        <v>Low Risk</v>
      </c>
    </row>
    <row r="578" spans="1:29" x14ac:dyDescent="0.25">
      <c r="A578" t="s">
        <v>67</v>
      </c>
      <c r="B578">
        <v>136</v>
      </c>
      <c r="C578">
        <v>408</v>
      </c>
      <c r="D578" t="s">
        <v>21</v>
      </c>
      <c r="E578" t="s">
        <v>21</v>
      </c>
      <c r="F578">
        <v>0</v>
      </c>
      <c r="G578">
        <v>102.1</v>
      </c>
      <c r="H578">
        <v>75</v>
      </c>
      <c r="I578">
        <v>17.36</v>
      </c>
      <c r="J578">
        <v>219.5</v>
      </c>
      <c r="K578">
        <v>97</v>
      </c>
      <c r="L578">
        <v>18.66</v>
      </c>
      <c r="M578">
        <v>73.7</v>
      </c>
      <c r="N578">
        <v>92</v>
      </c>
      <c r="O578">
        <v>3.32</v>
      </c>
      <c r="P578">
        <v>9.8000000000000007</v>
      </c>
      <c r="Q578">
        <v>5</v>
      </c>
      <c r="R578">
        <v>2.65</v>
      </c>
      <c r="S578">
        <v>0</v>
      </c>
      <c r="T578" t="b">
        <v>0</v>
      </c>
      <c r="U578">
        <f>IFERROR(SUM(Table1[[#This Row],[Total day minutes]],Table1[[#This Row],[Total eve minutes]],Table1[[#This Row],[Total night minutes]],Table1[[#This Row],[Total intl minutes]]),0)</f>
        <v>405.1</v>
      </c>
      <c r="V578">
        <f>SUM(Table1[[#This Row],[Total intl charge]],Table1[[#This Row],[Total night charge]],Table1[[#This Row],[Total eve charge]],Table1[[#This Row],[Total day charge]])</f>
        <v>41.989999999999995</v>
      </c>
      <c r="W578">
        <f>SUM(Table1[[#This Row],[Total intl calls]],Table1[[#This Row],[Total night calls]],Table1[[#This Row],[Total eve calls]],Table1[[#This Row],[Total day calls]])</f>
        <v>269</v>
      </c>
      <c r="X578" t="str" cm="1">
        <f t="array" ref="X578">_xlfn.IFS(Table1[[#This Row],[Customer service calls]]&gt;=4,"High risk",Table1[[#This Row],[Customer service calls]]&gt;=2,"Medium risk",TRUE,"Low risk")</f>
        <v>Low risk</v>
      </c>
      <c r="Y578" t="str" cm="1">
        <f t="array" ref="Y578">IFERROR(_xlfn.IFS(Table1[[#This Row],[Total usage(Min)]]&gt;=AVERAGE(U:U)*1.1,"High risk",Table1[[#This Row],[Total usage(Min)]]&lt;= AVERAGE(U:U)*0.9,"Low risk",TRUE,"Medium risk"),"N/A")</f>
        <v>Low risk</v>
      </c>
      <c r="Z578" t="str" cm="1">
        <f t="array" ref="Z578">IFERROR(_xlfn.IFS(Table1[[#This Row],[Total charges]]&gt;=AVERAGE(V:V)*1.1,"High risk",Table1[[#This Row],[Total charges]]&lt;=AVERAGE(V:V)*0.9,"Low risk",TRUE,"Medium risk"),"N/A")</f>
        <v>Low risk</v>
      </c>
      <c r="AA57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78" t="str" cm="1">
        <f t="array" ref="AC578">_xlfn.IFS(
AND(Table1[[#This Row],[Customer service risk level]]="High risk", Table1[[#This Row],[Intl usage behaviour]]="Unplanned Usage"),"High Risk",
OR(Table1[[#This Row],[Customer service risk level]]="Medium risk", Table1[[#This Row],[Charges risk level]]="High risk "),"Medium Risk",
TRUE,"Low Risk"
)</f>
        <v>Low Risk</v>
      </c>
    </row>
    <row r="579" spans="1:29" x14ac:dyDescent="0.25">
      <c r="A579" t="s">
        <v>47</v>
      </c>
      <c r="B579">
        <v>82</v>
      </c>
      <c r="C579">
        <v>415</v>
      </c>
      <c r="D579" t="s">
        <v>21</v>
      </c>
      <c r="E579" t="s">
        <v>27</v>
      </c>
      <c r="F579">
        <v>19</v>
      </c>
      <c r="G579">
        <v>146.5</v>
      </c>
      <c r="H579">
        <v>73</v>
      </c>
      <c r="I579">
        <v>24.91</v>
      </c>
      <c r="J579">
        <v>246.4</v>
      </c>
      <c r="K579">
        <v>65</v>
      </c>
      <c r="L579">
        <v>20.94</v>
      </c>
      <c r="M579">
        <v>199</v>
      </c>
      <c r="N579">
        <v>114</v>
      </c>
      <c r="O579">
        <v>8.9600000000000009</v>
      </c>
      <c r="P579">
        <v>4.0999999999999996</v>
      </c>
      <c r="Q579">
        <v>4</v>
      </c>
      <c r="R579">
        <v>1.1100000000000001</v>
      </c>
      <c r="S579">
        <v>1</v>
      </c>
      <c r="T579" t="b">
        <v>0</v>
      </c>
      <c r="U579">
        <f>IFERROR(SUM(Table1[[#This Row],[Total day minutes]],Table1[[#This Row],[Total eve minutes]],Table1[[#This Row],[Total night minutes]],Table1[[#This Row],[Total intl minutes]]),0)</f>
        <v>596</v>
      </c>
      <c r="V579">
        <f>SUM(Table1[[#This Row],[Total intl charge]],Table1[[#This Row],[Total night charge]],Table1[[#This Row],[Total eve charge]],Table1[[#This Row],[Total day charge]])</f>
        <v>55.92</v>
      </c>
      <c r="W579">
        <f>SUM(Table1[[#This Row],[Total intl calls]],Table1[[#This Row],[Total night calls]],Table1[[#This Row],[Total eve calls]],Table1[[#This Row],[Total day calls]])</f>
        <v>256</v>
      </c>
      <c r="X579" t="str" cm="1">
        <f t="array" ref="X579">_xlfn.IFS(Table1[[#This Row],[Customer service calls]]&gt;=4,"High risk",Table1[[#This Row],[Customer service calls]]&gt;=2,"Medium risk",TRUE,"Low risk")</f>
        <v>Low risk</v>
      </c>
      <c r="Y579" t="str" cm="1">
        <f t="array" ref="Y579">IFERROR(_xlfn.IFS(Table1[[#This Row],[Total usage(Min)]]&gt;=AVERAGE(U:U)*1.1,"High risk",Table1[[#This Row],[Total usage(Min)]]&lt;= AVERAGE(U:U)*0.9,"Low risk",TRUE,"Medium risk"),"N/A")</f>
        <v>Medium risk</v>
      </c>
      <c r="Z579" t="str" cm="1">
        <f t="array" ref="Z579">IFERROR(_xlfn.IFS(Table1[[#This Row],[Total charges]]&gt;=AVERAGE(V:V)*1.1,"High risk",Table1[[#This Row],[Total charges]]&lt;=AVERAGE(V:V)*0.9,"Low risk",TRUE,"Medium risk"),"N/A")</f>
        <v>Medium risk</v>
      </c>
      <c r="AA57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7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79" t="str" cm="1">
        <f t="array" ref="AC579">_xlfn.IFS(
AND(Table1[[#This Row],[Customer service risk level]]="High risk", Table1[[#This Row],[Intl usage behaviour]]="Unplanned Usage"),"High Risk",
OR(Table1[[#This Row],[Customer service risk level]]="Medium risk", Table1[[#This Row],[Charges risk level]]="High risk "),"Medium Risk",
TRUE,"Low Risk"
)</f>
        <v>Low Risk</v>
      </c>
    </row>
    <row r="580" spans="1:29" x14ac:dyDescent="0.25">
      <c r="A580" t="s">
        <v>32</v>
      </c>
      <c r="B580">
        <v>155</v>
      </c>
      <c r="C580">
        <v>408</v>
      </c>
      <c r="D580" t="s">
        <v>27</v>
      </c>
      <c r="E580" t="s">
        <v>21</v>
      </c>
      <c r="F580">
        <v>0</v>
      </c>
      <c r="G580">
        <v>250.8</v>
      </c>
      <c r="H580">
        <v>146</v>
      </c>
      <c r="I580">
        <v>42.64</v>
      </c>
      <c r="J580">
        <v>152.5</v>
      </c>
      <c r="K580">
        <v>105</v>
      </c>
      <c r="L580">
        <v>12.96</v>
      </c>
      <c r="M580">
        <v>148.1</v>
      </c>
      <c r="N580">
        <v>104</v>
      </c>
      <c r="O580">
        <v>6.66</v>
      </c>
      <c r="P580">
        <v>10</v>
      </c>
      <c r="Q580">
        <v>5</v>
      </c>
      <c r="R580">
        <v>2.7</v>
      </c>
      <c r="S580">
        <v>2</v>
      </c>
      <c r="T580" t="b">
        <v>0</v>
      </c>
      <c r="U580">
        <f>IFERROR(SUM(Table1[[#This Row],[Total day minutes]],Table1[[#This Row],[Total eve minutes]],Table1[[#This Row],[Total night minutes]],Table1[[#This Row],[Total intl minutes]]),0)</f>
        <v>561.4</v>
      </c>
      <c r="V580">
        <f>SUM(Table1[[#This Row],[Total intl charge]],Table1[[#This Row],[Total night charge]],Table1[[#This Row],[Total eve charge]],Table1[[#This Row],[Total day charge]])</f>
        <v>64.960000000000008</v>
      </c>
      <c r="W580">
        <f>SUM(Table1[[#This Row],[Total intl calls]],Table1[[#This Row],[Total night calls]],Table1[[#This Row],[Total eve calls]],Table1[[#This Row],[Total day calls]])</f>
        <v>360</v>
      </c>
      <c r="X580" t="str" cm="1">
        <f t="array" ref="X580">_xlfn.IFS(Table1[[#This Row],[Customer service calls]]&gt;=4,"High risk",Table1[[#This Row],[Customer service calls]]&gt;=2,"Medium risk",TRUE,"Low risk")</f>
        <v>Medium risk</v>
      </c>
      <c r="Y580" t="str" cm="1">
        <f t="array" ref="Y580">IFERROR(_xlfn.IFS(Table1[[#This Row],[Total usage(Min)]]&gt;=AVERAGE(U:U)*1.1,"High risk",Table1[[#This Row],[Total usage(Min)]]&lt;= AVERAGE(U:U)*0.9,"Low risk",TRUE,"Medium risk"),"N/A")</f>
        <v>Medium risk</v>
      </c>
      <c r="Z580" t="str" cm="1">
        <f t="array" ref="Z580">IFERROR(_xlfn.IFS(Table1[[#This Row],[Total charges]]&gt;=AVERAGE(V:V)*1.1,"High risk",Table1[[#This Row],[Total charges]]&lt;=AVERAGE(V:V)*0.9,"Low risk",TRUE,"Medium risk"),"N/A")</f>
        <v>Medium risk</v>
      </c>
      <c r="AA58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58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0" t="str" cm="1">
        <f t="array" ref="AC580">_xlfn.IFS(
AND(Table1[[#This Row],[Customer service risk level]]="High risk", Table1[[#This Row],[Intl usage behaviour]]="Unplanned Usage"),"High Risk",
OR(Table1[[#This Row],[Customer service risk level]]="Medium risk", Table1[[#This Row],[Charges risk level]]="High risk "),"Medium Risk",
TRUE,"Low Risk"
)</f>
        <v>Medium Risk</v>
      </c>
    </row>
    <row r="581" spans="1:29" x14ac:dyDescent="0.25">
      <c r="A581" t="s">
        <v>72</v>
      </c>
      <c r="B581">
        <v>136</v>
      </c>
      <c r="C581">
        <v>415</v>
      </c>
      <c r="D581" t="s">
        <v>21</v>
      </c>
      <c r="E581" t="s">
        <v>21</v>
      </c>
      <c r="F581">
        <v>0</v>
      </c>
      <c r="G581">
        <v>163.4</v>
      </c>
      <c r="H581">
        <v>83</v>
      </c>
      <c r="I581">
        <v>27.78</v>
      </c>
      <c r="J581">
        <v>249.3</v>
      </c>
      <c r="K581">
        <v>119</v>
      </c>
      <c r="L581">
        <v>21.19</v>
      </c>
      <c r="M581">
        <v>249.7</v>
      </c>
      <c r="N581">
        <v>90</v>
      </c>
      <c r="O581">
        <v>11.24</v>
      </c>
      <c r="P581">
        <v>9.8000000000000007</v>
      </c>
      <c r="Q581">
        <v>4</v>
      </c>
      <c r="R581">
        <v>2.65</v>
      </c>
      <c r="S581">
        <v>7</v>
      </c>
      <c r="T581" t="b">
        <v>0</v>
      </c>
      <c r="U581">
        <f>IFERROR(SUM(Table1[[#This Row],[Total day minutes]],Table1[[#This Row],[Total eve minutes]],Table1[[#This Row],[Total night minutes]],Table1[[#This Row],[Total intl minutes]]),0)</f>
        <v>672.2</v>
      </c>
      <c r="V581">
        <f>SUM(Table1[[#This Row],[Total intl charge]],Table1[[#This Row],[Total night charge]],Table1[[#This Row],[Total eve charge]],Table1[[#This Row],[Total day charge]])</f>
        <v>62.86</v>
      </c>
      <c r="W581">
        <f>SUM(Table1[[#This Row],[Total intl calls]],Table1[[#This Row],[Total night calls]],Table1[[#This Row],[Total eve calls]],Table1[[#This Row],[Total day calls]])</f>
        <v>296</v>
      </c>
      <c r="X581" t="str" cm="1">
        <f t="array" ref="X581">_xlfn.IFS(Table1[[#This Row],[Customer service calls]]&gt;=4,"High risk",Table1[[#This Row],[Customer service calls]]&gt;=2,"Medium risk",TRUE,"Low risk")</f>
        <v>High risk</v>
      </c>
      <c r="Y581" t="str" cm="1">
        <f t="array" ref="Y581">IFERROR(_xlfn.IFS(Table1[[#This Row],[Total usage(Min)]]&gt;=AVERAGE(U:U)*1.1,"High risk",Table1[[#This Row],[Total usage(Min)]]&lt;= AVERAGE(U:U)*0.9,"Low risk",TRUE,"Medium risk"),"N/A")</f>
        <v>High risk</v>
      </c>
      <c r="Z581" t="str" cm="1">
        <f t="array" ref="Z581">IFERROR(_xlfn.IFS(Table1[[#This Row],[Total charges]]&gt;=AVERAGE(V:V)*1.1,"High risk",Table1[[#This Row],[Total charges]]&lt;=AVERAGE(V:V)*0.9,"Low risk",TRUE,"Medium risk"),"N/A")</f>
        <v>Medium risk</v>
      </c>
      <c r="AA58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1" t="str" cm="1">
        <f t="array" ref="AC581">_xlfn.IFS(
AND(Table1[[#This Row],[Customer service risk level]]="High risk", Table1[[#This Row],[Intl usage behaviour]]="Unplanned Usage"),"High Risk",
OR(Table1[[#This Row],[Customer service risk level]]="Medium risk", Table1[[#This Row],[Charges risk level]]="High risk "),"Medium Risk",
TRUE,"Low Risk"
)</f>
        <v>High Risk</v>
      </c>
    </row>
    <row r="582" spans="1:29" x14ac:dyDescent="0.25">
      <c r="A582" t="s">
        <v>48</v>
      </c>
      <c r="B582">
        <v>57</v>
      </c>
      <c r="C582">
        <v>415</v>
      </c>
      <c r="D582" t="s">
        <v>21</v>
      </c>
      <c r="E582" t="s">
        <v>21</v>
      </c>
      <c r="F582">
        <v>0</v>
      </c>
      <c r="G582">
        <v>161</v>
      </c>
      <c r="H582">
        <v>113</v>
      </c>
      <c r="I582">
        <v>27.37</v>
      </c>
      <c r="J582">
        <v>208</v>
      </c>
      <c r="K582">
        <v>134</v>
      </c>
      <c r="L582">
        <v>17.68</v>
      </c>
      <c r="M582">
        <v>208.1</v>
      </c>
      <c r="N582">
        <v>81</v>
      </c>
      <c r="O582">
        <v>9.36</v>
      </c>
      <c r="P582">
        <v>8.4</v>
      </c>
      <c r="Q582">
        <v>4</v>
      </c>
      <c r="R582">
        <v>2.27</v>
      </c>
      <c r="S582">
        <v>3</v>
      </c>
      <c r="T582" t="b">
        <v>0</v>
      </c>
      <c r="U582">
        <f>IFERROR(SUM(Table1[[#This Row],[Total day minutes]],Table1[[#This Row],[Total eve minutes]],Table1[[#This Row],[Total night minutes]],Table1[[#This Row],[Total intl minutes]]),0)</f>
        <v>585.5</v>
      </c>
      <c r="V582">
        <f>SUM(Table1[[#This Row],[Total intl charge]],Table1[[#This Row],[Total night charge]],Table1[[#This Row],[Total eve charge]],Table1[[#This Row],[Total day charge]])</f>
        <v>56.68</v>
      </c>
      <c r="W582">
        <f>SUM(Table1[[#This Row],[Total intl calls]],Table1[[#This Row],[Total night calls]],Table1[[#This Row],[Total eve calls]],Table1[[#This Row],[Total day calls]])</f>
        <v>332</v>
      </c>
      <c r="X582" t="str" cm="1">
        <f t="array" ref="X582">_xlfn.IFS(Table1[[#This Row],[Customer service calls]]&gt;=4,"High risk",Table1[[#This Row],[Customer service calls]]&gt;=2,"Medium risk",TRUE,"Low risk")</f>
        <v>Medium risk</v>
      </c>
      <c r="Y582" t="str" cm="1">
        <f t="array" ref="Y582">IFERROR(_xlfn.IFS(Table1[[#This Row],[Total usage(Min)]]&gt;=AVERAGE(U:U)*1.1,"High risk",Table1[[#This Row],[Total usage(Min)]]&lt;= AVERAGE(U:U)*0.9,"Low risk",TRUE,"Medium risk"),"N/A")</f>
        <v>Medium risk</v>
      </c>
      <c r="Z582" t="str" cm="1">
        <f t="array" ref="Z582">IFERROR(_xlfn.IFS(Table1[[#This Row],[Total charges]]&gt;=AVERAGE(V:V)*1.1,"High risk",Table1[[#This Row],[Total charges]]&lt;=AVERAGE(V:V)*0.9,"Low risk",TRUE,"Medium risk"),"N/A")</f>
        <v>Medium risk</v>
      </c>
      <c r="AA58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2" t="str" cm="1">
        <f t="array" ref="AC582">_xlfn.IFS(
AND(Table1[[#This Row],[Customer service risk level]]="High risk", Table1[[#This Row],[Intl usage behaviour]]="Unplanned Usage"),"High Risk",
OR(Table1[[#This Row],[Customer service risk level]]="Medium risk", Table1[[#This Row],[Charges risk level]]="High risk "),"Medium Risk",
TRUE,"Low Risk"
)</f>
        <v>Medium Risk</v>
      </c>
    </row>
    <row r="583" spans="1:29" x14ac:dyDescent="0.25">
      <c r="A583" t="s">
        <v>46</v>
      </c>
      <c r="B583">
        <v>112</v>
      </c>
      <c r="C583">
        <v>415</v>
      </c>
      <c r="D583" t="s">
        <v>21</v>
      </c>
      <c r="E583" t="s">
        <v>21</v>
      </c>
      <c r="F583">
        <v>0</v>
      </c>
      <c r="G583">
        <v>81.599999999999994</v>
      </c>
      <c r="H583">
        <v>94</v>
      </c>
      <c r="I583">
        <v>13.87</v>
      </c>
      <c r="J583">
        <v>268.10000000000002</v>
      </c>
      <c r="K583">
        <v>112</v>
      </c>
      <c r="L583">
        <v>22.79</v>
      </c>
      <c r="M583">
        <v>140.80000000000001</v>
      </c>
      <c r="N583">
        <v>75</v>
      </c>
      <c r="O583">
        <v>6.34</v>
      </c>
      <c r="P583">
        <v>8.6</v>
      </c>
      <c r="Q583">
        <v>18</v>
      </c>
      <c r="R583">
        <v>2.3199999999999998</v>
      </c>
      <c r="S583">
        <v>1</v>
      </c>
      <c r="T583" t="b">
        <v>0</v>
      </c>
      <c r="U583">
        <f>IFERROR(SUM(Table1[[#This Row],[Total day minutes]],Table1[[#This Row],[Total eve minutes]],Table1[[#This Row],[Total night minutes]],Table1[[#This Row],[Total intl minutes]]),0)</f>
        <v>499.10000000000008</v>
      </c>
      <c r="V583">
        <f>SUM(Table1[[#This Row],[Total intl charge]],Table1[[#This Row],[Total night charge]],Table1[[#This Row],[Total eve charge]],Table1[[#This Row],[Total day charge]])</f>
        <v>45.32</v>
      </c>
      <c r="W583">
        <f>SUM(Table1[[#This Row],[Total intl calls]],Table1[[#This Row],[Total night calls]],Table1[[#This Row],[Total eve calls]],Table1[[#This Row],[Total day calls]])</f>
        <v>299</v>
      </c>
      <c r="X583" t="str" cm="1">
        <f t="array" ref="X583">_xlfn.IFS(Table1[[#This Row],[Customer service calls]]&gt;=4,"High risk",Table1[[#This Row],[Customer service calls]]&gt;=2,"Medium risk",TRUE,"Low risk")</f>
        <v>Low risk</v>
      </c>
      <c r="Y583" t="str" cm="1">
        <f t="array" ref="Y583">IFERROR(_xlfn.IFS(Table1[[#This Row],[Total usage(Min)]]&gt;=AVERAGE(U:U)*1.1,"High risk",Table1[[#This Row],[Total usage(Min)]]&lt;= AVERAGE(U:U)*0.9,"Low risk",TRUE,"Medium risk"),"N/A")</f>
        <v>Low risk</v>
      </c>
      <c r="Z583" t="str" cm="1">
        <f t="array" ref="Z583">IFERROR(_xlfn.IFS(Table1[[#This Row],[Total charges]]&gt;=AVERAGE(V:V)*1.1,"High risk",Table1[[#This Row],[Total charges]]&lt;=AVERAGE(V:V)*0.9,"Low risk",TRUE,"Medium risk"),"N/A")</f>
        <v>Low risk</v>
      </c>
      <c r="AA58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3" t="str" cm="1">
        <f t="array" ref="AC583">_xlfn.IFS(
AND(Table1[[#This Row],[Customer service risk level]]="High risk", Table1[[#This Row],[Intl usage behaviour]]="Unplanned Usage"),"High Risk",
OR(Table1[[#This Row],[Customer service risk level]]="Medium risk", Table1[[#This Row],[Charges risk level]]="High risk "),"Medium Risk",
TRUE,"Low Risk"
)</f>
        <v>Low Risk</v>
      </c>
    </row>
    <row r="584" spans="1:29" x14ac:dyDescent="0.25">
      <c r="A584" t="s">
        <v>53</v>
      </c>
      <c r="B584">
        <v>95</v>
      </c>
      <c r="C584">
        <v>408</v>
      </c>
      <c r="D584" t="s">
        <v>21</v>
      </c>
      <c r="E584" t="s">
        <v>21</v>
      </c>
      <c r="F584">
        <v>0</v>
      </c>
      <c r="G584">
        <v>128.6</v>
      </c>
      <c r="H584">
        <v>115</v>
      </c>
      <c r="I584">
        <v>21.86</v>
      </c>
      <c r="J584">
        <v>216.2</v>
      </c>
      <c r="K584">
        <v>88</v>
      </c>
      <c r="L584">
        <v>18.38</v>
      </c>
      <c r="M584">
        <v>255.3</v>
      </c>
      <c r="N584">
        <v>96</v>
      </c>
      <c r="O584">
        <v>11.49</v>
      </c>
      <c r="P584">
        <v>6.3</v>
      </c>
      <c r="Q584">
        <v>2</v>
      </c>
      <c r="R584">
        <v>1.7</v>
      </c>
      <c r="S584">
        <v>6</v>
      </c>
      <c r="T584" t="b">
        <v>1</v>
      </c>
      <c r="U584">
        <f>IFERROR(SUM(Table1[[#This Row],[Total day minutes]],Table1[[#This Row],[Total eve minutes]],Table1[[#This Row],[Total night minutes]],Table1[[#This Row],[Total intl minutes]]),0)</f>
        <v>606.39999999999986</v>
      </c>
      <c r="V584">
        <f>SUM(Table1[[#This Row],[Total intl charge]],Table1[[#This Row],[Total night charge]],Table1[[#This Row],[Total eve charge]],Table1[[#This Row],[Total day charge]])</f>
        <v>53.43</v>
      </c>
      <c r="W584">
        <f>SUM(Table1[[#This Row],[Total intl calls]],Table1[[#This Row],[Total night calls]],Table1[[#This Row],[Total eve calls]],Table1[[#This Row],[Total day calls]])</f>
        <v>301</v>
      </c>
      <c r="X584" t="str" cm="1">
        <f t="array" ref="X584">_xlfn.IFS(Table1[[#This Row],[Customer service calls]]&gt;=4,"High risk",Table1[[#This Row],[Customer service calls]]&gt;=2,"Medium risk",TRUE,"Low risk")</f>
        <v>High risk</v>
      </c>
      <c r="Y584" t="str" cm="1">
        <f t="array" ref="Y584">IFERROR(_xlfn.IFS(Table1[[#This Row],[Total usage(Min)]]&gt;=AVERAGE(U:U)*1.1,"High risk",Table1[[#This Row],[Total usage(Min)]]&lt;= AVERAGE(U:U)*0.9,"Low risk",TRUE,"Medium risk"),"N/A")</f>
        <v>Medium risk</v>
      </c>
      <c r="Z584" t="str" cm="1">
        <f t="array" ref="Z584">IFERROR(_xlfn.IFS(Table1[[#This Row],[Total charges]]&gt;=AVERAGE(V:V)*1.1,"High risk",Table1[[#This Row],[Total charges]]&lt;=AVERAGE(V:V)*0.9,"Low risk",TRUE,"Medium risk"),"N/A")</f>
        <v>Low risk</v>
      </c>
      <c r="AA58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4" t="str" cm="1">
        <f t="array" ref="AC584">_xlfn.IFS(
AND(Table1[[#This Row],[Customer service risk level]]="High risk", Table1[[#This Row],[Intl usage behaviour]]="Unplanned Usage"),"High Risk",
OR(Table1[[#This Row],[Customer service risk level]]="Medium risk", Table1[[#This Row],[Charges risk level]]="High risk "),"Medium Risk",
TRUE,"Low Risk"
)</f>
        <v>High Risk</v>
      </c>
    </row>
    <row r="585" spans="1:29" x14ac:dyDescent="0.25">
      <c r="A585" t="s">
        <v>29</v>
      </c>
      <c r="B585">
        <v>113</v>
      </c>
      <c r="C585">
        <v>415</v>
      </c>
      <c r="D585" t="s">
        <v>21</v>
      </c>
      <c r="E585" t="s">
        <v>27</v>
      </c>
      <c r="F585">
        <v>30</v>
      </c>
      <c r="G585">
        <v>183.8</v>
      </c>
      <c r="H585">
        <v>102</v>
      </c>
      <c r="I585">
        <v>31.25</v>
      </c>
      <c r="J585">
        <v>183.4</v>
      </c>
      <c r="K585">
        <v>123</v>
      </c>
      <c r="L585">
        <v>15.59</v>
      </c>
      <c r="M585">
        <v>235</v>
      </c>
      <c r="N585">
        <v>52</v>
      </c>
      <c r="O585">
        <v>10.58</v>
      </c>
      <c r="P585">
        <v>11.6</v>
      </c>
      <c r="Q585">
        <v>7</v>
      </c>
      <c r="R585">
        <v>3.13</v>
      </c>
      <c r="S585">
        <v>0</v>
      </c>
      <c r="T585" t="b">
        <v>0</v>
      </c>
      <c r="U585">
        <f>IFERROR(SUM(Table1[[#This Row],[Total day minutes]],Table1[[#This Row],[Total eve minutes]],Table1[[#This Row],[Total night minutes]],Table1[[#This Row],[Total intl minutes]]),0)</f>
        <v>613.80000000000007</v>
      </c>
      <c r="V585">
        <f>SUM(Table1[[#This Row],[Total intl charge]],Table1[[#This Row],[Total night charge]],Table1[[#This Row],[Total eve charge]],Table1[[#This Row],[Total day charge]])</f>
        <v>60.55</v>
      </c>
      <c r="W585">
        <f>SUM(Table1[[#This Row],[Total intl calls]],Table1[[#This Row],[Total night calls]],Table1[[#This Row],[Total eve calls]],Table1[[#This Row],[Total day calls]])</f>
        <v>284</v>
      </c>
      <c r="X585" t="str" cm="1">
        <f t="array" ref="X585">_xlfn.IFS(Table1[[#This Row],[Customer service calls]]&gt;=4,"High risk",Table1[[#This Row],[Customer service calls]]&gt;=2,"Medium risk",TRUE,"Low risk")</f>
        <v>Low risk</v>
      </c>
      <c r="Y585" t="str" cm="1">
        <f t="array" ref="Y585">IFERROR(_xlfn.IFS(Table1[[#This Row],[Total usage(Min)]]&gt;=AVERAGE(U:U)*1.1,"High risk",Table1[[#This Row],[Total usage(Min)]]&lt;= AVERAGE(U:U)*0.9,"Low risk",TRUE,"Medium risk"),"N/A")</f>
        <v>Medium risk</v>
      </c>
      <c r="Z585" t="str" cm="1">
        <f t="array" ref="Z585">IFERROR(_xlfn.IFS(Table1[[#This Row],[Total charges]]&gt;=AVERAGE(V:V)*1.1,"High risk",Table1[[#This Row],[Total charges]]&lt;=AVERAGE(V:V)*0.9,"Low risk",TRUE,"Medium risk"),"N/A")</f>
        <v>Medium risk</v>
      </c>
      <c r="AA58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85" t="str" cm="1">
        <f t="array" ref="AC585">_xlfn.IFS(
AND(Table1[[#This Row],[Customer service risk level]]="High risk", Table1[[#This Row],[Intl usage behaviour]]="Unplanned Usage"),"High Risk",
OR(Table1[[#This Row],[Customer service risk level]]="Medium risk", Table1[[#This Row],[Charges risk level]]="High risk "),"Medium Risk",
TRUE,"Low Risk"
)</f>
        <v>Low Risk</v>
      </c>
    </row>
    <row r="586" spans="1:29" x14ac:dyDescent="0.25">
      <c r="A586" t="s">
        <v>31</v>
      </c>
      <c r="B586">
        <v>103</v>
      </c>
      <c r="C586">
        <v>415</v>
      </c>
      <c r="D586" t="s">
        <v>21</v>
      </c>
      <c r="E586" t="s">
        <v>21</v>
      </c>
      <c r="F586">
        <v>0</v>
      </c>
      <c r="G586">
        <v>180.2</v>
      </c>
      <c r="H586">
        <v>134</v>
      </c>
      <c r="I586">
        <v>30.63</v>
      </c>
      <c r="J586">
        <v>97.7</v>
      </c>
      <c r="K586">
        <v>85</v>
      </c>
      <c r="L586">
        <v>8.3000000000000007</v>
      </c>
      <c r="M586">
        <v>181.7</v>
      </c>
      <c r="N586">
        <v>134</v>
      </c>
      <c r="O586">
        <v>8.18</v>
      </c>
      <c r="P586">
        <v>8.4</v>
      </c>
      <c r="Q586">
        <v>3</v>
      </c>
      <c r="R586">
        <v>2.27</v>
      </c>
      <c r="S586">
        <v>1</v>
      </c>
      <c r="T586" t="b">
        <v>0</v>
      </c>
      <c r="U586">
        <f>IFERROR(SUM(Table1[[#This Row],[Total day minutes]],Table1[[#This Row],[Total eve minutes]],Table1[[#This Row],[Total night minutes]],Table1[[#This Row],[Total intl minutes]]),0)</f>
        <v>467.99999999999994</v>
      </c>
      <c r="V586">
        <f>SUM(Table1[[#This Row],[Total intl charge]],Table1[[#This Row],[Total night charge]],Table1[[#This Row],[Total eve charge]],Table1[[#This Row],[Total day charge]])</f>
        <v>49.379999999999995</v>
      </c>
      <c r="W586">
        <f>SUM(Table1[[#This Row],[Total intl calls]],Table1[[#This Row],[Total night calls]],Table1[[#This Row],[Total eve calls]],Table1[[#This Row],[Total day calls]])</f>
        <v>356</v>
      </c>
      <c r="X586" t="str" cm="1">
        <f t="array" ref="X586">_xlfn.IFS(Table1[[#This Row],[Customer service calls]]&gt;=4,"High risk",Table1[[#This Row],[Customer service calls]]&gt;=2,"Medium risk",TRUE,"Low risk")</f>
        <v>Low risk</v>
      </c>
      <c r="Y586" t="str" cm="1">
        <f t="array" ref="Y586">IFERROR(_xlfn.IFS(Table1[[#This Row],[Total usage(Min)]]&gt;=AVERAGE(U:U)*1.1,"High risk",Table1[[#This Row],[Total usage(Min)]]&lt;= AVERAGE(U:U)*0.9,"Low risk",TRUE,"Medium risk"),"N/A")</f>
        <v>Low risk</v>
      </c>
      <c r="Z586" t="str" cm="1">
        <f t="array" ref="Z586">IFERROR(_xlfn.IFS(Table1[[#This Row],[Total charges]]&gt;=AVERAGE(V:V)*1.1,"High risk",Table1[[#This Row],[Total charges]]&lt;=AVERAGE(V:V)*0.9,"Low risk",TRUE,"Medium risk"),"N/A")</f>
        <v>Low risk</v>
      </c>
      <c r="AA58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6" t="str" cm="1">
        <f t="array" ref="AC586">_xlfn.IFS(
AND(Table1[[#This Row],[Customer service risk level]]="High risk", Table1[[#This Row],[Intl usage behaviour]]="Unplanned Usage"),"High Risk",
OR(Table1[[#This Row],[Customer service risk level]]="Medium risk", Table1[[#This Row],[Charges risk level]]="High risk "),"Medium Risk",
TRUE,"Low Risk"
)</f>
        <v>Low Risk</v>
      </c>
    </row>
    <row r="587" spans="1:29" x14ac:dyDescent="0.25">
      <c r="A587" t="s">
        <v>24</v>
      </c>
      <c r="B587">
        <v>149</v>
      </c>
      <c r="C587">
        <v>415</v>
      </c>
      <c r="D587" t="s">
        <v>21</v>
      </c>
      <c r="E587" t="s">
        <v>27</v>
      </c>
      <c r="F587">
        <v>20</v>
      </c>
      <c r="G587">
        <v>147.80000000000001</v>
      </c>
      <c r="H587">
        <v>132</v>
      </c>
      <c r="I587">
        <v>25.13</v>
      </c>
      <c r="J587">
        <v>276.8</v>
      </c>
      <c r="K587">
        <v>94</v>
      </c>
      <c r="L587">
        <v>23.53</v>
      </c>
      <c r="M587">
        <v>149.9</v>
      </c>
      <c r="N587">
        <v>110</v>
      </c>
      <c r="O587">
        <v>6.75</v>
      </c>
      <c r="P587">
        <v>10.199999999999999</v>
      </c>
      <c r="Q587">
        <v>6</v>
      </c>
      <c r="R587">
        <v>2.75</v>
      </c>
      <c r="S587">
        <v>0</v>
      </c>
      <c r="T587" t="b">
        <v>0</v>
      </c>
      <c r="U587">
        <f>IFERROR(SUM(Table1[[#This Row],[Total day minutes]],Table1[[#This Row],[Total eve minutes]],Table1[[#This Row],[Total night minutes]],Table1[[#This Row],[Total intl minutes]]),0)</f>
        <v>584.70000000000005</v>
      </c>
      <c r="V587">
        <f>SUM(Table1[[#This Row],[Total intl charge]],Table1[[#This Row],[Total night charge]],Table1[[#This Row],[Total eve charge]],Table1[[#This Row],[Total day charge]])</f>
        <v>58.16</v>
      </c>
      <c r="W587">
        <f>SUM(Table1[[#This Row],[Total intl calls]],Table1[[#This Row],[Total night calls]],Table1[[#This Row],[Total eve calls]],Table1[[#This Row],[Total day calls]])</f>
        <v>342</v>
      </c>
      <c r="X587" t="str" cm="1">
        <f t="array" ref="X587">_xlfn.IFS(Table1[[#This Row],[Customer service calls]]&gt;=4,"High risk",Table1[[#This Row],[Customer service calls]]&gt;=2,"Medium risk",TRUE,"Low risk")</f>
        <v>Low risk</v>
      </c>
      <c r="Y587" t="str" cm="1">
        <f t="array" ref="Y587">IFERROR(_xlfn.IFS(Table1[[#This Row],[Total usage(Min)]]&gt;=AVERAGE(U:U)*1.1,"High risk",Table1[[#This Row],[Total usage(Min)]]&lt;= AVERAGE(U:U)*0.9,"Low risk",TRUE,"Medium risk"),"N/A")</f>
        <v>Medium risk</v>
      </c>
      <c r="Z587" t="str" cm="1">
        <f t="array" ref="Z587">IFERROR(_xlfn.IFS(Table1[[#This Row],[Total charges]]&gt;=AVERAGE(V:V)*1.1,"High risk",Table1[[#This Row],[Total charges]]&lt;=AVERAGE(V:V)*0.9,"Low risk",TRUE,"Medium risk"),"N/A")</f>
        <v>Medium risk</v>
      </c>
      <c r="AA58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7"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87" t="str" cm="1">
        <f t="array" ref="AC587">_xlfn.IFS(
AND(Table1[[#This Row],[Customer service risk level]]="High risk", Table1[[#This Row],[Intl usage behaviour]]="Unplanned Usage"),"High Risk",
OR(Table1[[#This Row],[Customer service risk level]]="Medium risk", Table1[[#This Row],[Charges risk level]]="High risk "),"Medium Risk",
TRUE,"Low Risk"
)</f>
        <v>Low Risk</v>
      </c>
    </row>
    <row r="588" spans="1:29" x14ac:dyDescent="0.25">
      <c r="A588" t="s">
        <v>60</v>
      </c>
      <c r="B588">
        <v>116</v>
      </c>
      <c r="C588">
        <v>408</v>
      </c>
      <c r="D588" t="s">
        <v>21</v>
      </c>
      <c r="E588" t="s">
        <v>21</v>
      </c>
      <c r="F588">
        <v>0</v>
      </c>
      <c r="G588">
        <v>110.9</v>
      </c>
      <c r="H588">
        <v>54</v>
      </c>
      <c r="I588">
        <v>18.850000000000001</v>
      </c>
      <c r="J588">
        <v>213.4</v>
      </c>
      <c r="K588">
        <v>82</v>
      </c>
      <c r="L588">
        <v>18.14</v>
      </c>
      <c r="M588">
        <v>186.2</v>
      </c>
      <c r="N588">
        <v>116</v>
      </c>
      <c r="O588">
        <v>8.3800000000000008</v>
      </c>
      <c r="P588">
        <v>7.9</v>
      </c>
      <c r="Q588">
        <v>2</v>
      </c>
      <c r="R588">
        <v>2.13</v>
      </c>
      <c r="S588">
        <v>2</v>
      </c>
      <c r="T588" t="b">
        <v>0</v>
      </c>
      <c r="U588">
        <f>IFERROR(SUM(Table1[[#This Row],[Total day minutes]],Table1[[#This Row],[Total eve minutes]],Table1[[#This Row],[Total night minutes]],Table1[[#This Row],[Total intl minutes]]),0)</f>
        <v>518.4</v>
      </c>
      <c r="V588">
        <f>SUM(Table1[[#This Row],[Total intl charge]],Table1[[#This Row],[Total night charge]],Table1[[#This Row],[Total eve charge]],Table1[[#This Row],[Total day charge]])</f>
        <v>47.5</v>
      </c>
      <c r="W588">
        <f>SUM(Table1[[#This Row],[Total intl calls]],Table1[[#This Row],[Total night calls]],Table1[[#This Row],[Total eve calls]],Table1[[#This Row],[Total day calls]])</f>
        <v>254</v>
      </c>
      <c r="X588" t="str" cm="1">
        <f t="array" ref="X588">_xlfn.IFS(Table1[[#This Row],[Customer service calls]]&gt;=4,"High risk",Table1[[#This Row],[Customer service calls]]&gt;=2,"Medium risk",TRUE,"Low risk")</f>
        <v>Medium risk</v>
      </c>
      <c r="Y588" t="str" cm="1">
        <f t="array" ref="Y588">IFERROR(_xlfn.IFS(Table1[[#This Row],[Total usage(Min)]]&gt;=AVERAGE(U:U)*1.1,"High risk",Table1[[#This Row],[Total usage(Min)]]&lt;= AVERAGE(U:U)*0.9,"Low risk",TRUE,"Medium risk"),"N/A")</f>
        <v>Low risk</v>
      </c>
      <c r="Z588" t="str" cm="1">
        <f t="array" ref="Z588">IFERROR(_xlfn.IFS(Table1[[#This Row],[Total charges]]&gt;=AVERAGE(V:V)*1.1,"High risk",Table1[[#This Row],[Total charges]]&lt;=AVERAGE(V:V)*0.9,"Low risk",TRUE,"Medium risk"),"N/A")</f>
        <v>Low risk</v>
      </c>
      <c r="AA58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8" t="str" cm="1">
        <f t="array" ref="AC588">_xlfn.IFS(
AND(Table1[[#This Row],[Customer service risk level]]="High risk", Table1[[#This Row],[Intl usage behaviour]]="Unplanned Usage"),"High Risk",
OR(Table1[[#This Row],[Customer service risk level]]="Medium risk", Table1[[#This Row],[Charges risk level]]="High risk "),"Medium Risk",
TRUE,"Low Risk"
)</f>
        <v>Medium Risk</v>
      </c>
    </row>
    <row r="589" spans="1:29" x14ac:dyDescent="0.25">
      <c r="A589" t="s">
        <v>41</v>
      </c>
      <c r="B589">
        <v>95</v>
      </c>
      <c r="C589">
        <v>510</v>
      </c>
      <c r="D589" t="s">
        <v>21</v>
      </c>
      <c r="E589" t="s">
        <v>21</v>
      </c>
      <c r="F589">
        <v>0</v>
      </c>
      <c r="G589">
        <v>58.2</v>
      </c>
      <c r="H589">
        <v>96</v>
      </c>
      <c r="I589">
        <v>9.89</v>
      </c>
      <c r="J589">
        <v>202.1</v>
      </c>
      <c r="K589">
        <v>126</v>
      </c>
      <c r="L589">
        <v>17.18</v>
      </c>
      <c r="M589">
        <v>210.5</v>
      </c>
      <c r="N589">
        <v>97</v>
      </c>
      <c r="O589">
        <v>9.4700000000000006</v>
      </c>
      <c r="P589">
        <v>10.4</v>
      </c>
      <c r="Q589">
        <v>5</v>
      </c>
      <c r="R589">
        <v>2.81</v>
      </c>
      <c r="S589">
        <v>0</v>
      </c>
      <c r="T589" t="b">
        <v>0</v>
      </c>
      <c r="U589">
        <f>IFERROR(SUM(Table1[[#This Row],[Total day minutes]],Table1[[#This Row],[Total eve minutes]],Table1[[#This Row],[Total night minutes]],Table1[[#This Row],[Total intl minutes]]),0)</f>
        <v>481.2</v>
      </c>
      <c r="V589">
        <f>SUM(Table1[[#This Row],[Total intl charge]],Table1[[#This Row],[Total night charge]],Table1[[#This Row],[Total eve charge]],Table1[[#This Row],[Total day charge]])</f>
        <v>39.35</v>
      </c>
      <c r="W589">
        <f>SUM(Table1[[#This Row],[Total intl calls]],Table1[[#This Row],[Total night calls]],Table1[[#This Row],[Total eve calls]],Table1[[#This Row],[Total day calls]])</f>
        <v>324</v>
      </c>
      <c r="X589" t="str" cm="1">
        <f t="array" ref="X589">_xlfn.IFS(Table1[[#This Row],[Customer service calls]]&gt;=4,"High risk",Table1[[#This Row],[Customer service calls]]&gt;=2,"Medium risk",TRUE,"Low risk")</f>
        <v>Low risk</v>
      </c>
      <c r="Y589" t="str" cm="1">
        <f t="array" ref="Y589">IFERROR(_xlfn.IFS(Table1[[#This Row],[Total usage(Min)]]&gt;=AVERAGE(U:U)*1.1,"High risk",Table1[[#This Row],[Total usage(Min)]]&lt;= AVERAGE(U:U)*0.9,"Low risk",TRUE,"Medium risk"),"N/A")</f>
        <v>Low risk</v>
      </c>
      <c r="Z589" t="str" cm="1">
        <f t="array" ref="Z589">IFERROR(_xlfn.IFS(Table1[[#This Row],[Total charges]]&gt;=AVERAGE(V:V)*1.1,"High risk",Table1[[#This Row],[Total charges]]&lt;=AVERAGE(V:V)*0.9,"Low risk",TRUE,"Medium risk"),"N/A")</f>
        <v>Low risk</v>
      </c>
      <c r="AA58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8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89" t="str" cm="1">
        <f t="array" ref="AC589">_xlfn.IFS(
AND(Table1[[#This Row],[Customer service risk level]]="High risk", Table1[[#This Row],[Intl usage behaviour]]="Unplanned Usage"),"High Risk",
OR(Table1[[#This Row],[Customer service risk level]]="Medium risk", Table1[[#This Row],[Charges risk level]]="High risk "),"Medium Risk",
TRUE,"Low Risk"
)</f>
        <v>Low Risk</v>
      </c>
    </row>
    <row r="590" spans="1:29" x14ac:dyDescent="0.25">
      <c r="A590" t="s">
        <v>59</v>
      </c>
      <c r="B590">
        <v>201</v>
      </c>
      <c r="C590">
        <v>510</v>
      </c>
      <c r="D590" t="s">
        <v>21</v>
      </c>
      <c r="E590" t="s">
        <v>21</v>
      </c>
      <c r="F590">
        <v>0</v>
      </c>
      <c r="G590">
        <v>212.7</v>
      </c>
      <c r="H590">
        <v>72</v>
      </c>
      <c r="I590">
        <v>36.159999999999997</v>
      </c>
      <c r="J590">
        <v>225.2</v>
      </c>
      <c r="K590">
        <v>90</v>
      </c>
      <c r="L590">
        <v>19.14</v>
      </c>
      <c r="M590">
        <v>195.1</v>
      </c>
      <c r="N590">
        <v>99</v>
      </c>
      <c r="O590">
        <v>8.7799999999999994</v>
      </c>
      <c r="P590">
        <v>7</v>
      </c>
      <c r="Q590">
        <v>6</v>
      </c>
      <c r="R590">
        <v>1.89</v>
      </c>
      <c r="S590">
        <v>1</v>
      </c>
      <c r="T590" t="b">
        <v>0</v>
      </c>
      <c r="U590">
        <f>IFERROR(SUM(Table1[[#This Row],[Total day minutes]],Table1[[#This Row],[Total eve minutes]],Table1[[#This Row],[Total night minutes]],Table1[[#This Row],[Total intl minutes]]),0)</f>
        <v>640</v>
      </c>
      <c r="V590">
        <f>SUM(Table1[[#This Row],[Total intl charge]],Table1[[#This Row],[Total night charge]],Table1[[#This Row],[Total eve charge]],Table1[[#This Row],[Total day charge]])</f>
        <v>65.97</v>
      </c>
      <c r="W590">
        <f>SUM(Table1[[#This Row],[Total intl calls]],Table1[[#This Row],[Total night calls]],Table1[[#This Row],[Total eve calls]],Table1[[#This Row],[Total day calls]])</f>
        <v>267</v>
      </c>
      <c r="X590" t="str" cm="1">
        <f t="array" ref="X590">_xlfn.IFS(Table1[[#This Row],[Customer service calls]]&gt;=4,"High risk",Table1[[#This Row],[Customer service calls]]&gt;=2,"Medium risk",TRUE,"Low risk")</f>
        <v>Low risk</v>
      </c>
      <c r="Y590" t="str" cm="1">
        <f t="array" ref="Y590">IFERROR(_xlfn.IFS(Table1[[#This Row],[Total usage(Min)]]&gt;=AVERAGE(U:U)*1.1,"High risk",Table1[[#This Row],[Total usage(Min)]]&lt;= AVERAGE(U:U)*0.9,"Low risk",TRUE,"Medium risk"),"N/A")</f>
        <v>Medium risk</v>
      </c>
      <c r="Z590" t="str" cm="1">
        <f t="array" ref="Z590">IFERROR(_xlfn.IFS(Table1[[#This Row],[Total charges]]&gt;=AVERAGE(V:V)*1.1,"High risk",Table1[[#This Row],[Total charges]]&lt;=AVERAGE(V:V)*0.9,"Low risk",TRUE,"Medium risk"),"N/A")</f>
        <v>High risk</v>
      </c>
      <c r="AA59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0" t="str" cm="1">
        <f t="array" ref="AC590">_xlfn.IFS(
AND(Table1[[#This Row],[Customer service risk level]]="High risk", Table1[[#This Row],[Intl usage behaviour]]="Unplanned Usage"),"High Risk",
OR(Table1[[#This Row],[Customer service risk level]]="Medium risk", Table1[[#This Row],[Charges risk level]]="High risk "),"Medium Risk",
TRUE,"Low Risk"
)</f>
        <v>Low Risk</v>
      </c>
    </row>
    <row r="591" spans="1:29" x14ac:dyDescent="0.25">
      <c r="A591" t="s">
        <v>25</v>
      </c>
      <c r="B591">
        <v>150</v>
      </c>
      <c r="C591">
        <v>415</v>
      </c>
      <c r="D591" t="s">
        <v>21</v>
      </c>
      <c r="E591" t="s">
        <v>21</v>
      </c>
      <c r="F591">
        <v>0</v>
      </c>
      <c r="G591">
        <v>214</v>
      </c>
      <c r="H591">
        <v>117</v>
      </c>
      <c r="I591">
        <v>36.380000000000003</v>
      </c>
      <c r="J591">
        <v>192.4</v>
      </c>
      <c r="K591">
        <v>89</v>
      </c>
      <c r="L591">
        <v>16.350000000000001</v>
      </c>
      <c r="M591">
        <v>242.6</v>
      </c>
      <c r="N591">
        <v>99</v>
      </c>
      <c r="O591">
        <v>10.92</v>
      </c>
      <c r="P591">
        <v>7.9</v>
      </c>
      <c r="Q591">
        <v>4</v>
      </c>
      <c r="R591">
        <v>2.13</v>
      </c>
      <c r="S591">
        <v>1</v>
      </c>
      <c r="T591" t="b">
        <v>0</v>
      </c>
      <c r="U591">
        <f>IFERROR(SUM(Table1[[#This Row],[Total day minutes]],Table1[[#This Row],[Total eve minutes]],Table1[[#This Row],[Total night minutes]],Table1[[#This Row],[Total intl minutes]]),0)</f>
        <v>656.9</v>
      </c>
      <c r="V591">
        <f>SUM(Table1[[#This Row],[Total intl charge]],Table1[[#This Row],[Total night charge]],Table1[[#This Row],[Total eve charge]],Table1[[#This Row],[Total day charge]])</f>
        <v>65.78</v>
      </c>
      <c r="W591">
        <f>SUM(Table1[[#This Row],[Total intl calls]],Table1[[#This Row],[Total night calls]],Table1[[#This Row],[Total eve calls]],Table1[[#This Row],[Total day calls]])</f>
        <v>309</v>
      </c>
      <c r="X591" t="str" cm="1">
        <f t="array" ref="X591">_xlfn.IFS(Table1[[#This Row],[Customer service calls]]&gt;=4,"High risk",Table1[[#This Row],[Customer service calls]]&gt;=2,"Medium risk",TRUE,"Low risk")</f>
        <v>Low risk</v>
      </c>
      <c r="Y591" t="str" cm="1">
        <f t="array" ref="Y591">IFERROR(_xlfn.IFS(Table1[[#This Row],[Total usage(Min)]]&gt;=AVERAGE(U:U)*1.1,"High risk",Table1[[#This Row],[Total usage(Min)]]&lt;= AVERAGE(U:U)*0.9,"Low risk",TRUE,"Medium risk"),"N/A")</f>
        <v>High risk</v>
      </c>
      <c r="Z591" t="str" cm="1">
        <f t="array" ref="Z591">IFERROR(_xlfn.IFS(Table1[[#This Row],[Total charges]]&gt;=AVERAGE(V:V)*1.1,"High risk",Table1[[#This Row],[Total charges]]&lt;=AVERAGE(V:V)*0.9,"Low risk",TRUE,"Medium risk"),"N/A")</f>
        <v>High risk</v>
      </c>
      <c r="AA59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1" t="str" cm="1">
        <f t="array" ref="AC591">_xlfn.IFS(
AND(Table1[[#This Row],[Customer service risk level]]="High risk", Table1[[#This Row],[Intl usage behaviour]]="Unplanned Usage"),"High Risk",
OR(Table1[[#This Row],[Customer service risk level]]="Medium risk", Table1[[#This Row],[Charges risk level]]="High risk "),"Medium Risk",
TRUE,"Low Risk"
)</f>
        <v>Low Risk</v>
      </c>
    </row>
    <row r="592" spans="1:29" x14ac:dyDescent="0.25">
      <c r="A592" t="s">
        <v>28</v>
      </c>
      <c r="B592">
        <v>108</v>
      </c>
      <c r="C592">
        <v>408</v>
      </c>
      <c r="D592" t="s">
        <v>27</v>
      </c>
      <c r="E592" t="s">
        <v>21</v>
      </c>
      <c r="F592">
        <v>0</v>
      </c>
      <c r="G592">
        <v>115.1</v>
      </c>
      <c r="H592">
        <v>114</v>
      </c>
      <c r="I592">
        <v>19.57</v>
      </c>
      <c r="J592">
        <v>211.3</v>
      </c>
      <c r="K592">
        <v>70</v>
      </c>
      <c r="L592">
        <v>17.96</v>
      </c>
      <c r="M592">
        <v>136.1</v>
      </c>
      <c r="N592">
        <v>85</v>
      </c>
      <c r="O592">
        <v>6.12</v>
      </c>
      <c r="P592">
        <v>13.8</v>
      </c>
      <c r="Q592">
        <v>3</v>
      </c>
      <c r="R592">
        <v>3.73</v>
      </c>
      <c r="S592">
        <v>2</v>
      </c>
      <c r="T592" t="b">
        <v>1</v>
      </c>
      <c r="U592">
        <f>IFERROR(SUM(Table1[[#This Row],[Total day minutes]],Table1[[#This Row],[Total eve minutes]],Table1[[#This Row],[Total night minutes]],Table1[[#This Row],[Total intl minutes]]),0)</f>
        <v>476.3</v>
      </c>
      <c r="V592">
        <f>SUM(Table1[[#This Row],[Total intl charge]],Table1[[#This Row],[Total night charge]],Table1[[#This Row],[Total eve charge]],Table1[[#This Row],[Total day charge]])</f>
        <v>47.38</v>
      </c>
      <c r="W592">
        <f>SUM(Table1[[#This Row],[Total intl calls]],Table1[[#This Row],[Total night calls]],Table1[[#This Row],[Total eve calls]],Table1[[#This Row],[Total day calls]])</f>
        <v>272</v>
      </c>
      <c r="X592" t="str" cm="1">
        <f t="array" ref="X592">_xlfn.IFS(Table1[[#This Row],[Customer service calls]]&gt;=4,"High risk",Table1[[#This Row],[Customer service calls]]&gt;=2,"Medium risk",TRUE,"Low risk")</f>
        <v>Medium risk</v>
      </c>
      <c r="Y592" t="str" cm="1">
        <f t="array" ref="Y592">IFERROR(_xlfn.IFS(Table1[[#This Row],[Total usage(Min)]]&gt;=AVERAGE(U:U)*1.1,"High risk",Table1[[#This Row],[Total usage(Min)]]&lt;= AVERAGE(U:U)*0.9,"Low risk",TRUE,"Medium risk"),"N/A")</f>
        <v>Low risk</v>
      </c>
      <c r="Z592" t="str" cm="1">
        <f t="array" ref="Z592">IFERROR(_xlfn.IFS(Table1[[#This Row],[Total charges]]&gt;=AVERAGE(V:V)*1.1,"High risk",Table1[[#This Row],[Total charges]]&lt;=AVERAGE(V:V)*0.9,"Low risk",TRUE,"Medium risk"),"N/A")</f>
        <v>Low risk</v>
      </c>
      <c r="AA59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59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2" t="str" cm="1">
        <f t="array" ref="AC592">_xlfn.IFS(
AND(Table1[[#This Row],[Customer service risk level]]="High risk", Table1[[#This Row],[Intl usage behaviour]]="Unplanned Usage"),"High Risk",
OR(Table1[[#This Row],[Customer service risk level]]="Medium risk", Table1[[#This Row],[Charges risk level]]="High risk "),"Medium Risk",
TRUE,"Low Risk"
)</f>
        <v>Medium Risk</v>
      </c>
    </row>
    <row r="593" spans="1:29" x14ac:dyDescent="0.25">
      <c r="A593" t="s">
        <v>43</v>
      </c>
      <c r="B593">
        <v>101</v>
      </c>
      <c r="C593">
        <v>415</v>
      </c>
      <c r="D593" t="s">
        <v>27</v>
      </c>
      <c r="E593" t="s">
        <v>21</v>
      </c>
      <c r="F593">
        <v>0</v>
      </c>
      <c r="G593">
        <v>156.4</v>
      </c>
      <c r="H593">
        <v>116</v>
      </c>
      <c r="I593">
        <v>26.59</v>
      </c>
      <c r="J593">
        <v>130.4</v>
      </c>
      <c r="K593">
        <v>114</v>
      </c>
      <c r="L593">
        <v>11.08</v>
      </c>
      <c r="M593">
        <v>207.3</v>
      </c>
      <c r="N593">
        <v>109</v>
      </c>
      <c r="O593">
        <v>9.33</v>
      </c>
      <c r="P593">
        <v>7.3</v>
      </c>
      <c r="Q593">
        <v>5</v>
      </c>
      <c r="R593">
        <v>1.97</v>
      </c>
      <c r="S593">
        <v>1</v>
      </c>
      <c r="T593" t="b">
        <v>0</v>
      </c>
      <c r="U593">
        <f>IFERROR(SUM(Table1[[#This Row],[Total day minutes]],Table1[[#This Row],[Total eve minutes]],Table1[[#This Row],[Total night minutes]],Table1[[#This Row],[Total intl minutes]]),0)</f>
        <v>501.40000000000003</v>
      </c>
      <c r="V593">
        <f>SUM(Table1[[#This Row],[Total intl charge]],Table1[[#This Row],[Total night charge]],Table1[[#This Row],[Total eve charge]],Table1[[#This Row],[Total day charge]])</f>
        <v>48.97</v>
      </c>
      <c r="W593">
        <f>SUM(Table1[[#This Row],[Total intl calls]],Table1[[#This Row],[Total night calls]],Table1[[#This Row],[Total eve calls]],Table1[[#This Row],[Total day calls]])</f>
        <v>344</v>
      </c>
      <c r="X593" t="str" cm="1">
        <f t="array" ref="X593">_xlfn.IFS(Table1[[#This Row],[Customer service calls]]&gt;=4,"High risk",Table1[[#This Row],[Customer service calls]]&gt;=2,"Medium risk",TRUE,"Low risk")</f>
        <v>Low risk</v>
      </c>
      <c r="Y593" t="str" cm="1">
        <f t="array" ref="Y593">IFERROR(_xlfn.IFS(Table1[[#This Row],[Total usage(Min)]]&gt;=AVERAGE(U:U)*1.1,"High risk",Table1[[#This Row],[Total usage(Min)]]&lt;= AVERAGE(U:U)*0.9,"Low risk",TRUE,"Medium risk"),"N/A")</f>
        <v>Low risk</v>
      </c>
      <c r="Z593" t="str" cm="1">
        <f t="array" ref="Z593">IFERROR(_xlfn.IFS(Table1[[#This Row],[Total charges]]&gt;=AVERAGE(V:V)*1.1,"High risk",Table1[[#This Row],[Total charges]]&lt;=AVERAGE(V:V)*0.9,"Low risk",TRUE,"Medium risk"),"N/A")</f>
        <v>Low risk</v>
      </c>
      <c r="AA59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59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3" t="str" cm="1">
        <f t="array" ref="AC593">_xlfn.IFS(
AND(Table1[[#This Row],[Customer service risk level]]="High risk", Table1[[#This Row],[Intl usage behaviour]]="Unplanned Usage"),"High Risk",
OR(Table1[[#This Row],[Customer service risk level]]="Medium risk", Table1[[#This Row],[Charges risk level]]="High risk "),"Medium Risk",
TRUE,"Low Risk"
)</f>
        <v>Low Risk</v>
      </c>
    </row>
    <row r="594" spans="1:29" x14ac:dyDescent="0.25">
      <c r="A594" t="s">
        <v>44</v>
      </c>
      <c r="B594">
        <v>182</v>
      </c>
      <c r="C594">
        <v>415</v>
      </c>
      <c r="D594" t="s">
        <v>21</v>
      </c>
      <c r="E594" t="s">
        <v>27</v>
      </c>
      <c r="F594">
        <v>24</v>
      </c>
      <c r="G594">
        <v>128.1</v>
      </c>
      <c r="H594">
        <v>104</v>
      </c>
      <c r="I594">
        <v>21.78</v>
      </c>
      <c r="J594">
        <v>143.4</v>
      </c>
      <c r="K594">
        <v>127</v>
      </c>
      <c r="L594">
        <v>12.19</v>
      </c>
      <c r="M594">
        <v>191</v>
      </c>
      <c r="N594">
        <v>98</v>
      </c>
      <c r="O594">
        <v>8.59</v>
      </c>
      <c r="P594">
        <v>11.6</v>
      </c>
      <c r="Q594">
        <v>3</v>
      </c>
      <c r="R594">
        <v>3.13</v>
      </c>
      <c r="S594">
        <v>1</v>
      </c>
      <c r="T594" t="b">
        <v>0</v>
      </c>
      <c r="U594">
        <f>IFERROR(SUM(Table1[[#This Row],[Total day minutes]],Table1[[#This Row],[Total eve minutes]],Table1[[#This Row],[Total night minutes]],Table1[[#This Row],[Total intl minutes]]),0)</f>
        <v>474.1</v>
      </c>
      <c r="V594">
        <f>SUM(Table1[[#This Row],[Total intl charge]],Table1[[#This Row],[Total night charge]],Table1[[#This Row],[Total eve charge]],Table1[[#This Row],[Total day charge]])</f>
        <v>45.69</v>
      </c>
      <c r="W594">
        <f>SUM(Table1[[#This Row],[Total intl calls]],Table1[[#This Row],[Total night calls]],Table1[[#This Row],[Total eve calls]],Table1[[#This Row],[Total day calls]])</f>
        <v>332</v>
      </c>
      <c r="X594" t="str" cm="1">
        <f t="array" ref="X594">_xlfn.IFS(Table1[[#This Row],[Customer service calls]]&gt;=4,"High risk",Table1[[#This Row],[Customer service calls]]&gt;=2,"Medium risk",TRUE,"Low risk")</f>
        <v>Low risk</v>
      </c>
      <c r="Y594" t="str" cm="1">
        <f t="array" ref="Y594">IFERROR(_xlfn.IFS(Table1[[#This Row],[Total usage(Min)]]&gt;=AVERAGE(U:U)*1.1,"High risk",Table1[[#This Row],[Total usage(Min)]]&lt;= AVERAGE(U:U)*0.9,"Low risk",TRUE,"Medium risk"),"N/A")</f>
        <v>Low risk</v>
      </c>
      <c r="Z594" t="str" cm="1">
        <f t="array" ref="Z594">IFERROR(_xlfn.IFS(Table1[[#This Row],[Total charges]]&gt;=AVERAGE(V:V)*1.1,"High risk",Table1[[#This Row],[Total charges]]&lt;=AVERAGE(V:V)*0.9,"Low risk",TRUE,"Medium risk"),"N/A")</f>
        <v>Low risk</v>
      </c>
      <c r="AA59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94" t="str" cm="1">
        <f t="array" ref="AC594">_xlfn.IFS(
AND(Table1[[#This Row],[Customer service risk level]]="High risk", Table1[[#This Row],[Intl usage behaviour]]="Unplanned Usage"),"High Risk",
OR(Table1[[#This Row],[Customer service risk level]]="Medium risk", Table1[[#This Row],[Charges risk level]]="High risk "),"Medium Risk",
TRUE,"Low Risk"
)</f>
        <v>Low Risk</v>
      </c>
    </row>
    <row r="595" spans="1:29" x14ac:dyDescent="0.25">
      <c r="A595" t="s">
        <v>33</v>
      </c>
      <c r="B595">
        <v>128</v>
      </c>
      <c r="C595">
        <v>408</v>
      </c>
      <c r="D595" t="s">
        <v>21</v>
      </c>
      <c r="E595" t="s">
        <v>21</v>
      </c>
      <c r="F595">
        <v>0</v>
      </c>
      <c r="G595">
        <v>227.9</v>
      </c>
      <c r="H595">
        <v>130</v>
      </c>
      <c r="I595">
        <v>38.74</v>
      </c>
      <c r="J595">
        <v>302.60000000000002</v>
      </c>
      <c r="K595">
        <v>71</v>
      </c>
      <c r="L595">
        <v>25.72</v>
      </c>
      <c r="M595">
        <v>191.5</v>
      </c>
      <c r="N595">
        <v>82</v>
      </c>
      <c r="O595">
        <v>8.6199999999999992</v>
      </c>
      <c r="P595">
        <v>5.5</v>
      </c>
      <c r="Q595">
        <v>7</v>
      </c>
      <c r="R595">
        <v>1.49</v>
      </c>
      <c r="S595">
        <v>1</v>
      </c>
      <c r="T595" t="b">
        <v>1</v>
      </c>
      <c r="U595">
        <f>IFERROR(SUM(Table1[[#This Row],[Total day minutes]],Table1[[#This Row],[Total eve minutes]],Table1[[#This Row],[Total night minutes]],Table1[[#This Row],[Total intl minutes]]),0)</f>
        <v>727.5</v>
      </c>
      <c r="V595">
        <f>SUM(Table1[[#This Row],[Total intl charge]],Table1[[#This Row],[Total night charge]],Table1[[#This Row],[Total eve charge]],Table1[[#This Row],[Total day charge]])</f>
        <v>74.569999999999993</v>
      </c>
      <c r="W595">
        <f>SUM(Table1[[#This Row],[Total intl calls]],Table1[[#This Row],[Total night calls]],Table1[[#This Row],[Total eve calls]],Table1[[#This Row],[Total day calls]])</f>
        <v>290</v>
      </c>
      <c r="X595" t="str" cm="1">
        <f t="array" ref="X595">_xlfn.IFS(Table1[[#This Row],[Customer service calls]]&gt;=4,"High risk",Table1[[#This Row],[Customer service calls]]&gt;=2,"Medium risk",TRUE,"Low risk")</f>
        <v>Low risk</v>
      </c>
      <c r="Y595" t="str" cm="1">
        <f t="array" ref="Y595">IFERROR(_xlfn.IFS(Table1[[#This Row],[Total usage(Min)]]&gt;=AVERAGE(U:U)*1.1,"High risk",Table1[[#This Row],[Total usage(Min)]]&lt;= AVERAGE(U:U)*0.9,"Low risk",TRUE,"Medium risk"),"N/A")</f>
        <v>High risk</v>
      </c>
      <c r="Z595" t="str" cm="1">
        <f t="array" ref="Z595">IFERROR(_xlfn.IFS(Table1[[#This Row],[Total charges]]&gt;=AVERAGE(V:V)*1.1,"High risk",Table1[[#This Row],[Total charges]]&lt;=AVERAGE(V:V)*0.9,"Low risk",TRUE,"Medium risk"),"N/A")</f>
        <v>High risk</v>
      </c>
      <c r="AA59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5" t="str" cm="1">
        <f t="array" ref="AC595">_xlfn.IFS(
AND(Table1[[#This Row],[Customer service risk level]]="High risk", Table1[[#This Row],[Intl usage behaviour]]="Unplanned Usage"),"High Risk",
OR(Table1[[#This Row],[Customer service risk level]]="Medium risk", Table1[[#This Row],[Charges risk level]]="High risk "),"Medium Risk",
TRUE,"Low Risk"
)</f>
        <v>Low Risk</v>
      </c>
    </row>
    <row r="596" spans="1:29" x14ac:dyDescent="0.25">
      <c r="A596" t="s">
        <v>30</v>
      </c>
      <c r="B596">
        <v>113</v>
      </c>
      <c r="C596">
        <v>408</v>
      </c>
      <c r="D596" t="s">
        <v>21</v>
      </c>
      <c r="E596" t="s">
        <v>27</v>
      </c>
      <c r="F596">
        <v>34</v>
      </c>
      <c r="G596">
        <v>44.9</v>
      </c>
      <c r="H596">
        <v>63</v>
      </c>
      <c r="I596">
        <v>7.63</v>
      </c>
      <c r="J596">
        <v>134.19999999999999</v>
      </c>
      <c r="K596">
        <v>82</v>
      </c>
      <c r="L596">
        <v>11.41</v>
      </c>
      <c r="M596">
        <v>168.4</v>
      </c>
      <c r="N596">
        <v>118</v>
      </c>
      <c r="O596">
        <v>7.58</v>
      </c>
      <c r="P596">
        <v>13.3</v>
      </c>
      <c r="Q596">
        <v>3</v>
      </c>
      <c r="R596">
        <v>3.59</v>
      </c>
      <c r="S596">
        <v>1</v>
      </c>
      <c r="T596" t="b">
        <v>0</v>
      </c>
      <c r="U596">
        <f>IFERROR(SUM(Table1[[#This Row],[Total day minutes]],Table1[[#This Row],[Total eve minutes]],Table1[[#This Row],[Total night minutes]],Table1[[#This Row],[Total intl minutes]]),0)</f>
        <v>360.8</v>
      </c>
      <c r="V596">
        <f>SUM(Table1[[#This Row],[Total intl charge]],Table1[[#This Row],[Total night charge]],Table1[[#This Row],[Total eve charge]],Table1[[#This Row],[Total day charge]])</f>
        <v>30.209999999999997</v>
      </c>
      <c r="W596">
        <f>SUM(Table1[[#This Row],[Total intl calls]],Table1[[#This Row],[Total night calls]],Table1[[#This Row],[Total eve calls]],Table1[[#This Row],[Total day calls]])</f>
        <v>266</v>
      </c>
      <c r="X596" t="str" cm="1">
        <f t="array" ref="X596">_xlfn.IFS(Table1[[#This Row],[Customer service calls]]&gt;=4,"High risk",Table1[[#This Row],[Customer service calls]]&gt;=2,"Medium risk",TRUE,"Low risk")</f>
        <v>Low risk</v>
      </c>
      <c r="Y596" t="str" cm="1">
        <f t="array" ref="Y596">IFERROR(_xlfn.IFS(Table1[[#This Row],[Total usage(Min)]]&gt;=AVERAGE(U:U)*1.1,"High risk",Table1[[#This Row],[Total usage(Min)]]&lt;= AVERAGE(U:U)*0.9,"Low risk",TRUE,"Medium risk"),"N/A")</f>
        <v>Low risk</v>
      </c>
      <c r="Z596" t="str" cm="1">
        <f t="array" ref="Z596">IFERROR(_xlfn.IFS(Table1[[#This Row],[Total charges]]&gt;=AVERAGE(V:V)*1.1,"High risk",Table1[[#This Row],[Total charges]]&lt;=AVERAGE(V:V)*0.9,"Low risk",TRUE,"Medium risk"),"N/A")</f>
        <v>Low risk</v>
      </c>
      <c r="AA59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96" t="str" cm="1">
        <f t="array" ref="AC596">_xlfn.IFS(
AND(Table1[[#This Row],[Customer service risk level]]="High risk", Table1[[#This Row],[Intl usage behaviour]]="Unplanned Usage"),"High Risk",
OR(Table1[[#This Row],[Customer service risk level]]="Medium risk", Table1[[#This Row],[Charges risk level]]="High risk "),"Medium Risk",
TRUE,"Low Risk"
)</f>
        <v>Low Risk</v>
      </c>
    </row>
    <row r="597" spans="1:29" x14ac:dyDescent="0.25">
      <c r="A597" t="s">
        <v>57</v>
      </c>
      <c r="B597">
        <v>76</v>
      </c>
      <c r="C597">
        <v>415</v>
      </c>
      <c r="D597" t="s">
        <v>21</v>
      </c>
      <c r="E597" t="s">
        <v>21</v>
      </c>
      <c r="F597">
        <v>0</v>
      </c>
      <c r="G597">
        <v>171.1</v>
      </c>
      <c r="H597">
        <v>78</v>
      </c>
      <c r="I597">
        <v>29.09</v>
      </c>
      <c r="J597">
        <v>257.2</v>
      </c>
      <c r="K597">
        <v>83</v>
      </c>
      <c r="L597">
        <v>21.86</v>
      </c>
      <c r="M597">
        <v>91.6</v>
      </c>
      <c r="N597">
        <v>92</v>
      </c>
      <c r="O597">
        <v>4.12</v>
      </c>
      <c r="P597">
        <v>16.2</v>
      </c>
      <c r="Q597">
        <v>3</v>
      </c>
      <c r="R597">
        <v>4.37</v>
      </c>
      <c r="S597">
        <v>1</v>
      </c>
      <c r="T597" t="b">
        <v>0</v>
      </c>
      <c r="U597">
        <f>IFERROR(SUM(Table1[[#This Row],[Total day minutes]],Table1[[#This Row],[Total eve minutes]],Table1[[#This Row],[Total night minutes]],Table1[[#This Row],[Total intl minutes]]),0)</f>
        <v>536.1</v>
      </c>
      <c r="V597">
        <f>SUM(Table1[[#This Row],[Total intl charge]],Table1[[#This Row],[Total night charge]],Table1[[#This Row],[Total eve charge]],Table1[[#This Row],[Total day charge]])</f>
        <v>59.44</v>
      </c>
      <c r="W597">
        <f>SUM(Table1[[#This Row],[Total intl calls]],Table1[[#This Row],[Total night calls]],Table1[[#This Row],[Total eve calls]],Table1[[#This Row],[Total day calls]])</f>
        <v>256</v>
      </c>
      <c r="X597" t="str" cm="1">
        <f t="array" ref="X597">_xlfn.IFS(Table1[[#This Row],[Customer service calls]]&gt;=4,"High risk",Table1[[#This Row],[Customer service calls]]&gt;=2,"Medium risk",TRUE,"Low risk")</f>
        <v>Low risk</v>
      </c>
      <c r="Y597" t="str" cm="1">
        <f t="array" ref="Y597">IFERROR(_xlfn.IFS(Table1[[#This Row],[Total usage(Min)]]&gt;=AVERAGE(U:U)*1.1,"High risk",Table1[[#This Row],[Total usage(Min)]]&lt;= AVERAGE(U:U)*0.9,"Low risk",TRUE,"Medium risk"),"N/A")</f>
        <v>Medium risk</v>
      </c>
      <c r="Z597" t="str" cm="1">
        <f t="array" ref="Z597">IFERROR(_xlfn.IFS(Table1[[#This Row],[Total charges]]&gt;=AVERAGE(V:V)*1.1,"High risk",Table1[[#This Row],[Total charges]]&lt;=AVERAGE(V:V)*0.9,"Low risk",TRUE,"Medium risk"),"N/A")</f>
        <v>Medium risk</v>
      </c>
      <c r="AA59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7" t="str" cm="1">
        <f t="array" ref="AC597">_xlfn.IFS(
AND(Table1[[#This Row],[Customer service risk level]]="High risk", Table1[[#This Row],[Intl usage behaviour]]="Unplanned Usage"),"High Risk",
OR(Table1[[#This Row],[Customer service risk level]]="Medium risk", Table1[[#This Row],[Charges risk level]]="High risk "),"Medium Risk",
TRUE,"Low Risk"
)</f>
        <v>Low Risk</v>
      </c>
    </row>
    <row r="598" spans="1:29" x14ac:dyDescent="0.25">
      <c r="A598" t="s">
        <v>65</v>
      </c>
      <c r="B598">
        <v>204</v>
      </c>
      <c r="C598">
        <v>510</v>
      </c>
      <c r="D598" t="s">
        <v>21</v>
      </c>
      <c r="E598" t="s">
        <v>21</v>
      </c>
      <c r="F598">
        <v>0</v>
      </c>
      <c r="G598">
        <v>205.2</v>
      </c>
      <c r="H598">
        <v>145</v>
      </c>
      <c r="I598">
        <v>34.880000000000003</v>
      </c>
      <c r="J598">
        <v>154.80000000000001</v>
      </c>
      <c r="K598">
        <v>95</v>
      </c>
      <c r="L598">
        <v>13.16</v>
      </c>
      <c r="M598">
        <v>191.4</v>
      </c>
      <c r="N598">
        <v>77</v>
      </c>
      <c r="O598">
        <v>8.61</v>
      </c>
      <c r="P598">
        <v>14.1</v>
      </c>
      <c r="Q598">
        <v>5</v>
      </c>
      <c r="R598">
        <v>3.81</v>
      </c>
      <c r="S598">
        <v>3</v>
      </c>
      <c r="T598" t="b">
        <v>0</v>
      </c>
      <c r="U598">
        <f>IFERROR(SUM(Table1[[#This Row],[Total day minutes]],Table1[[#This Row],[Total eve minutes]],Table1[[#This Row],[Total night minutes]],Table1[[#This Row],[Total intl minutes]]),0)</f>
        <v>565.5</v>
      </c>
      <c r="V598">
        <f>SUM(Table1[[#This Row],[Total intl charge]],Table1[[#This Row],[Total night charge]],Table1[[#This Row],[Total eve charge]],Table1[[#This Row],[Total day charge]])</f>
        <v>60.46</v>
      </c>
      <c r="W598">
        <f>SUM(Table1[[#This Row],[Total intl calls]],Table1[[#This Row],[Total night calls]],Table1[[#This Row],[Total eve calls]],Table1[[#This Row],[Total day calls]])</f>
        <v>322</v>
      </c>
      <c r="X598" t="str" cm="1">
        <f t="array" ref="X598">_xlfn.IFS(Table1[[#This Row],[Customer service calls]]&gt;=4,"High risk",Table1[[#This Row],[Customer service calls]]&gt;=2,"Medium risk",TRUE,"Low risk")</f>
        <v>Medium risk</v>
      </c>
      <c r="Y598" t="str" cm="1">
        <f t="array" ref="Y598">IFERROR(_xlfn.IFS(Table1[[#This Row],[Total usage(Min)]]&gt;=AVERAGE(U:U)*1.1,"High risk",Table1[[#This Row],[Total usage(Min)]]&lt;= AVERAGE(U:U)*0.9,"Low risk",TRUE,"Medium risk"),"N/A")</f>
        <v>Medium risk</v>
      </c>
      <c r="Z598" t="str" cm="1">
        <f t="array" ref="Z598">IFERROR(_xlfn.IFS(Table1[[#This Row],[Total charges]]&gt;=AVERAGE(V:V)*1.1,"High risk",Table1[[#This Row],[Total charges]]&lt;=AVERAGE(V:V)*0.9,"Low risk",TRUE,"Medium risk"),"N/A")</f>
        <v>Medium risk</v>
      </c>
      <c r="AA59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598" t="str" cm="1">
        <f t="array" ref="AC598">_xlfn.IFS(
AND(Table1[[#This Row],[Customer service risk level]]="High risk", Table1[[#This Row],[Intl usage behaviour]]="Unplanned Usage"),"High Risk",
OR(Table1[[#This Row],[Customer service risk level]]="Medium risk", Table1[[#This Row],[Charges risk level]]="High risk "),"Medium Risk",
TRUE,"Low Risk"
)</f>
        <v>Medium Risk</v>
      </c>
    </row>
    <row r="599" spans="1:29" x14ac:dyDescent="0.25">
      <c r="A599" t="s">
        <v>42</v>
      </c>
      <c r="B599">
        <v>32</v>
      </c>
      <c r="C599">
        <v>415</v>
      </c>
      <c r="D599" t="s">
        <v>21</v>
      </c>
      <c r="E599" t="s">
        <v>27</v>
      </c>
      <c r="F599">
        <v>31</v>
      </c>
      <c r="G599">
        <v>232.8</v>
      </c>
      <c r="H599">
        <v>97</v>
      </c>
      <c r="I599">
        <v>39.58</v>
      </c>
      <c r="J599">
        <v>183.5</v>
      </c>
      <c r="K599">
        <v>111</v>
      </c>
      <c r="L599">
        <v>15.6</v>
      </c>
      <c r="M599">
        <v>206.8</v>
      </c>
      <c r="N599">
        <v>111</v>
      </c>
      <c r="O599">
        <v>9.31</v>
      </c>
      <c r="P599">
        <v>13</v>
      </c>
      <c r="Q599">
        <v>2</v>
      </c>
      <c r="R599">
        <v>3.51</v>
      </c>
      <c r="S599">
        <v>0</v>
      </c>
      <c r="T599" t="b">
        <v>0</v>
      </c>
      <c r="U599">
        <f>IFERROR(SUM(Table1[[#This Row],[Total day minutes]],Table1[[#This Row],[Total eve minutes]],Table1[[#This Row],[Total night minutes]],Table1[[#This Row],[Total intl minutes]]),0)</f>
        <v>636.1</v>
      </c>
      <c r="V599">
        <f>SUM(Table1[[#This Row],[Total intl charge]],Table1[[#This Row],[Total night charge]],Table1[[#This Row],[Total eve charge]],Table1[[#This Row],[Total day charge]])</f>
        <v>68</v>
      </c>
      <c r="W599">
        <f>SUM(Table1[[#This Row],[Total intl calls]],Table1[[#This Row],[Total night calls]],Table1[[#This Row],[Total eve calls]],Table1[[#This Row],[Total day calls]])</f>
        <v>321</v>
      </c>
      <c r="X599" t="str" cm="1">
        <f t="array" ref="X599">_xlfn.IFS(Table1[[#This Row],[Customer service calls]]&gt;=4,"High risk",Table1[[#This Row],[Customer service calls]]&gt;=2,"Medium risk",TRUE,"Low risk")</f>
        <v>Low risk</v>
      </c>
      <c r="Y599" t="str" cm="1">
        <f t="array" ref="Y599">IFERROR(_xlfn.IFS(Table1[[#This Row],[Total usage(Min)]]&gt;=AVERAGE(U:U)*1.1,"High risk",Table1[[#This Row],[Total usage(Min)]]&lt;= AVERAGE(U:U)*0.9,"Low risk",TRUE,"Medium risk"),"N/A")</f>
        <v>Medium risk</v>
      </c>
      <c r="Z599" t="str" cm="1">
        <f t="array" ref="Z599">IFERROR(_xlfn.IFS(Table1[[#This Row],[Total charges]]&gt;=AVERAGE(V:V)*1.1,"High risk",Table1[[#This Row],[Total charges]]&lt;=AVERAGE(V:V)*0.9,"Low risk",TRUE,"Medium risk"),"N/A")</f>
        <v>High risk</v>
      </c>
      <c r="AA59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59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599" t="str" cm="1">
        <f t="array" ref="AC599">_xlfn.IFS(
AND(Table1[[#This Row],[Customer service risk level]]="High risk", Table1[[#This Row],[Intl usage behaviour]]="Unplanned Usage"),"High Risk",
OR(Table1[[#This Row],[Customer service risk level]]="Medium risk", Table1[[#This Row],[Charges risk level]]="High risk "),"Medium Risk",
TRUE,"Low Risk"
)</f>
        <v>Low Risk</v>
      </c>
    </row>
    <row r="600" spans="1:29" x14ac:dyDescent="0.25">
      <c r="A600" t="s">
        <v>37</v>
      </c>
      <c r="B600">
        <v>103</v>
      </c>
      <c r="C600">
        <v>415</v>
      </c>
      <c r="D600" t="s">
        <v>21</v>
      </c>
      <c r="E600" t="s">
        <v>27</v>
      </c>
      <c r="F600">
        <v>37</v>
      </c>
      <c r="G600">
        <v>153.5</v>
      </c>
      <c r="H600">
        <v>78</v>
      </c>
      <c r="I600">
        <v>26.1</v>
      </c>
      <c r="J600">
        <v>241.9</v>
      </c>
      <c r="K600">
        <v>108</v>
      </c>
      <c r="L600">
        <v>20.56</v>
      </c>
      <c r="M600">
        <v>244.7</v>
      </c>
      <c r="N600">
        <v>110</v>
      </c>
      <c r="O600">
        <v>11.01</v>
      </c>
      <c r="P600">
        <v>10.6</v>
      </c>
      <c r="Q600">
        <v>3</v>
      </c>
      <c r="R600">
        <v>2.86</v>
      </c>
      <c r="S600">
        <v>1</v>
      </c>
      <c r="T600" t="b">
        <v>0</v>
      </c>
      <c r="U600">
        <f>IFERROR(SUM(Table1[[#This Row],[Total day minutes]],Table1[[#This Row],[Total eve minutes]],Table1[[#This Row],[Total night minutes]],Table1[[#This Row],[Total intl minutes]]),0)</f>
        <v>650.69999999999993</v>
      </c>
      <c r="V600">
        <f>SUM(Table1[[#This Row],[Total intl charge]],Table1[[#This Row],[Total night charge]],Table1[[#This Row],[Total eve charge]],Table1[[#This Row],[Total day charge]])</f>
        <v>60.53</v>
      </c>
      <c r="W600">
        <f>SUM(Table1[[#This Row],[Total intl calls]],Table1[[#This Row],[Total night calls]],Table1[[#This Row],[Total eve calls]],Table1[[#This Row],[Total day calls]])</f>
        <v>299</v>
      </c>
      <c r="X600" t="str" cm="1">
        <f t="array" ref="X600">_xlfn.IFS(Table1[[#This Row],[Customer service calls]]&gt;=4,"High risk",Table1[[#This Row],[Customer service calls]]&gt;=2,"Medium risk",TRUE,"Low risk")</f>
        <v>Low risk</v>
      </c>
      <c r="Y600" t="str" cm="1">
        <f t="array" ref="Y600">IFERROR(_xlfn.IFS(Table1[[#This Row],[Total usage(Min)]]&gt;=AVERAGE(U:U)*1.1,"High risk",Table1[[#This Row],[Total usage(Min)]]&lt;= AVERAGE(U:U)*0.9,"Low risk",TRUE,"Medium risk"),"N/A")</f>
        <v>Medium risk</v>
      </c>
      <c r="Z600" t="str" cm="1">
        <f t="array" ref="Z600">IFERROR(_xlfn.IFS(Table1[[#This Row],[Total charges]]&gt;=AVERAGE(V:V)*1.1,"High risk",Table1[[#This Row],[Total charges]]&lt;=AVERAGE(V:V)*0.9,"Low risk",TRUE,"Medium risk"),"N/A")</f>
        <v>Medium risk</v>
      </c>
      <c r="AA60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0"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00" t="str" cm="1">
        <f t="array" ref="AC600">_xlfn.IFS(
AND(Table1[[#This Row],[Customer service risk level]]="High risk", Table1[[#This Row],[Intl usage behaviour]]="Unplanned Usage"),"High Risk",
OR(Table1[[#This Row],[Customer service risk level]]="Medium risk", Table1[[#This Row],[Charges risk level]]="High risk "),"Medium Risk",
TRUE,"Low Risk"
)</f>
        <v>Low Risk</v>
      </c>
    </row>
    <row r="601" spans="1:29" x14ac:dyDescent="0.25">
      <c r="A601" t="s">
        <v>59</v>
      </c>
      <c r="B601">
        <v>148</v>
      </c>
      <c r="C601">
        <v>510</v>
      </c>
      <c r="D601" t="s">
        <v>21</v>
      </c>
      <c r="E601" t="s">
        <v>21</v>
      </c>
      <c r="F601">
        <v>0</v>
      </c>
      <c r="G601">
        <v>203</v>
      </c>
      <c r="H601">
        <v>92</v>
      </c>
      <c r="I601">
        <v>34.51</v>
      </c>
      <c r="J601">
        <v>150.9</v>
      </c>
      <c r="K601">
        <v>125</v>
      </c>
      <c r="L601">
        <v>12.83</v>
      </c>
      <c r="M601">
        <v>245.5</v>
      </c>
      <c r="N601">
        <v>131</v>
      </c>
      <c r="O601">
        <v>11.05</v>
      </c>
      <c r="P601">
        <v>14.6</v>
      </c>
      <c r="Q601">
        <v>9</v>
      </c>
      <c r="R601">
        <v>3.94</v>
      </c>
      <c r="S601">
        <v>1</v>
      </c>
      <c r="T601" t="b">
        <v>0</v>
      </c>
      <c r="U601">
        <f>IFERROR(SUM(Table1[[#This Row],[Total day minutes]],Table1[[#This Row],[Total eve minutes]],Table1[[#This Row],[Total night minutes]],Table1[[#This Row],[Total intl minutes]]),0)</f>
        <v>614</v>
      </c>
      <c r="V601">
        <f>SUM(Table1[[#This Row],[Total intl charge]],Table1[[#This Row],[Total night charge]],Table1[[#This Row],[Total eve charge]],Table1[[#This Row],[Total day charge]])</f>
        <v>62.33</v>
      </c>
      <c r="W601">
        <f>SUM(Table1[[#This Row],[Total intl calls]],Table1[[#This Row],[Total night calls]],Table1[[#This Row],[Total eve calls]],Table1[[#This Row],[Total day calls]])</f>
        <v>357</v>
      </c>
      <c r="X601" t="str" cm="1">
        <f t="array" ref="X601">_xlfn.IFS(Table1[[#This Row],[Customer service calls]]&gt;=4,"High risk",Table1[[#This Row],[Customer service calls]]&gt;=2,"Medium risk",TRUE,"Low risk")</f>
        <v>Low risk</v>
      </c>
      <c r="Y601" t="str" cm="1">
        <f t="array" ref="Y601">IFERROR(_xlfn.IFS(Table1[[#This Row],[Total usage(Min)]]&gt;=AVERAGE(U:U)*1.1,"High risk",Table1[[#This Row],[Total usage(Min)]]&lt;= AVERAGE(U:U)*0.9,"Low risk",TRUE,"Medium risk"),"N/A")</f>
        <v>Medium risk</v>
      </c>
      <c r="Z601" t="str" cm="1">
        <f t="array" ref="Z601">IFERROR(_xlfn.IFS(Table1[[#This Row],[Total charges]]&gt;=AVERAGE(V:V)*1.1,"High risk",Table1[[#This Row],[Total charges]]&lt;=AVERAGE(V:V)*0.9,"Low risk",TRUE,"Medium risk"),"N/A")</f>
        <v>Medium risk</v>
      </c>
      <c r="AA60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1" t="str" cm="1">
        <f t="array" ref="AC601">_xlfn.IFS(
AND(Table1[[#This Row],[Customer service risk level]]="High risk", Table1[[#This Row],[Intl usage behaviour]]="Unplanned Usage"),"High Risk",
OR(Table1[[#This Row],[Customer service risk level]]="Medium risk", Table1[[#This Row],[Charges risk level]]="High risk "),"Medium Risk",
TRUE,"Low Risk"
)</f>
        <v>Low Risk</v>
      </c>
    </row>
    <row r="602" spans="1:29" x14ac:dyDescent="0.25">
      <c r="A602" t="s">
        <v>37</v>
      </c>
      <c r="B602">
        <v>57</v>
      </c>
      <c r="C602">
        <v>415</v>
      </c>
      <c r="D602" t="s">
        <v>21</v>
      </c>
      <c r="E602" t="s">
        <v>21</v>
      </c>
      <c r="F602">
        <v>0</v>
      </c>
      <c r="G602">
        <v>85.9</v>
      </c>
      <c r="H602">
        <v>92</v>
      </c>
      <c r="I602">
        <v>14.6</v>
      </c>
      <c r="J602">
        <v>193.9</v>
      </c>
      <c r="K602">
        <v>127</v>
      </c>
      <c r="L602">
        <v>16.48</v>
      </c>
      <c r="M602">
        <v>231.5</v>
      </c>
      <c r="N602">
        <v>93</v>
      </c>
      <c r="O602">
        <v>10.42</v>
      </c>
      <c r="P602">
        <v>10.1</v>
      </c>
      <c r="Q602">
        <v>2</v>
      </c>
      <c r="R602">
        <v>2.73</v>
      </c>
      <c r="S602">
        <v>0</v>
      </c>
      <c r="T602" t="b">
        <v>0</v>
      </c>
      <c r="U602">
        <f>IFERROR(SUM(Table1[[#This Row],[Total day minutes]],Table1[[#This Row],[Total eve minutes]],Table1[[#This Row],[Total night minutes]],Table1[[#This Row],[Total intl minutes]]),0)</f>
        <v>521.4</v>
      </c>
      <c r="V602">
        <f>SUM(Table1[[#This Row],[Total intl charge]],Table1[[#This Row],[Total night charge]],Table1[[#This Row],[Total eve charge]],Table1[[#This Row],[Total day charge]])</f>
        <v>44.230000000000004</v>
      </c>
      <c r="W602">
        <f>SUM(Table1[[#This Row],[Total intl calls]],Table1[[#This Row],[Total night calls]],Table1[[#This Row],[Total eve calls]],Table1[[#This Row],[Total day calls]])</f>
        <v>314</v>
      </c>
      <c r="X602" t="str" cm="1">
        <f t="array" ref="X602">_xlfn.IFS(Table1[[#This Row],[Customer service calls]]&gt;=4,"High risk",Table1[[#This Row],[Customer service calls]]&gt;=2,"Medium risk",TRUE,"Low risk")</f>
        <v>Low risk</v>
      </c>
      <c r="Y602" t="str" cm="1">
        <f t="array" ref="Y602">IFERROR(_xlfn.IFS(Table1[[#This Row],[Total usage(Min)]]&gt;=AVERAGE(U:U)*1.1,"High risk",Table1[[#This Row],[Total usage(Min)]]&lt;= AVERAGE(U:U)*0.9,"Low risk",TRUE,"Medium risk"),"N/A")</f>
        <v>Low risk</v>
      </c>
      <c r="Z602" t="str" cm="1">
        <f t="array" ref="Z602">IFERROR(_xlfn.IFS(Table1[[#This Row],[Total charges]]&gt;=AVERAGE(V:V)*1.1,"High risk",Table1[[#This Row],[Total charges]]&lt;=AVERAGE(V:V)*0.9,"Low risk",TRUE,"Medium risk"),"N/A")</f>
        <v>Low risk</v>
      </c>
      <c r="AA60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2" t="str" cm="1">
        <f t="array" ref="AC602">_xlfn.IFS(
AND(Table1[[#This Row],[Customer service risk level]]="High risk", Table1[[#This Row],[Intl usage behaviour]]="Unplanned Usage"),"High Risk",
OR(Table1[[#This Row],[Customer service risk level]]="Medium risk", Table1[[#This Row],[Charges risk level]]="High risk "),"Medium Risk",
TRUE,"Low Risk"
)</f>
        <v>Low Risk</v>
      </c>
    </row>
    <row r="603" spans="1:29" x14ac:dyDescent="0.25">
      <c r="A603" t="s">
        <v>36</v>
      </c>
      <c r="B603">
        <v>64</v>
      </c>
      <c r="C603">
        <v>415</v>
      </c>
      <c r="D603" t="s">
        <v>27</v>
      </c>
      <c r="E603" t="s">
        <v>21</v>
      </c>
      <c r="F603">
        <v>0</v>
      </c>
      <c r="G603">
        <v>146.69999999999999</v>
      </c>
      <c r="H603">
        <v>83</v>
      </c>
      <c r="I603">
        <v>24.94</v>
      </c>
      <c r="J603">
        <v>148.30000000000001</v>
      </c>
      <c r="K603">
        <v>91</v>
      </c>
      <c r="L603">
        <v>12.61</v>
      </c>
      <c r="M603">
        <v>238.6</v>
      </c>
      <c r="N603">
        <v>69</v>
      </c>
      <c r="O603">
        <v>10.74</v>
      </c>
      <c r="P603">
        <v>12.5</v>
      </c>
      <c r="Q603">
        <v>3</v>
      </c>
      <c r="R603">
        <v>3.38</v>
      </c>
      <c r="S603">
        <v>3</v>
      </c>
      <c r="T603" t="b">
        <v>0</v>
      </c>
      <c r="U603">
        <f>IFERROR(SUM(Table1[[#This Row],[Total day minutes]],Table1[[#This Row],[Total eve minutes]],Table1[[#This Row],[Total night minutes]],Table1[[#This Row],[Total intl minutes]]),0)</f>
        <v>546.1</v>
      </c>
      <c r="V603">
        <f>SUM(Table1[[#This Row],[Total intl charge]],Table1[[#This Row],[Total night charge]],Table1[[#This Row],[Total eve charge]],Table1[[#This Row],[Total day charge]])</f>
        <v>51.67</v>
      </c>
      <c r="W603">
        <f>SUM(Table1[[#This Row],[Total intl calls]],Table1[[#This Row],[Total night calls]],Table1[[#This Row],[Total eve calls]],Table1[[#This Row],[Total day calls]])</f>
        <v>246</v>
      </c>
      <c r="X603" t="str" cm="1">
        <f t="array" ref="X603">_xlfn.IFS(Table1[[#This Row],[Customer service calls]]&gt;=4,"High risk",Table1[[#This Row],[Customer service calls]]&gt;=2,"Medium risk",TRUE,"Low risk")</f>
        <v>Medium risk</v>
      </c>
      <c r="Y603" t="str" cm="1">
        <f t="array" ref="Y603">IFERROR(_xlfn.IFS(Table1[[#This Row],[Total usage(Min)]]&gt;=AVERAGE(U:U)*1.1,"High risk",Table1[[#This Row],[Total usage(Min)]]&lt;= AVERAGE(U:U)*0.9,"Low risk",TRUE,"Medium risk"),"N/A")</f>
        <v>Medium risk</v>
      </c>
      <c r="Z603" t="str" cm="1">
        <f t="array" ref="Z603">IFERROR(_xlfn.IFS(Table1[[#This Row],[Total charges]]&gt;=AVERAGE(V:V)*1.1,"High risk",Table1[[#This Row],[Total charges]]&lt;=AVERAGE(V:V)*0.9,"Low risk",TRUE,"Medium risk"),"N/A")</f>
        <v>Low risk</v>
      </c>
      <c r="AA60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60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3" t="str" cm="1">
        <f t="array" ref="AC603">_xlfn.IFS(
AND(Table1[[#This Row],[Customer service risk level]]="High risk", Table1[[#This Row],[Intl usage behaviour]]="Unplanned Usage"),"High Risk",
OR(Table1[[#This Row],[Customer service risk level]]="Medium risk", Table1[[#This Row],[Charges risk level]]="High risk "),"Medium Risk",
TRUE,"Low Risk"
)</f>
        <v>Medium Risk</v>
      </c>
    </row>
    <row r="604" spans="1:29" x14ac:dyDescent="0.25">
      <c r="A604" t="s">
        <v>61</v>
      </c>
      <c r="B604">
        <v>70</v>
      </c>
      <c r="C604">
        <v>415</v>
      </c>
      <c r="D604" t="s">
        <v>21</v>
      </c>
      <c r="E604" t="s">
        <v>21</v>
      </c>
      <c r="F604">
        <v>0</v>
      </c>
      <c r="G604">
        <v>152.80000000000001</v>
      </c>
      <c r="H604">
        <v>145</v>
      </c>
      <c r="I604">
        <v>25.98</v>
      </c>
      <c r="J604">
        <v>183.6</v>
      </c>
      <c r="K604">
        <v>102</v>
      </c>
      <c r="L604">
        <v>15.61</v>
      </c>
      <c r="M604">
        <v>151.80000000000001</v>
      </c>
      <c r="N604">
        <v>75</v>
      </c>
      <c r="O604">
        <v>6.83</v>
      </c>
      <c r="P604">
        <v>10.5</v>
      </c>
      <c r="Q604">
        <v>2</v>
      </c>
      <c r="R604">
        <v>2.84</v>
      </c>
      <c r="S604">
        <v>1</v>
      </c>
      <c r="T604" t="b">
        <v>0</v>
      </c>
      <c r="U604">
        <f>IFERROR(SUM(Table1[[#This Row],[Total day minutes]],Table1[[#This Row],[Total eve minutes]],Table1[[#This Row],[Total night minutes]],Table1[[#This Row],[Total intl minutes]]),0)</f>
        <v>498.7</v>
      </c>
      <c r="V604">
        <f>SUM(Table1[[#This Row],[Total intl charge]],Table1[[#This Row],[Total night charge]],Table1[[#This Row],[Total eve charge]],Table1[[#This Row],[Total day charge]])</f>
        <v>51.260000000000005</v>
      </c>
      <c r="W604">
        <f>SUM(Table1[[#This Row],[Total intl calls]],Table1[[#This Row],[Total night calls]],Table1[[#This Row],[Total eve calls]],Table1[[#This Row],[Total day calls]])</f>
        <v>324</v>
      </c>
      <c r="X604" t="str" cm="1">
        <f t="array" ref="X604">_xlfn.IFS(Table1[[#This Row],[Customer service calls]]&gt;=4,"High risk",Table1[[#This Row],[Customer service calls]]&gt;=2,"Medium risk",TRUE,"Low risk")</f>
        <v>Low risk</v>
      </c>
      <c r="Y604" t="str" cm="1">
        <f t="array" ref="Y604">IFERROR(_xlfn.IFS(Table1[[#This Row],[Total usage(Min)]]&gt;=AVERAGE(U:U)*1.1,"High risk",Table1[[#This Row],[Total usage(Min)]]&lt;= AVERAGE(U:U)*0.9,"Low risk",TRUE,"Medium risk"),"N/A")</f>
        <v>Low risk</v>
      </c>
      <c r="Z604" t="str" cm="1">
        <f t="array" ref="Z604">IFERROR(_xlfn.IFS(Table1[[#This Row],[Total charges]]&gt;=AVERAGE(V:V)*1.1,"High risk",Table1[[#This Row],[Total charges]]&lt;=AVERAGE(V:V)*0.9,"Low risk",TRUE,"Medium risk"),"N/A")</f>
        <v>Low risk</v>
      </c>
      <c r="AA60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4" t="str" cm="1">
        <f t="array" ref="AC604">_xlfn.IFS(
AND(Table1[[#This Row],[Customer service risk level]]="High risk", Table1[[#This Row],[Intl usage behaviour]]="Unplanned Usage"),"High Risk",
OR(Table1[[#This Row],[Customer service risk level]]="Medium risk", Table1[[#This Row],[Charges risk level]]="High risk "),"Medium Risk",
TRUE,"Low Risk"
)</f>
        <v>Low Risk</v>
      </c>
    </row>
    <row r="605" spans="1:29" x14ac:dyDescent="0.25">
      <c r="A605" t="s">
        <v>35</v>
      </c>
      <c r="B605">
        <v>142</v>
      </c>
      <c r="C605">
        <v>408</v>
      </c>
      <c r="D605" t="s">
        <v>21</v>
      </c>
      <c r="E605" t="s">
        <v>21</v>
      </c>
      <c r="F605">
        <v>0</v>
      </c>
      <c r="G605">
        <v>216.8</v>
      </c>
      <c r="H605">
        <v>134</v>
      </c>
      <c r="I605">
        <v>36.86</v>
      </c>
      <c r="J605">
        <v>187.8</v>
      </c>
      <c r="K605">
        <v>106</v>
      </c>
      <c r="L605">
        <v>15.96</v>
      </c>
      <c r="M605">
        <v>138.1</v>
      </c>
      <c r="N605">
        <v>108</v>
      </c>
      <c r="O605">
        <v>6.21</v>
      </c>
      <c r="P605">
        <v>8.3000000000000007</v>
      </c>
      <c r="Q605">
        <v>2</v>
      </c>
      <c r="R605">
        <v>2.2400000000000002</v>
      </c>
      <c r="S605">
        <v>0</v>
      </c>
      <c r="T605" t="b">
        <v>0</v>
      </c>
      <c r="U605">
        <f>IFERROR(SUM(Table1[[#This Row],[Total day minutes]],Table1[[#This Row],[Total eve minutes]],Table1[[#This Row],[Total night minutes]],Table1[[#This Row],[Total intl minutes]]),0)</f>
        <v>551</v>
      </c>
      <c r="V605">
        <f>SUM(Table1[[#This Row],[Total intl charge]],Table1[[#This Row],[Total night charge]],Table1[[#This Row],[Total eve charge]],Table1[[#This Row],[Total day charge]])</f>
        <v>61.269999999999996</v>
      </c>
      <c r="W605">
        <f>SUM(Table1[[#This Row],[Total intl calls]],Table1[[#This Row],[Total night calls]],Table1[[#This Row],[Total eve calls]],Table1[[#This Row],[Total day calls]])</f>
        <v>350</v>
      </c>
      <c r="X605" t="str" cm="1">
        <f t="array" ref="X605">_xlfn.IFS(Table1[[#This Row],[Customer service calls]]&gt;=4,"High risk",Table1[[#This Row],[Customer service calls]]&gt;=2,"Medium risk",TRUE,"Low risk")</f>
        <v>Low risk</v>
      </c>
      <c r="Y605" t="str" cm="1">
        <f t="array" ref="Y605">IFERROR(_xlfn.IFS(Table1[[#This Row],[Total usage(Min)]]&gt;=AVERAGE(U:U)*1.1,"High risk",Table1[[#This Row],[Total usage(Min)]]&lt;= AVERAGE(U:U)*0.9,"Low risk",TRUE,"Medium risk"),"N/A")</f>
        <v>Medium risk</v>
      </c>
      <c r="Z605" t="str" cm="1">
        <f t="array" ref="Z605">IFERROR(_xlfn.IFS(Table1[[#This Row],[Total charges]]&gt;=AVERAGE(V:V)*1.1,"High risk",Table1[[#This Row],[Total charges]]&lt;=AVERAGE(V:V)*0.9,"Low risk",TRUE,"Medium risk"),"N/A")</f>
        <v>Medium risk</v>
      </c>
      <c r="AA60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5" t="str" cm="1">
        <f t="array" ref="AC605">_xlfn.IFS(
AND(Table1[[#This Row],[Customer service risk level]]="High risk", Table1[[#This Row],[Intl usage behaviour]]="Unplanned Usage"),"High Risk",
OR(Table1[[#This Row],[Customer service risk level]]="Medium risk", Table1[[#This Row],[Charges risk level]]="High risk "),"Medium Risk",
TRUE,"Low Risk"
)</f>
        <v>Low Risk</v>
      </c>
    </row>
    <row r="606" spans="1:29" x14ac:dyDescent="0.25">
      <c r="A606" t="s">
        <v>38</v>
      </c>
      <c r="B606">
        <v>88</v>
      </c>
      <c r="C606">
        <v>415</v>
      </c>
      <c r="D606" t="s">
        <v>21</v>
      </c>
      <c r="E606" t="s">
        <v>21</v>
      </c>
      <c r="F606">
        <v>0</v>
      </c>
      <c r="G606">
        <v>172.8</v>
      </c>
      <c r="H606">
        <v>81</v>
      </c>
      <c r="I606">
        <v>29.38</v>
      </c>
      <c r="J606">
        <v>193.4</v>
      </c>
      <c r="K606">
        <v>90</v>
      </c>
      <c r="L606">
        <v>16.440000000000001</v>
      </c>
      <c r="M606">
        <v>89.6</v>
      </c>
      <c r="N606">
        <v>107</v>
      </c>
      <c r="O606">
        <v>4.03</v>
      </c>
      <c r="P606">
        <v>12.8</v>
      </c>
      <c r="Q606">
        <v>5</v>
      </c>
      <c r="R606">
        <v>3.46</v>
      </c>
      <c r="S606">
        <v>2</v>
      </c>
      <c r="T606" t="b">
        <v>0</v>
      </c>
      <c r="U606">
        <f>IFERROR(SUM(Table1[[#This Row],[Total day minutes]],Table1[[#This Row],[Total eve minutes]],Table1[[#This Row],[Total night minutes]],Table1[[#This Row],[Total intl minutes]]),0)</f>
        <v>468.60000000000008</v>
      </c>
      <c r="V606">
        <f>SUM(Table1[[#This Row],[Total intl charge]],Table1[[#This Row],[Total night charge]],Table1[[#This Row],[Total eve charge]],Table1[[#This Row],[Total day charge]])</f>
        <v>53.31</v>
      </c>
      <c r="W606">
        <f>SUM(Table1[[#This Row],[Total intl calls]],Table1[[#This Row],[Total night calls]],Table1[[#This Row],[Total eve calls]],Table1[[#This Row],[Total day calls]])</f>
        <v>283</v>
      </c>
      <c r="X606" t="str" cm="1">
        <f t="array" ref="X606">_xlfn.IFS(Table1[[#This Row],[Customer service calls]]&gt;=4,"High risk",Table1[[#This Row],[Customer service calls]]&gt;=2,"Medium risk",TRUE,"Low risk")</f>
        <v>Medium risk</v>
      </c>
      <c r="Y606" t="str" cm="1">
        <f t="array" ref="Y606">IFERROR(_xlfn.IFS(Table1[[#This Row],[Total usage(Min)]]&gt;=AVERAGE(U:U)*1.1,"High risk",Table1[[#This Row],[Total usage(Min)]]&lt;= AVERAGE(U:U)*0.9,"Low risk",TRUE,"Medium risk"),"N/A")</f>
        <v>Low risk</v>
      </c>
      <c r="Z606" t="str" cm="1">
        <f t="array" ref="Z606">IFERROR(_xlfn.IFS(Table1[[#This Row],[Total charges]]&gt;=AVERAGE(V:V)*1.1,"High risk",Table1[[#This Row],[Total charges]]&lt;=AVERAGE(V:V)*0.9,"Low risk",TRUE,"Medium risk"),"N/A")</f>
        <v>Low risk</v>
      </c>
      <c r="AA60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6" t="str" cm="1">
        <f t="array" ref="AC606">_xlfn.IFS(
AND(Table1[[#This Row],[Customer service risk level]]="High risk", Table1[[#This Row],[Intl usage behaviour]]="Unplanned Usage"),"High Risk",
OR(Table1[[#This Row],[Customer service risk level]]="Medium risk", Table1[[#This Row],[Charges risk level]]="High risk "),"Medium Risk",
TRUE,"Low Risk"
)</f>
        <v>Medium Risk</v>
      </c>
    </row>
    <row r="607" spans="1:29" x14ac:dyDescent="0.25">
      <c r="A607" t="s">
        <v>63</v>
      </c>
      <c r="B607">
        <v>131</v>
      </c>
      <c r="C607">
        <v>510</v>
      </c>
      <c r="D607" t="s">
        <v>21</v>
      </c>
      <c r="E607" t="s">
        <v>21</v>
      </c>
      <c r="F607">
        <v>0</v>
      </c>
      <c r="G607">
        <v>263.39999999999998</v>
      </c>
      <c r="H607">
        <v>123</v>
      </c>
      <c r="I607">
        <v>44.78</v>
      </c>
      <c r="J607">
        <v>151.9</v>
      </c>
      <c r="K607">
        <v>74</v>
      </c>
      <c r="L607">
        <v>12.91</v>
      </c>
      <c r="M607">
        <v>218.5</v>
      </c>
      <c r="N607">
        <v>101</v>
      </c>
      <c r="O607">
        <v>9.83</v>
      </c>
      <c r="P607">
        <v>10.7</v>
      </c>
      <c r="Q607">
        <v>2</v>
      </c>
      <c r="R607">
        <v>2.89</v>
      </c>
      <c r="S607">
        <v>2</v>
      </c>
      <c r="T607" t="b">
        <v>0</v>
      </c>
      <c r="U607">
        <f>IFERROR(SUM(Table1[[#This Row],[Total day minutes]],Table1[[#This Row],[Total eve minutes]],Table1[[#This Row],[Total night minutes]],Table1[[#This Row],[Total intl minutes]]),0)</f>
        <v>644.5</v>
      </c>
      <c r="V607">
        <f>SUM(Table1[[#This Row],[Total intl charge]],Table1[[#This Row],[Total night charge]],Table1[[#This Row],[Total eve charge]],Table1[[#This Row],[Total day charge]])</f>
        <v>70.41</v>
      </c>
      <c r="W607">
        <f>SUM(Table1[[#This Row],[Total intl calls]],Table1[[#This Row],[Total night calls]],Table1[[#This Row],[Total eve calls]],Table1[[#This Row],[Total day calls]])</f>
        <v>300</v>
      </c>
      <c r="X607" t="str" cm="1">
        <f t="array" ref="X607">_xlfn.IFS(Table1[[#This Row],[Customer service calls]]&gt;=4,"High risk",Table1[[#This Row],[Customer service calls]]&gt;=2,"Medium risk",TRUE,"Low risk")</f>
        <v>Medium risk</v>
      </c>
      <c r="Y607" t="str" cm="1">
        <f t="array" ref="Y607">IFERROR(_xlfn.IFS(Table1[[#This Row],[Total usage(Min)]]&gt;=AVERAGE(U:U)*1.1,"High risk",Table1[[#This Row],[Total usage(Min)]]&lt;= AVERAGE(U:U)*0.9,"Low risk",TRUE,"Medium risk"),"N/A")</f>
        <v>Medium risk</v>
      </c>
      <c r="Z607" t="str" cm="1">
        <f t="array" ref="Z607">IFERROR(_xlfn.IFS(Table1[[#This Row],[Total charges]]&gt;=AVERAGE(V:V)*1.1,"High risk",Table1[[#This Row],[Total charges]]&lt;=AVERAGE(V:V)*0.9,"Low risk",TRUE,"Medium risk"),"N/A")</f>
        <v>High risk</v>
      </c>
      <c r="AA60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7" t="str" cm="1">
        <f t="array" ref="AC607">_xlfn.IFS(
AND(Table1[[#This Row],[Customer service risk level]]="High risk", Table1[[#This Row],[Intl usage behaviour]]="Unplanned Usage"),"High Risk",
OR(Table1[[#This Row],[Customer service risk level]]="Medium risk", Table1[[#This Row],[Charges risk level]]="High risk "),"Medium Risk",
TRUE,"Low Risk"
)</f>
        <v>Medium Risk</v>
      </c>
    </row>
    <row r="608" spans="1:29" x14ac:dyDescent="0.25">
      <c r="A608" t="s">
        <v>37</v>
      </c>
      <c r="B608">
        <v>130</v>
      </c>
      <c r="C608">
        <v>408</v>
      </c>
      <c r="D608" t="s">
        <v>21</v>
      </c>
      <c r="E608" t="s">
        <v>21</v>
      </c>
      <c r="F608">
        <v>0</v>
      </c>
      <c r="G608">
        <v>271.8</v>
      </c>
      <c r="H608">
        <v>129</v>
      </c>
      <c r="I608">
        <v>46.21</v>
      </c>
      <c r="J608">
        <v>237.2</v>
      </c>
      <c r="K608">
        <v>128</v>
      </c>
      <c r="L608">
        <v>20.16</v>
      </c>
      <c r="M608">
        <v>210.1</v>
      </c>
      <c r="N608">
        <v>91</v>
      </c>
      <c r="O608">
        <v>9.4499999999999993</v>
      </c>
      <c r="P608">
        <v>8.6999999999999993</v>
      </c>
      <c r="Q608">
        <v>2</v>
      </c>
      <c r="R608">
        <v>2.35</v>
      </c>
      <c r="S608">
        <v>4</v>
      </c>
      <c r="T608" t="b">
        <v>1</v>
      </c>
      <c r="U608">
        <f>IFERROR(SUM(Table1[[#This Row],[Total day minutes]],Table1[[#This Row],[Total eve minutes]],Table1[[#This Row],[Total night minutes]],Table1[[#This Row],[Total intl minutes]]),0)</f>
        <v>727.80000000000007</v>
      </c>
      <c r="V608">
        <f>SUM(Table1[[#This Row],[Total intl charge]],Table1[[#This Row],[Total night charge]],Table1[[#This Row],[Total eve charge]],Table1[[#This Row],[Total day charge]])</f>
        <v>78.17</v>
      </c>
      <c r="W608">
        <f>SUM(Table1[[#This Row],[Total intl calls]],Table1[[#This Row],[Total night calls]],Table1[[#This Row],[Total eve calls]],Table1[[#This Row],[Total day calls]])</f>
        <v>350</v>
      </c>
      <c r="X608" t="str" cm="1">
        <f t="array" ref="X608">_xlfn.IFS(Table1[[#This Row],[Customer service calls]]&gt;=4,"High risk",Table1[[#This Row],[Customer service calls]]&gt;=2,"Medium risk",TRUE,"Low risk")</f>
        <v>High risk</v>
      </c>
      <c r="Y608" t="str" cm="1">
        <f t="array" ref="Y608">IFERROR(_xlfn.IFS(Table1[[#This Row],[Total usage(Min)]]&gt;=AVERAGE(U:U)*1.1,"High risk",Table1[[#This Row],[Total usage(Min)]]&lt;= AVERAGE(U:U)*0.9,"Low risk",TRUE,"Medium risk"),"N/A")</f>
        <v>High risk</v>
      </c>
      <c r="Z608" t="str" cm="1">
        <f t="array" ref="Z608">IFERROR(_xlfn.IFS(Table1[[#This Row],[Total charges]]&gt;=AVERAGE(V:V)*1.1,"High risk",Table1[[#This Row],[Total charges]]&lt;=AVERAGE(V:V)*0.9,"Low risk",TRUE,"Medium risk"),"N/A")</f>
        <v>High risk</v>
      </c>
      <c r="AA60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8" t="str" cm="1">
        <f t="array" ref="AC608">_xlfn.IFS(
AND(Table1[[#This Row],[Customer service risk level]]="High risk", Table1[[#This Row],[Intl usage behaviour]]="Unplanned Usage"),"High Risk",
OR(Table1[[#This Row],[Customer service risk level]]="Medium risk", Table1[[#This Row],[Charges risk level]]="High risk "),"Medium Risk",
TRUE,"Low Risk"
)</f>
        <v>High Risk</v>
      </c>
    </row>
    <row r="609" spans="1:29" x14ac:dyDescent="0.25">
      <c r="A609" t="s">
        <v>47</v>
      </c>
      <c r="B609">
        <v>166</v>
      </c>
      <c r="C609">
        <v>510</v>
      </c>
      <c r="D609" t="s">
        <v>21</v>
      </c>
      <c r="E609" t="s">
        <v>21</v>
      </c>
      <c r="F609">
        <v>0</v>
      </c>
      <c r="G609">
        <v>199.6</v>
      </c>
      <c r="H609">
        <v>93</v>
      </c>
      <c r="I609">
        <v>33.93</v>
      </c>
      <c r="J609">
        <v>214.3</v>
      </c>
      <c r="K609">
        <v>99</v>
      </c>
      <c r="L609">
        <v>18.22</v>
      </c>
      <c r="M609">
        <v>196.8</v>
      </c>
      <c r="N609">
        <v>110</v>
      </c>
      <c r="O609">
        <v>8.86</v>
      </c>
      <c r="P609">
        <v>7.2</v>
      </c>
      <c r="Q609">
        <v>5</v>
      </c>
      <c r="R609">
        <v>1.94</v>
      </c>
      <c r="S609">
        <v>3</v>
      </c>
      <c r="T609" t="b">
        <v>0</v>
      </c>
      <c r="U609">
        <f>IFERROR(SUM(Table1[[#This Row],[Total day minutes]],Table1[[#This Row],[Total eve minutes]],Table1[[#This Row],[Total night minutes]],Table1[[#This Row],[Total intl minutes]]),0)</f>
        <v>617.90000000000009</v>
      </c>
      <c r="V609">
        <f>SUM(Table1[[#This Row],[Total intl charge]],Table1[[#This Row],[Total night charge]],Table1[[#This Row],[Total eve charge]],Table1[[#This Row],[Total day charge]])</f>
        <v>62.949999999999996</v>
      </c>
      <c r="W609">
        <f>SUM(Table1[[#This Row],[Total intl calls]],Table1[[#This Row],[Total night calls]],Table1[[#This Row],[Total eve calls]],Table1[[#This Row],[Total day calls]])</f>
        <v>307</v>
      </c>
      <c r="X609" t="str" cm="1">
        <f t="array" ref="X609">_xlfn.IFS(Table1[[#This Row],[Customer service calls]]&gt;=4,"High risk",Table1[[#This Row],[Customer service calls]]&gt;=2,"Medium risk",TRUE,"Low risk")</f>
        <v>Medium risk</v>
      </c>
      <c r="Y609" t="str" cm="1">
        <f t="array" ref="Y609">IFERROR(_xlfn.IFS(Table1[[#This Row],[Total usage(Min)]]&gt;=AVERAGE(U:U)*1.1,"High risk",Table1[[#This Row],[Total usage(Min)]]&lt;= AVERAGE(U:U)*0.9,"Low risk",TRUE,"Medium risk"),"N/A")</f>
        <v>Medium risk</v>
      </c>
      <c r="Z609" t="str" cm="1">
        <f t="array" ref="Z609">IFERROR(_xlfn.IFS(Table1[[#This Row],[Total charges]]&gt;=AVERAGE(V:V)*1.1,"High risk",Table1[[#This Row],[Total charges]]&lt;=AVERAGE(V:V)*0.9,"Low risk",TRUE,"Medium risk"),"N/A")</f>
        <v>Medium risk</v>
      </c>
      <c r="AA60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0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09" t="str" cm="1">
        <f t="array" ref="AC609">_xlfn.IFS(
AND(Table1[[#This Row],[Customer service risk level]]="High risk", Table1[[#This Row],[Intl usage behaviour]]="Unplanned Usage"),"High Risk",
OR(Table1[[#This Row],[Customer service risk level]]="Medium risk", Table1[[#This Row],[Charges risk level]]="High risk "),"Medium Risk",
TRUE,"Low Risk"
)</f>
        <v>Medium Risk</v>
      </c>
    </row>
    <row r="610" spans="1:29" x14ac:dyDescent="0.25">
      <c r="A610" t="s">
        <v>49</v>
      </c>
      <c r="B610">
        <v>130</v>
      </c>
      <c r="C610">
        <v>510</v>
      </c>
      <c r="D610" t="s">
        <v>21</v>
      </c>
      <c r="E610" t="s">
        <v>21</v>
      </c>
      <c r="F610">
        <v>0</v>
      </c>
      <c r="G610">
        <v>203.9</v>
      </c>
      <c r="H610">
        <v>63</v>
      </c>
      <c r="I610">
        <v>34.659999999999997</v>
      </c>
      <c r="J610">
        <v>191.8</v>
      </c>
      <c r="K610">
        <v>93</v>
      </c>
      <c r="L610">
        <v>16.3</v>
      </c>
      <c r="M610">
        <v>132.5</v>
      </c>
      <c r="N610">
        <v>125</v>
      </c>
      <c r="O610">
        <v>5.96</v>
      </c>
      <c r="P610">
        <v>12.1</v>
      </c>
      <c r="Q610">
        <v>4</v>
      </c>
      <c r="R610">
        <v>3.27</v>
      </c>
      <c r="S610">
        <v>3</v>
      </c>
      <c r="T610" t="b">
        <v>0</v>
      </c>
      <c r="U610">
        <f>IFERROR(SUM(Table1[[#This Row],[Total day minutes]],Table1[[#This Row],[Total eve minutes]],Table1[[#This Row],[Total night minutes]],Table1[[#This Row],[Total intl minutes]]),0)</f>
        <v>540.30000000000007</v>
      </c>
      <c r="V610">
        <f>SUM(Table1[[#This Row],[Total intl charge]],Table1[[#This Row],[Total night charge]],Table1[[#This Row],[Total eve charge]],Table1[[#This Row],[Total day charge]])</f>
        <v>60.19</v>
      </c>
      <c r="W610">
        <f>SUM(Table1[[#This Row],[Total intl calls]],Table1[[#This Row],[Total night calls]],Table1[[#This Row],[Total eve calls]],Table1[[#This Row],[Total day calls]])</f>
        <v>285</v>
      </c>
      <c r="X610" t="str" cm="1">
        <f t="array" ref="X610">_xlfn.IFS(Table1[[#This Row],[Customer service calls]]&gt;=4,"High risk",Table1[[#This Row],[Customer service calls]]&gt;=2,"Medium risk",TRUE,"Low risk")</f>
        <v>Medium risk</v>
      </c>
      <c r="Y610" t="str" cm="1">
        <f t="array" ref="Y610">IFERROR(_xlfn.IFS(Table1[[#This Row],[Total usage(Min)]]&gt;=AVERAGE(U:U)*1.1,"High risk",Table1[[#This Row],[Total usage(Min)]]&lt;= AVERAGE(U:U)*0.9,"Low risk",TRUE,"Medium risk"),"N/A")</f>
        <v>Medium risk</v>
      </c>
      <c r="Z610" t="str" cm="1">
        <f t="array" ref="Z610">IFERROR(_xlfn.IFS(Table1[[#This Row],[Total charges]]&gt;=AVERAGE(V:V)*1.1,"High risk",Table1[[#This Row],[Total charges]]&lt;=AVERAGE(V:V)*0.9,"Low risk",TRUE,"Medium risk"),"N/A")</f>
        <v>Medium risk</v>
      </c>
      <c r="AA61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0" t="str" cm="1">
        <f t="array" ref="AC610">_xlfn.IFS(
AND(Table1[[#This Row],[Customer service risk level]]="High risk", Table1[[#This Row],[Intl usage behaviour]]="Unplanned Usage"),"High Risk",
OR(Table1[[#This Row],[Customer service risk level]]="Medium risk", Table1[[#This Row],[Charges risk level]]="High risk "),"Medium Risk",
TRUE,"Low Risk"
)</f>
        <v>Medium Risk</v>
      </c>
    </row>
    <row r="611" spans="1:29" x14ac:dyDescent="0.25">
      <c r="A611" t="s">
        <v>24</v>
      </c>
      <c r="B611">
        <v>111</v>
      </c>
      <c r="C611">
        <v>510</v>
      </c>
      <c r="D611" t="s">
        <v>21</v>
      </c>
      <c r="E611" t="s">
        <v>21</v>
      </c>
      <c r="F611">
        <v>0</v>
      </c>
      <c r="G611">
        <v>78.3</v>
      </c>
      <c r="H611">
        <v>119</v>
      </c>
      <c r="I611">
        <v>13.31</v>
      </c>
      <c r="J611">
        <v>198.2</v>
      </c>
      <c r="K611">
        <v>94</v>
      </c>
      <c r="L611">
        <v>16.850000000000001</v>
      </c>
      <c r="M611">
        <v>248.5</v>
      </c>
      <c r="N611">
        <v>94</v>
      </c>
      <c r="O611">
        <v>11.18</v>
      </c>
      <c r="P611">
        <v>12.1</v>
      </c>
      <c r="Q611">
        <v>4</v>
      </c>
      <c r="R611">
        <v>3.27</v>
      </c>
      <c r="S611">
        <v>1</v>
      </c>
      <c r="T611" t="b">
        <v>0</v>
      </c>
      <c r="U611">
        <f>IFERROR(SUM(Table1[[#This Row],[Total day minutes]],Table1[[#This Row],[Total eve minutes]],Table1[[#This Row],[Total night minutes]],Table1[[#This Row],[Total intl minutes]]),0)</f>
        <v>537.1</v>
      </c>
      <c r="V611">
        <f>SUM(Table1[[#This Row],[Total intl charge]],Table1[[#This Row],[Total night charge]],Table1[[#This Row],[Total eve charge]],Table1[[#This Row],[Total day charge]])</f>
        <v>44.61</v>
      </c>
      <c r="W611">
        <f>SUM(Table1[[#This Row],[Total intl calls]],Table1[[#This Row],[Total night calls]],Table1[[#This Row],[Total eve calls]],Table1[[#This Row],[Total day calls]])</f>
        <v>311</v>
      </c>
      <c r="X611" t="str" cm="1">
        <f t="array" ref="X611">_xlfn.IFS(Table1[[#This Row],[Customer service calls]]&gt;=4,"High risk",Table1[[#This Row],[Customer service calls]]&gt;=2,"Medium risk",TRUE,"Low risk")</f>
        <v>Low risk</v>
      </c>
      <c r="Y611" t="str" cm="1">
        <f t="array" ref="Y611">IFERROR(_xlfn.IFS(Table1[[#This Row],[Total usage(Min)]]&gt;=AVERAGE(U:U)*1.1,"High risk",Table1[[#This Row],[Total usage(Min)]]&lt;= AVERAGE(U:U)*0.9,"Low risk",TRUE,"Medium risk"),"N/A")</f>
        <v>Medium risk</v>
      </c>
      <c r="Z611" t="str" cm="1">
        <f t="array" ref="Z611">IFERROR(_xlfn.IFS(Table1[[#This Row],[Total charges]]&gt;=AVERAGE(V:V)*1.1,"High risk",Table1[[#This Row],[Total charges]]&lt;=AVERAGE(V:V)*0.9,"Low risk",TRUE,"Medium risk"),"N/A")</f>
        <v>Low risk</v>
      </c>
      <c r="AA61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1" t="str" cm="1">
        <f t="array" ref="AC611">_xlfn.IFS(
AND(Table1[[#This Row],[Customer service risk level]]="High risk", Table1[[#This Row],[Intl usage behaviour]]="Unplanned Usage"),"High Risk",
OR(Table1[[#This Row],[Customer service risk level]]="Medium risk", Table1[[#This Row],[Charges risk level]]="High risk "),"Medium Risk",
TRUE,"Low Risk"
)</f>
        <v>Low Risk</v>
      </c>
    </row>
    <row r="612" spans="1:29" x14ac:dyDescent="0.25">
      <c r="A612" t="s">
        <v>22</v>
      </c>
      <c r="B612">
        <v>100</v>
      </c>
      <c r="C612">
        <v>415</v>
      </c>
      <c r="D612" t="s">
        <v>21</v>
      </c>
      <c r="E612" t="s">
        <v>27</v>
      </c>
      <c r="F612">
        <v>32</v>
      </c>
      <c r="G612">
        <v>125.2</v>
      </c>
      <c r="H612">
        <v>123</v>
      </c>
      <c r="I612">
        <v>21.28</v>
      </c>
      <c r="J612">
        <v>230.9</v>
      </c>
      <c r="K612">
        <v>101</v>
      </c>
      <c r="L612">
        <v>19.63</v>
      </c>
      <c r="M612">
        <v>192</v>
      </c>
      <c r="N612">
        <v>106</v>
      </c>
      <c r="O612">
        <v>8.64</v>
      </c>
      <c r="P612">
        <v>12.6</v>
      </c>
      <c r="Q612">
        <v>9</v>
      </c>
      <c r="R612">
        <v>3.4</v>
      </c>
      <c r="S612">
        <v>3</v>
      </c>
      <c r="T612" t="b">
        <v>0</v>
      </c>
      <c r="U612">
        <f>IFERROR(SUM(Table1[[#This Row],[Total day minutes]],Table1[[#This Row],[Total eve minutes]],Table1[[#This Row],[Total night minutes]],Table1[[#This Row],[Total intl minutes]]),0)</f>
        <v>560.70000000000005</v>
      </c>
      <c r="V612">
        <f>SUM(Table1[[#This Row],[Total intl charge]],Table1[[#This Row],[Total night charge]],Table1[[#This Row],[Total eve charge]],Table1[[#This Row],[Total day charge]])</f>
        <v>52.95</v>
      </c>
      <c r="W612">
        <f>SUM(Table1[[#This Row],[Total intl calls]],Table1[[#This Row],[Total night calls]],Table1[[#This Row],[Total eve calls]],Table1[[#This Row],[Total day calls]])</f>
        <v>339</v>
      </c>
      <c r="X612" t="str" cm="1">
        <f t="array" ref="X612">_xlfn.IFS(Table1[[#This Row],[Customer service calls]]&gt;=4,"High risk",Table1[[#This Row],[Customer service calls]]&gt;=2,"Medium risk",TRUE,"Low risk")</f>
        <v>Medium risk</v>
      </c>
      <c r="Y612" t="str" cm="1">
        <f t="array" ref="Y612">IFERROR(_xlfn.IFS(Table1[[#This Row],[Total usage(Min)]]&gt;=AVERAGE(U:U)*1.1,"High risk",Table1[[#This Row],[Total usage(Min)]]&lt;= AVERAGE(U:U)*0.9,"Low risk",TRUE,"Medium risk"),"N/A")</f>
        <v>Medium risk</v>
      </c>
      <c r="Z612" t="str" cm="1">
        <f t="array" ref="Z612">IFERROR(_xlfn.IFS(Table1[[#This Row],[Total charges]]&gt;=AVERAGE(V:V)*1.1,"High risk",Table1[[#This Row],[Total charges]]&lt;=AVERAGE(V:V)*0.9,"Low risk",TRUE,"Medium risk"),"N/A")</f>
        <v>Low risk</v>
      </c>
      <c r="AA61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12" t="str" cm="1">
        <f t="array" ref="AC612">_xlfn.IFS(
AND(Table1[[#This Row],[Customer service risk level]]="High risk", Table1[[#This Row],[Intl usage behaviour]]="Unplanned Usage"),"High Risk",
OR(Table1[[#This Row],[Customer service risk level]]="Medium risk", Table1[[#This Row],[Charges risk level]]="High risk "),"Medium Risk",
TRUE,"Low Risk"
)</f>
        <v>Medium Risk</v>
      </c>
    </row>
    <row r="613" spans="1:29" x14ac:dyDescent="0.25">
      <c r="A613" t="s">
        <v>62</v>
      </c>
      <c r="B613">
        <v>57</v>
      </c>
      <c r="C613">
        <v>415</v>
      </c>
      <c r="D613" t="s">
        <v>21</v>
      </c>
      <c r="E613" t="s">
        <v>21</v>
      </c>
      <c r="F613">
        <v>0</v>
      </c>
      <c r="G613">
        <v>221.1</v>
      </c>
      <c r="H613">
        <v>101</v>
      </c>
      <c r="I613">
        <v>37.590000000000003</v>
      </c>
      <c r="J613">
        <v>236.7</v>
      </c>
      <c r="K613">
        <v>65</v>
      </c>
      <c r="L613">
        <v>20.12</v>
      </c>
      <c r="M613">
        <v>252.3</v>
      </c>
      <c r="N613">
        <v>137</v>
      </c>
      <c r="O613">
        <v>11.35</v>
      </c>
      <c r="P613">
        <v>9.5</v>
      </c>
      <c r="Q613">
        <v>1</v>
      </c>
      <c r="R613">
        <v>2.57</v>
      </c>
      <c r="S613">
        <v>0</v>
      </c>
      <c r="T613" t="b">
        <v>0</v>
      </c>
      <c r="U613">
        <f>IFERROR(SUM(Table1[[#This Row],[Total day minutes]],Table1[[#This Row],[Total eve minutes]],Table1[[#This Row],[Total night minutes]],Table1[[#This Row],[Total intl minutes]]),0)</f>
        <v>719.59999999999991</v>
      </c>
      <c r="V613">
        <f>SUM(Table1[[#This Row],[Total intl charge]],Table1[[#This Row],[Total night charge]],Table1[[#This Row],[Total eve charge]],Table1[[#This Row],[Total day charge]])</f>
        <v>71.63</v>
      </c>
      <c r="W613">
        <f>SUM(Table1[[#This Row],[Total intl calls]],Table1[[#This Row],[Total night calls]],Table1[[#This Row],[Total eve calls]],Table1[[#This Row],[Total day calls]])</f>
        <v>304</v>
      </c>
      <c r="X613" t="str" cm="1">
        <f t="array" ref="X613">_xlfn.IFS(Table1[[#This Row],[Customer service calls]]&gt;=4,"High risk",Table1[[#This Row],[Customer service calls]]&gt;=2,"Medium risk",TRUE,"Low risk")</f>
        <v>Low risk</v>
      </c>
      <c r="Y613" t="str" cm="1">
        <f t="array" ref="Y613">IFERROR(_xlfn.IFS(Table1[[#This Row],[Total usage(Min)]]&gt;=AVERAGE(U:U)*1.1,"High risk",Table1[[#This Row],[Total usage(Min)]]&lt;= AVERAGE(U:U)*0.9,"Low risk",TRUE,"Medium risk"),"N/A")</f>
        <v>High risk</v>
      </c>
      <c r="Z613" t="str" cm="1">
        <f t="array" ref="Z613">IFERROR(_xlfn.IFS(Table1[[#This Row],[Total charges]]&gt;=AVERAGE(V:V)*1.1,"High risk",Table1[[#This Row],[Total charges]]&lt;=AVERAGE(V:V)*0.9,"Low risk",TRUE,"Medium risk"),"N/A")</f>
        <v>High risk</v>
      </c>
      <c r="AA61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3" t="str" cm="1">
        <f t="array" ref="AC613">_xlfn.IFS(
AND(Table1[[#This Row],[Customer service risk level]]="High risk", Table1[[#This Row],[Intl usage behaviour]]="Unplanned Usage"),"High Risk",
OR(Table1[[#This Row],[Customer service risk level]]="Medium risk", Table1[[#This Row],[Charges risk level]]="High risk "),"Medium Risk",
TRUE,"Low Risk"
)</f>
        <v>Low Risk</v>
      </c>
    </row>
    <row r="614" spans="1:29" x14ac:dyDescent="0.25">
      <c r="A614" t="s">
        <v>58</v>
      </c>
      <c r="B614">
        <v>139</v>
      </c>
      <c r="C614">
        <v>408</v>
      </c>
      <c r="D614" t="s">
        <v>21</v>
      </c>
      <c r="E614" t="s">
        <v>21</v>
      </c>
      <c r="F614">
        <v>0</v>
      </c>
      <c r="G614">
        <v>139</v>
      </c>
      <c r="H614">
        <v>110</v>
      </c>
      <c r="I614">
        <v>23.63</v>
      </c>
      <c r="J614">
        <v>132.9</v>
      </c>
      <c r="K614">
        <v>93</v>
      </c>
      <c r="L614">
        <v>11.3</v>
      </c>
      <c r="M614">
        <v>272</v>
      </c>
      <c r="N614">
        <v>120</v>
      </c>
      <c r="O614">
        <v>12.24</v>
      </c>
      <c r="P614">
        <v>12.1</v>
      </c>
      <c r="Q614">
        <v>1</v>
      </c>
      <c r="R614">
        <v>3.27</v>
      </c>
      <c r="S614">
        <v>0</v>
      </c>
      <c r="T614" t="b">
        <v>0</v>
      </c>
      <c r="U614">
        <f>IFERROR(SUM(Table1[[#This Row],[Total day minutes]],Table1[[#This Row],[Total eve minutes]],Table1[[#This Row],[Total night minutes]],Table1[[#This Row],[Total intl minutes]]),0)</f>
        <v>556</v>
      </c>
      <c r="V614">
        <f>SUM(Table1[[#This Row],[Total intl charge]],Table1[[#This Row],[Total night charge]],Table1[[#This Row],[Total eve charge]],Table1[[#This Row],[Total day charge]])</f>
        <v>50.44</v>
      </c>
      <c r="W614">
        <f>SUM(Table1[[#This Row],[Total intl calls]],Table1[[#This Row],[Total night calls]],Table1[[#This Row],[Total eve calls]],Table1[[#This Row],[Total day calls]])</f>
        <v>324</v>
      </c>
      <c r="X614" t="str" cm="1">
        <f t="array" ref="X614">_xlfn.IFS(Table1[[#This Row],[Customer service calls]]&gt;=4,"High risk",Table1[[#This Row],[Customer service calls]]&gt;=2,"Medium risk",TRUE,"Low risk")</f>
        <v>Low risk</v>
      </c>
      <c r="Y614" t="str" cm="1">
        <f t="array" ref="Y614">IFERROR(_xlfn.IFS(Table1[[#This Row],[Total usage(Min)]]&gt;=AVERAGE(U:U)*1.1,"High risk",Table1[[#This Row],[Total usage(Min)]]&lt;= AVERAGE(U:U)*0.9,"Low risk",TRUE,"Medium risk"),"N/A")</f>
        <v>Medium risk</v>
      </c>
      <c r="Z614" t="str" cm="1">
        <f t="array" ref="Z614">IFERROR(_xlfn.IFS(Table1[[#This Row],[Total charges]]&gt;=AVERAGE(V:V)*1.1,"High risk",Table1[[#This Row],[Total charges]]&lt;=AVERAGE(V:V)*0.9,"Low risk",TRUE,"Medium risk"),"N/A")</f>
        <v>Low risk</v>
      </c>
      <c r="AA61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4" t="str" cm="1">
        <f t="array" ref="AC614">_xlfn.IFS(
AND(Table1[[#This Row],[Customer service risk level]]="High risk", Table1[[#This Row],[Intl usage behaviour]]="Unplanned Usage"),"High Risk",
OR(Table1[[#This Row],[Customer service risk level]]="Medium risk", Table1[[#This Row],[Charges risk level]]="High risk "),"Medium Risk",
TRUE,"Low Risk"
)</f>
        <v>Low Risk</v>
      </c>
    </row>
    <row r="615" spans="1:29" x14ac:dyDescent="0.25">
      <c r="A615" t="s">
        <v>47</v>
      </c>
      <c r="B615">
        <v>113</v>
      </c>
      <c r="C615">
        <v>415</v>
      </c>
      <c r="D615" t="s">
        <v>21</v>
      </c>
      <c r="E615" t="s">
        <v>21</v>
      </c>
      <c r="F615">
        <v>0</v>
      </c>
      <c r="G615">
        <v>159.80000000000001</v>
      </c>
      <c r="H615">
        <v>143</v>
      </c>
      <c r="I615">
        <v>27.17</v>
      </c>
      <c r="J615">
        <v>210.1</v>
      </c>
      <c r="K615">
        <v>93</v>
      </c>
      <c r="L615">
        <v>17.86</v>
      </c>
      <c r="M615">
        <v>175.1</v>
      </c>
      <c r="N615">
        <v>86</v>
      </c>
      <c r="O615">
        <v>7.88</v>
      </c>
      <c r="P615">
        <v>13.1</v>
      </c>
      <c r="Q615">
        <v>7</v>
      </c>
      <c r="R615">
        <v>3.54</v>
      </c>
      <c r="S615">
        <v>2</v>
      </c>
      <c r="T615" t="b">
        <v>0</v>
      </c>
      <c r="U615">
        <f>IFERROR(SUM(Table1[[#This Row],[Total day minutes]],Table1[[#This Row],[Total eve minutes]],Table1[[#This Row],[Total night minutes]],Table1[[#This Row],[Total intl minutes]]),0)</f>
        <v>558.1</v>
      </c>
      <c r="V615">
        <f>SUM(Table1[[#This Row],[Total intl charge]],Table1[[#This Row],[Total night charge]],Table1[[#This Row],[Total eve charge]],Table1[[#This Row],[Total day charge]])</f>
        <v>56.45</v>
      </c>
      <c r="W615">
        <f>SUM(Table1[[#This Row],[Total intl calls]],Table1[[#This Row],[Total night calls]],Table1[[#This Row],[Total eve calls]],Table1[[#This Row],[Total day calls]])</f>
        <v>329</v>
      </c>
      <c r="X615" t="str" cm="1">
        <f t="array" ref="X615">_xlfn.IFS(Table1[[#This Row],[Customer service calls]]&gt;=4,"High risk",Table1[[#This Row],[Customer service calls]]&gt;=2,"Medium risk",TRUE,"Low risk")</f>
        <v>Medium risk</v>
      </c>
      <c r="Y615" t="str" cm="1">
        <f t="array" ref="Y615">IFERROR(_xlfn.IFS(Table1[[#This Row],[Total usage(Min)]]&gt;=AVERAGE(U:U)*1.1,"High risk",Table1[[#This Row],[Total usage(Min)]]&lt;= AVERAGE(U:U)*0.9,"Low risk",TRUE,"Medium risk"),"N/A")</f>
        <v>Medium risk</v>
      </c>
      <c r="Z615" t="str" cm="1">
        <f t="array" ref="Z615">IFERROR(_xlfn.IFS(Table1[[#This Row],[Total charges]]&gt;=AVERAGE(V:V)*1.1,"High risk",Table1[[#This Row],[Total charges]]&lt;=AVERAGE(V:V)*0.9,"Low risk",TRUE,"Medium risk"),"N/A")</f>
        <v>Medium risk</v>
      </c>
      <c r="AA61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5" t="str" cm="1">
        <f t="array" ref="AC615">_xlfn.IFS(
AND(Table1[[#This Row],[Customer service risk level]]="High risk", Table1[[#This Row],[Intl usage behaviour]]="Unplanned Usage"),"High Risk",
OR(Table1[[#This Row],[Customer service risk level]]="Medium risk", Table1[[#This Row],[Charges risk level]]="High risk "),"Medium Risk",
TRUE,"Low Risk"
)</f>
        <v>Medium Risk</v>
      </c>
    </row>
    <row r="616" spans="1:29" x14ac:dyDescent="0.25">
      <c r="A616" t="s">
        <v>64</v>
      </c>
      <c r="B616">
        <v>108</v>
      </c>
      <c r="C616">
        <v>415</v>
      </c>
      <c r="D616" t="s">
        <v>21</v>
      </c>
      <c r="E616" t="s">
        <v>21</v>
      </c>
      <c r="F616">
        <v>0</v>
      </c>
      <c r="G616">
        <v>239.3</v>
      </c>
      <c r="H616">
        <v>102</v>
      </c>
      <c r="I616">
        <v>40.68</v>
      </c>
      <c r="J616">
        <v>223.4</v>
      </c>
      <c r="K616">
        <v>127</v>
      </c>
      <c r="L616">
        <v>18.989999999999998</v>
      </c>
      <c r="M616">
        <v>251.4</v>
      </c>
      <c r="N616">
        <v>104</v>
      </c>
      <c r="O616">
        <v>11.31</v>
      </c>
      <c r="P616">
        <v>10.6</v>
      </c>
      <c r="Q616">
        <v>6</v>
      </c>
      <c r="R616">
        <v>2.86</v>
      </c>
      <c r="S616">
        <v>0</v>
      </c>
      <c r="T616" t="b">
        <v>0</v>
      </c>
      <c r="U616">
        <f>IFERROR(SUM(Table1[[#This Row],[Total day minutes]],Table1[[#This Row],[Total eve minutes]],Table1[[#This Row],[Total night minutes]],Table1[[#This Row],[Total intl minutes]]),0)</f>
        <v>724.7</v>
      </c>
      <c r="V616">
        <f>SUM(Table1[[#This Row],[Total intl charge]],Table1[[#This Row],[Total night charge]],Table1[[#This Row],[Total eve charge]],Table1[[#This Row],[Total day charge]])</f>
        <v>73.84</v>
      </c>
      <c r="W616">
        <f>SUM(Table1[[#This Row],[Total intl calls]],Table1[[#This Row],[Total night calls]],Table1[[#This Row],[Total eve calls]],Table1[[#This Row],[Total day calls]])</f>
        <v>339</v>
      </c>
      <c r="X616" t="str" cm="1">
        <f t="array" ref="X616">_xlfn.IFS(Table1[[#This Row],[Customer service calls]]&gt;=4,"High risk",Table1[[#This Row],[Customer service calls]]&gt;=2,"Medium risk",TRUE,"Low risk")</f>
        <v>Low risk</v>
      </c>
      <c r="Y616" t="str" cm="1">
        <f t="array" ref="Y616">IFERROR(_xlfn.IFS(Table1[[#This Row],[Total usage(Min)]]&gt;=AVERAGE(U:U)*1.1,"High risk",Table1[[#This Row],[Total usage(Min)]]&lt;= AVERAGE(U:U)*0.9,"Low risk",TRUE,"Medium risk"),"N/A")</f>
        <v>High risk</v>
      </c>
      <c r="Z616" t="str" cm="1">
        <f t="array" ref="Z616">IFERROR(_xlfn.IFS(Table1[[#This Row],[Total charges]]&gt;=AVERAGE(V:V)*1.1,"High risk",Table1[[#This Row],[Total charges]]&lt;=AVERAGE(V:V)*0.9,"Low risk",TRUE,"Medium risk"),"N/A")</f>
        <v>High risk</v>
      </c>
      <c r="AA61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6" t="str" cm="1">
        <f t="array" ref="AC616">_xlfn.IFS(
AND(Table1[[#This Row],[Customer service risk level]]="High risk", Table1[[#This Row],[Intl usage behaviour]]="Unplanned Usage"),"High Risk",
OR(Table1[[#This Row],[Customer service risk level]]="Medium risk", Table1[[#This Row],[Charges risk level]]="High risk "),"Medium Risk",
TRUE,"Low Risk"
)</f>
        <v>Low Risk</v>
      </c>
    </row>
    <row r="617" spans="1:29" x14ac:dyDescent="0.25">
      <c r="A617" t="s">
        <v>34</v>
      </c>
      <c r="B617">
        <v>100</v>
      </c>
      <c r="C617">
        <v>415</v>
      </c>
      <c r="D617" t="s">
        <v>21</v>
      </c>
      <c r="E617" t="s">
        <v>21</v>
      </c>
      <c r="F617">
        <v>0</v>
      </c>
      <c r="G617">
        <v>113.3</v>
      </c>
      <c r="H617">
        <v>96</v>
      </c>
      <c r="I617">
        <v>19.260000000000002</v>
      </c>
      <c r="J617">
        <v>197.9</v>
      </c>
      <c r="K617">
        <v>89</v>
      </c>
      <c r="L617">
        <v>16.82</v>
      </c>
      <c r="M617">
        <v>284.5</v>
      </c>
      <c r="N617">
        <v>93</v>
      </c>
      <c r="O617">
        <v>12.8</v>
      </c>
      <c r="P617">
        <v>11.7</v>
      </c>
      <c r="Q617">
        <v>2</v>
      </c>
      <c r="R617">
        <v>3.16</v>
      </c>
      <c r="S617">
        <v>4</v>
      </c>
      <c r="T617" t="b">
        <v>1</v>
      </c>
      <c r="U617">
        <f>IFERROR(SUM(Table1[[#This Row],[Total day minutes]],Table1[[#This Row],[Total eve minutes]],Table1[[#This Row],[Total night minutes]],Table1[[#This Row],[Total intl minutes]]),0)</f>
        <v>607.40000000000009</v>
      </c>
      <c r="V617">
        <f>SUM(Table1[[#This Row],[Total intl charge]],Table1[[#This Row],[Total night charge]],Table1[[#This Row],[Total eve charge]],Table1[[#This Row],[Total day charge]])</f>
        <v>52.040000000000006</v>
      </c>
      <c r="W617">
        <f>SUM(Table1[[#This Row],[Total intl calls]],Table1[[#This Row],[Total night calls]],Table1[[#This Row],[Total eve calls]],Table1[[#This Row],[Total day calls]])</f>
        <v>280</v>
      </c>
      <c r="X617" t="str" cm="1">
        <f t="array" ref="X617">_xlfn.IFS(Table1[[#This Row],[Customer service calls]]&gt;=4,"High risk",Table1[[#This Row],[Customer service calls]]&gt;=2,"Medium risk",TRUE,"Low risk")</f>
        <v>High risk</v>
      </c>
      <c r="Y617" t="str" cm="1">
        <f t="array" ref="Y617">IFERROR(_xlfn.IFS(Table1[[#This Row],[Total usage(Min)]]&gt;=AVERAGE(U:U)*1.1,"High risk",Table1[[#This Row],[Total usage(Min)]]&lt;= AVERAGE(U:U)*0.9,"Low risk",TRUE,"Medium risk"),"N/A")</f>
        <v>Medium risk</v>
      </c>
      <c r="Z617" t="str" cm="1">
        <f t="array" ref="Z617">IFERROR(_xlfn.IFS(Table1[[#This Row],[Total charges]]&gt;=AVERAGE(V:V)*1.1,"High risk",Table1[[#This Row],[Total charges]]&lt;=AVERAGE(V:V)*0.9,"Low risk",TRUE,"Medium risk"),"N/A")</f>
        <v>Low risk</v>
      </c>
      <c r="AA61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7" t="str" cm="1">
        <f t="array" ref="AC617">_xlfn.IFS(
AND(Table1[[#This Row],[Customer service risk level]]="High risk", Table1[[#This Row],[Intl usage behaviour]]="Unplanned Usage"),"High Risk",
OR(Table1[[#This Row],[Customer service risk level]]="Medium risk", Table1[[#This Row],[Charges risk level]]="High risk "),"Medium Risk",
TRUE,"Low Risk"
)</f>
        <v>High Risk</v>
      </c>
    </row>
    <row r="618" spans="1:29" x14ac:dyDescent="0.25">
      <c r="A618" t="s">
        <v>66</v>
      </c>
      <c r="B618">
        <v>120</v>
      </c>
      <c r="C618">
        <v>510</v>
      </c>
      <c r="D618" t="s">
        <v>21</v>
      </c>
      <c r="E618" t="s">
        <v>21</v>
      </c>
      <c r="F618">
        <v>0</v>
      </c>
      <c r="G618">
        <v>192.6</v>
      </c>
      <c r="H618">
        <v>123</v>
      </c>
      <c r="I618">
        <v>32.74</v>
      </c>
      <c r="J618">
        <v>206.4</v>
      </c>
      <c r="K618">
        <v>105</v>
      </c>
      <c r="L618">
        <v>17.54</v>
      </c>
      <c r="M618">
        <v>283.2</v>
      </c>
      <c r="N618">
        <v>93</v>
      </c>
      <c r="O618">
        <v>12.74</v>
      </c>
      <c r="P618">
        <v>10.8</v>
      </c>
      <c r="Q618">
        <v>3</v>
      </c>
      <c r="R618">
        <v>2.92</v>
      </c>
      <c r="S618">
        <v>1</v>
      </c>
      <c r="T618" t="b">
        <v>0</v>
      </c>
      <c r="U618">
        <f>IFERROR(SUM(Table1[[#This Row],[Total day minutes]],Table1[[#This Row],[Total eve minutes]],Table1[[#This Row],[Total night minutes]],Table1[[#This Row],[Total intl minutes]]),0)</f>
        <v>693</v>
      </c>
      <c r="V618">
        <f>SUM(Table1[[#This Row],[Total intl charge]],Table1[[#This Row],[Total night charge]],Table1[[#This Row],[Total eve charge]],Table1[[#This Row],[Total day charge]])</f>
        <v>65.94</v>
      </c>
      <c r="W618">
        <f>SUM(Table1[[#This Row],[Total intl calls]],Table1[[#This Row],[Total night calls]],Table1[[#This Row],[Total eve calls]],Table1[[#This Row],[Total day calls]])</f>
        <v>324</v>
      </c>
      <c r="X618" t="str" cm="1">
        <f t="array" ref="X618">_xlfn.IFS(Table1[[#This Row],[Customer service calls]]&gt;=4,"High risk",Table1[[#This Row],[Customer service calls]]&gt;=2,"Medium risk",TRUE,"Low risk")</f>
        <v>Low risk</v>
      </c>
      <c r="Y618" t="str" cm="1">
        <f t="array" ref="Y618">IFERROR(_xlfn.IFS(Table1[[#This Row],[Total usage(Min)]]&gt;=AVERAGE(U:U)*1.1,"High risk",Table1[[#This Row],[Total usage(Min)]]&lt;= AVERAGE(U:U)*0.9,"Low risk",TRUE,"Medium risk"),"N/A")</f>
        <v>High risk</v>
      </c>
      <c r="Z618" t="str" cm="1">
        <f t="array" ref="Z618">IFERROR(_xlfn.IFS(Table1[[#This Row],[Total charges]]&gt;=AVERAGE(V:V)*1.1,"High risk",Table1[[#This Row],[Total charges]]&lt;=AVERAGE(V:V)*0.9,"Low risk",TRUE,"Medium risk"),"N/A")</f>
        <v>High risk</v>
      </c>
      <c r="AA61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18" t="str" cm="1">
        <f t="array" ref="AC618">_xlfn.IFS(
AND(Table1[[#This Row],[Customer service risk level]]="High risk", Table1[[#This Row],[Intl usage behaviour]]="Unplanned Usage"),"High Risk",
OR(Table1[[#This Row],[Customer service risk level]]="Medium risk", Table1[[#This Row],[Charges risk level]]="High risk "),"Medium Risk",
TRUE,"Low Risk"
)</f>
        <v>Low Risk</v>
      </c>
    </row>
    <row r="619" spans="1:29" x14ac:dyDescent="0.25">
      <c r="A619" t="s">
        <v>64</v>
      </c>
      <c r="B619">
        <v>107</v>
      </c>
      <c r="C619">
        <v>408</v>
      </c>
      <c r="D619" t="s">
        <v>21</v>
      </c>
      <c r="E619" t="s">
        <v>27</v>
      </c>
      <c r="F619">
        <v>36</v>
      </c>
      <c r="G619">
        <v>96.3</v>
      </c>
      <c r="H619">
        <v>83</v>
      </c>
      <c r="I619">
        <v>16.37</v>
      </c>
      <c r="J619">
        <v>179.6</v>
      </c>
      <c r="K619">
        <v>91</v>
      </c>
      <c r="L619">
        <v>15.27</v>
      </c>
      <c r="M619">
        <v>166.3</v>
      </c>
      <c r="N619">
        <v>121</v>
      </c>
      <c r="O619">
        <v>7.48</v>
      </c>
      <c r="P619">
        <v>10.3</v>
      </c>
      <c r="Q619">
        <v>2</v>
      </c>
      <c r="R619">
        <v>2.78</v>
      </c>
      <c r="S619">
        <v>1</v>
      </c>
      <c r="T619" t="b">
        <v>0</v>
      </c>
      <c r="U619">
        <f>IFERROR(SUM(Table1[[#This Row],[Total day minutes]],Table1[[#This Row],[Total eve minutes]],Table1[[#This Row],[Total night minutes]],Table1[[#This Row],[Total intl minutes]]),0)</f>
        <v>452.5</v>
      </c>
      <c r="V619">
        <f>SUM(Table1[[#This Row],[Total intl charge]],Table1[[#This Row],[Total night charge]],Table1[[#This Row],[Total eve charge]],Table1[[#This Row],[Total day charge]])</f>
        <v>41.900000000000006</v>
      </c>
      <c r="W619">
        <f>SUM(Table1[[#This Row],[Total intl calls]],Table1[[#This Row],[Total night calls]],Table1[[#This Row],[Total eve calls]],Table1[[#This Row],[Total day calls]])</f>
        <v>297</v>
      </c>
      <c r="X619" t="str" cm="1">
        <f t="array" ref="X619">_xlfn.IFS(Table1[[#This Row],[Customer service calls]]&gt;=4,"High risk",Table1[[#This Row],[Customer service calls]]&gt;=2,"Medium risk",TRUE,"Low risk")</f>
        <v>Low risk</v>
      </c>
      <c r="Y619" t="str" cm="1">
        <f t="array" ref="Y619">IFERROR(_xlfn.IFS(Table1[[#This Row],[Total usage(Min)]]&gt;=AVERAGE(U:U)*1.1,"High risk",Table1[[#This Row],[Total usage(Min)]]&lt;= AVERAGE(U:U)*0.9,"Low risk",TRUE,"Medium risk"),"N/A")</f>
        <v>Low risk</v>
      </c>
      <c r="Z619" t="str" cm="1">
        <f t="array" ref="Z619">IFERROR(_xlfn.IFS(Table1[[#This Row],[Total charges]]&gt;=AVERAGE(V:V)*1.1,"High risk",Table1[[#This Row],[Total charges]]&lt;=AVERAGE(V:V)*0.9,"Low risk",TRUE,"Medium risk"),"N/A")</f>
        <v>Low risk</v>
      </c>
      <c r="AA61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1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19" t="str" cm="1">
        <f t="array" ref="AC619">_xlfn.IFS(
AND(Table1[[#This Row],[Customer service risk level]]="High risk", Table1[[#This Row],[Intl usage behaviour]]="Unplanned Usage"),"High Risk",
OR(Table1[[#This Row],[Customer service risk level]]="Medium risk", Table1[[#This Row],[Charges risk level]]="High risk "),"Medium Risk",
TRUE,"Low Risk"
)</f>
        <v>Low Risk</v>
      </c>
    </row>
    <row r="620" spans="1:29" x14ac:dyDescent="0.25">
      <c r="A620" t="s">
        <v>22</v>
      </c>
      <c r="B620">
        <v>104</v>
      </c>
      <c r="C620">
        <v>408</v>
      </c>
      <c r="D620" t="s">
        <v>21</v>
      </c>
      <c r="E620" t="s">
        <v>21</v>
      </c>
      <c r="F620">
        <v>0</v>
      </c>
      <c r="G620">
        <v>280.39999999999998</v>
      </c>
      <c r="H620">
        <v>127</v>
      </c>
      <c r="I620">
        <v>47.67</v>
      </c>
      <c r="J620">
        <v>179.4</v>
      </c>
      <c r="K620">
        <v>79</v>
      </c>
      <c r="L620">
        <v>15.25</v>
      </c>
      <c r="M620">
        <v>150.6</v>
      </c>
      <c r="N620">
        <v>77</v>
      </c>
      <c r="O620">
        <v>6.78</v>
      </c>
      <c r="P620">
        <v>15.2</v>
      </c>
      <c r="Q620">
        <v>6</v>
      </c>
      <c r="R620">
        <v>4.0999999999999996</v>
      </c>
      <c r="S620">
        <v>5</v>
      </c>
      <c r="T620" t="b">
        <v>0</v>
      </c>
      <c r="U620">
        <f>IFERROR(SUM(Table1[[#This Row],[Total day minutes]],Table1[[#This Row],[Total eve minutes]],Table1[[#This Row],[Total night minutes]],Table1[[#This Row],[Total intl minutes]]),0)</f>
        <v>625.6</v>
      </c>
      <c r="V620">
        <f>SUM(Table1[[#This Row],[Total intl charge]],Table1[[#This Row],[Total night charge]],Table1[[#This Row],[Total eve charge]],Table1[[#This Row],[Total day charge]])</f>
        <v>73.8</v>
      </c>
      <c r="W620">
        <f>SUM(Table1[[#This Row],[Total intl calls]],Table1[[#This Row],[Total night calls]],Table1[[#This Row],[Total eve calls]],Table1[[#This Row],[Total day calls]])</f>
        <v>289</v>
      </c>
      <c r="X620" t="str" cm="1">
        <f t="array" ref="X620">_xlfn.IFS(Table1[[#This Row],[Customer service calls]]&gt;=4,"High risk",Table1[[#This Row],[Customer service calls]]&gt;=2,"Medium risk",TRUE,"Low risk")</f>
        <v>High risk</v>
      </c>
      <c r="Y620" t="str" cm="1">
        <f t="array" ref="Y620">IFERROR(_xlfn.IFS(Table1[[#This Row],[Total usage(Min)]]&gt;=AVERAGE(U:U)*1.1,"High risk",Table1[[#This Row],[Total usage(Min)]]&lt;= AVERAGE(U:U)*0.9,"Low risk",TRUE,"Medium risk"),"N/A")</f>
        <v>Medium risk</v>
      </c>
      <c r="Z620" t="str" cm="1">
        <f t="array" ref="Z620">IFERROR(_xlfn.IFS(Table1[[#This Row],[Total charges]]&gt;=AVERAGE(V:V)*1.1,"High risk",Table1[[#This Row],[Total charges]]&lt;=AVERAGE(V:V)*0.9,"Low risk",TRUE,"Medium risk"),"N/A")</f>
        <v>High risk</v>
      </c>
      <c r="AA62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0" t="str" cm="1">
        <f t="array" ref="AC620">_xlfn.IFS(
AND(Table1[[#This Row],[Customer service risk level]]="High risk", Table1[[#This Row],[Intl usage behaviour]]="Unplanned Usage"),"High Risk",
OR(Table1[[#This Row],[Customer service risk level]]="Medium risk", Table1[[#This Row],[Charges risk level]]="High risk "),"Medium Risk",
TRUE,"Low Risk"
)</f>
        <v>High Risk</v>
      </c>
    </row>
    <row r="621" spans="1:29" x14ac:dyDescent="0.25">
      <c r="A621" t="s">
        <v>46</v>
      </c>
      <c r="B621">
        <v>62</v>
      </c>
      <c r="C621">
        <v>415</v>
      </c>
      <c r="D621" t="s">
        <v>21</v>
      </c>
      <c r="E621" t="s">
        <v>21</v>
      </c>
      <c r="F621">
        <v>0</v>
      </c>
      <c r="G621">
        <v>245.3</v>
      </c>
      <c r="H621">
        <v>91</v>
      </c>
      <c r="I621">
        <v>41.7</v>
      </c>
      <c r="J621">
        <v>122.9</v>
      </c>
      <c r="K621">
        <v>130</v>
      </c>
      <c r="L621">
        <v>10.45</v>
      </c>
      <c r="M621">
        <v>228.4</v>
      </c>
      <c r="N621">
        <v>102</v>
      </c>
      <c r="O621">
        <v>10.28</v>
      </c>
      <c r="P621">
        <v>8.5</v>
      </c>
      <c r="Q621">
        <v>4</v>
      </c>
      <c r="R621">
        <v>2.2999999999999998</v>
      </c>
      <c r="S621">
        <v>4</v>
      </c>
      <c r="T621" t="b">
        <v>0</v>
      </c>
      <c r="U621">
        <f>IFERROR(SUM(Table1[[#This Row],[Total day minutes]],Table1[[#This Row],[Total eve minutes]],Table1[[#This Row],[Total night minutes]],Table1[[#This Row],[Total intl minutes]]),0)</f>
        <v>605.1</v>
      </c>
      <c r="V621">
        <f>SUM(Table1[[#This Row],[Total intl charge]],Table1[[#This Row],[Total night charge]],Table1[[#This Row],[Total eve charge]],Table1[[#This Row],[Total day charge]])</f>
        <v>64.73</v>
      </c>
      <c r="W621">
        <f>SUM(Table1[[#This Row],[Total intl calls]],Table1[[#This Row],[Total night calls]],Table1[[#This Row],[Total eve calls]],Table1[[#This Row],[Total day calls]])</f>
        <v>327</v>
      </c>
      <c r="X621" t="str" cm="1">
        <f t="array" ref="X621">_xlfn.IFS(Table1[[#This Row],[Customer service calls]]&gt;=4,"High risk",Table1[[#This Row],[Customer service calls]]&gt;=2,"Medium risk",TRUE,"Low risk")</f>
        <v>High risk</v>
      </c>
      <c r="Y621" t="str" cm="1">
        <f t="array" ref="Y621">IFERROR(_xlfn.IFS(Table1[[#This Row],[Total usage(Min)]]&gt;=AVERAGE(U:U)*1.1,"High risk",Table1[[#This Row],[Total usage(Min)]]&lt;= AVERAGE(U:U)*0.9,"Low risk",TRUE,"Medium risk"),"N/A")</f>
        <v>Medium risk</v>
      </c>
      <c r="Z621" t="str" cm="1">
        <f t="array" ref="Z621">IFERROR(_xlfn.IFS(Table1[[#This Row],[Total charges]]&gt;=AVERAGE(V:V)*1.1,"High risk",Table1[[#This Row],[Total charges]]&lt;=AVERAGE(V:V)*0.9,"Low risk",TRUE,"Medium risk"),"N/A")</f>
        <v>Medium risk</v>
      </c>
      <c r="AA62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1" t="str" cm="1">
        <f t="array" ref="AC621">_xlfn.IFS(
AND(Table1[[#This Row],[Customer service risk level]]="High risk", Table1[[#This Row],[Intl usage behaviour]]="Unplanned Usage"),"High Risk",
OR(Table1[[#This Row],[Customer service risk level]]="Medium risk", Table1[[#This Row],[Charges risk level]]="High risk "),"Medium Risk",
TRUE,"Low Risk"
)</f>
        <v>High Risk</v>
      </c>
    </row>
    <row r="622" spans="1:29" x14ac:dyDescent="0.25">
      <c r="A622" t="s">
        <v>34</v>
      </c>
      <c r="B622">
        <v>34</v>
      </c>
      <c r="C622">
        <v>415</v>
      </c>
      <c r="D622" t="s">
        <v>21</v>
      </c>
      <c r="E622" t="s">
        <v>27</v>
      </c>
      <c r="F622">
        <v>14</v>
      </c>
      <c r="G622">
        <v>151.5</v>
      </c>
      <c r="H622">
        <v>100</v>
      </c>
      <c r="I622">
        <v>25.76</v>
      </c>
      <c r="J622">
        <v>248.7</v>
      </c>
      <c r="K622">
        <v>126</v>
      </c>
      <c r="L622">
        <v>21.14</v>
      </c>
      <c r="M622">
        <v>199.8</v>
      </c>
      <c r="N622">
        <v>120</v>
      </c>
      <c r="O622">
        <v>8.99</v>
      </c>
      <c r="P622">
        <v>10.7</v>
      </c>
      <c r="Q622">
        <v>5</v>
      </c>
      <c r="R622">
        <v>2.89</v>
      </c>
      <c r="S622">
        <v>2</v>
      </c>
      <c r="T622" t="b">
        <v>0</v>
      </c>
      <c r="U622">
        <f>IFERROR(SUM(Table1[[#This Row],[Total day minutes]],Table1[[#This Row],[Total eve minutes]],Table1[[#This Row],[Total night minutes]],Table1[[#This Row],[Total intl minutes]]),0)</f>
        <v>610.70000000000005</v>
      </c>
      <c r="V622">
        <f>SUM(Table1[[#This Row],[Total intl charge]],Table1[[#This Row],[Total night charge]],Table1[[#This Row],[Total eve charge]],Table1[[#This Row],[Total day charge]])</f>
        <v>58.78</v>
      </c>
      <c r="W622">
        <f>SUM(Table1[[#This Row],[Total intl calls]],Table1[[#This Row],[Total night calls]],Table1[[#This Row],[Total eve calls]],Table1[[#This Row],[Total day calls]])</f>
        <v>351</v>
      </c>
      <c r="X622" t="str" cm="1">
        <f t="array" ref="X622">_xlfn.IFS(Table1[[#This Row],[Customer service calls]]&gt;=4,"High risk",Table1[[#This Row],[Customer service calls]]&gt;=2,"Medium risk",TRUE,"Low risk")</f>
        <v>Medium risk</v>
      </c>
      <c r="Y622" t="str" cm="1">
        <f t="array" ref="Y622">IFERROR(_xlfn.IFS(Table1[[#This Row],[Total usage(Min)]]&gt;=AVERAGE(U:U)*1.1,"High risk",Table1[[#This Row],[Total usage(Min)]]&lt;= AVERAGE(U:U)*0.9,"Low risk",TRUE,"Medium risk"),"N/A")</f>
        <v>Medium risk</v>
      </c>
      <c r="Z622" t="str" cm="1">
        <f t="array" ref="Z622">IFERROR(_xlfn.IFS(Table1[[#This Row],[Total charges]]&gt;=AVERAGE(V:V)*1.1,"High risk",Table1[[#This Row],[Total charges]]&lt;=AVERAGE(V:V)*0.9,"Low risk",TRUE,"Medium risk"),"N/A")</f>
        <v>Medium risk</v>
      </c>
      <c r="AA62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22" t="str" cm="1">
        <f t="array" ref="AC622">_xlfn.IFS(
AND(Table1[[#This Row],[Customer service risk level]]="High risk", Table1[[#This Row],[Intl usage behaviour]]="Unplanned Usage"),"High Risk",
OR(Table1[[#This Row],[Customer service risk level]]="Medium risk", Table1[[#This Row],[Charges risk level]]="High risk "),"Medium Risk",
TRUE,"Low Risk"
)</f>
        <v>Medium Risk</v>
      </c>
    </row>
    <row r="623" spans="1:29" x14ac:dyDescent="0.25">
      <c r="A623" t="s">
        <v>46</v>
      </c>
      <c r="B623">
        <v>183</v>
      </c>
      <c r="C623">
        <v>415</v>
      </c>
      <c r="D623" t="s">
        <v>21</v>
      </c>
      <c r="E623" t="s">
        <v>21</v>
      </c>
      <c r="F623">
        <v>0</v>
      </c>
      <c r="G623">
        <v>190</v>
      </c>
      <c r="H623">
        <v>100</v>
      </c>
      <c r="I623">
        <v>32.299999999999997</v>
      </c>
      <c r="J623">
        <v>246.6</v>
      </c>
      <c r="K623">
        <v>78</v>
      </c>
      <c r="L623">
        <v>20.96</v>
      </c>
      <c r="M623">
        <v>304.2</v>
      </c>
      <c r="N623">
        <v>107</v>
      </c>
      <c r="O623">
        <v>13.69</v>
      </c>
      <c r="P623">
        <v>9.5</v>
      </c>
      <c r="Q623">
        <v>4</v>
      </c>
      <c r="R623">
        <v>2.57</v>
      </c>
      <c r="S623">
        <v>1</v>
      </c>
      <c r="T623" t="b">
        <v>0</v>
      </c>
      <c r="U623">
        <f>IFERROR(SUM(Table1[[#This Row],[Total day minutes]],Table1[[#This Row],[Total eve minutes]],Table1[[#This Row],[Total night minutes]],Table1[[#This Row],[Total intl minutes]]),0)</f>
        <v>750.3</v>
      </c>
      <c r="V623">
        <f>SUM(Table1[[#This Row],[Total intl charge]],Table1[[#This Row],[Total night charge]],Table1[[#This Row],[Total eve charge]],Table1[[#This Row],[Total day charge]])</f>
        <v>69.52</v>
      </c>
      <c r="W623">
        <f>SUM(Table1[[#This Row],[Total intl calls]],Table1[[#This Row],[Total night calls]],Table1[[#This Row],[Total eve calls]],Table1[[#This Row],[Total day calls]])</f>
        <v>289</v>
      </c>
      <c r="X623" t="str" cm="1">
        <f t="array" ref="X623">_xlfn.IFS(Table1[[#This Row],[Customer service calls]]&gt;=4,"High risk",Table1[[#This Row],[Customer service calls]]&gt;=2,"Medium risk",TRUE,"Low risk")</f>
        <v>Low risk</v>
      </c>
      <c r="Y623" t="str" cm="1">
        <f t="array" ref="Y623">IFERROR(_xlfn.IFS(Table1[[#This Row],[Total usage(Min)]]&gt;=AVERAGE(U:U)*1.1,"High risk",Table1[[#This Row],[Total usage(Min)]]&lt;= AVERAGE(U:U)*0.9,"Low risk",TRUE,"Medium risk"),"N/A")</f>
        <v>High risk</v>
      </c>
      <c r="Z623" t="str" cm="1">
        <f t="array" ref="Z623">IFERROR(_xlfn.IFS(Table1[[#This Row],[Total charges]]&gt;=AVERAGE(V:V)*1.1,"High risk",Table1[[#This Row],[Total charges]]&lt;=AVERAGE(V:V)*0.9,"Low risk",TRUE,"Medium risk"),"N/A")</f>
        <v>High risk</v>
      </c>
      <c r="AA62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3" t="str" cm="1">
        <f t="array" ref="AC623">_xlfn.IFS(
AND(Table1[[#This Row],[Customer service risk level]]="High risk", Table1[[#This Row],[Intl usage behaviour]]="Unplanned Usage"),"High Risk",
OR(Table1[[#This Row],[Customer service risk level]]="Medium risk", Table1[[#This Row],[Charges risk level]]="High risk "),"Medium Risk",
TRUE,"Low Risk"
)</f>
        <v>Low Risk</v>
      </c>
    </row>
    <row r="624" spans="1:29" x14ac:dyDescent="0.25">
      <c r="A624" t="s">
        <v>63</v>
      </c>
      <c r="B624">
        <v>123</v>
      </c>
      <c r="C624">
        <v>408</v>
      </c>
      <c r="D624" t="s">
        <v>21</v>
      </c>
      <c r="E624" t="s">
        <v>21</v>
      </c>
      <c r="F624">
        <v>0</v>
      </c>
      <c r="G624">
        <v>114.8</v>
      </c>
      <c r="H624">
        <v>94</v>
      </c>
      <c r="I624">
        <v>19.52</v>
      </c>
      <c r="J624">
        <v>150</v>
      </c>
      <c r="K624">
        <v>104</v>
      </c>
      <c r="L624">
        <v>12.75</v>
      </c>
      <c r="M624">
        <v>268.60000000000002</v>
      </c>
      <c r="N624">
        <v>119</v>
      </c>
      <c r="O624">
        <v>12.09</v>
      </c>
      <c r="P624">
        <v>9.6</v>
      </c>
      <c r="Q624">
        <v>4</v>
      </c>
      <c r="R624">
        <v>2.59</v>
      </c>
      <c r="S624">
        <v>2</v>
      </c>
      <c r="T624" t="b">
        <v>0</v>
      </c>
      <c r="U624">
        <f>IFERROR(SUM(Table1[[#This Row],[Total day minutes]],Table1[[#This Row],[Total eve minutes]],Table1[[#This Row],[Total night minutes]],Table1[[#This Row],[Total intl minutes]]),0)</f>
        <v>543.00000000000011</v>
      </c>
      <c r="V624">
        <f>SUM(Table1[[#This Row],[Total intl charge]],Table1[[#This Row],[Total night charge]],Table1[[#This Row],[Total eve charge]],Table1[[#This Row],[Total day charge]])</f>
        <v>46.95</v>
      </c>
      <c r="W624">
        <f>SUM(Table1[[#This Row],[Total intl calls]],Table1[[#This Row],[Total night calls]],Table1[[#This Row],[Total eve calls]],Table1[[#This Row],[Total day calls]])</f>
        <v>321</v>
      </c>
      <c r="X624" t="str" cm="1">
        <f t="array" ref="X624">_xlfn.IFS(Table1[[#This Row],[Customer service calls]]&gt;=4,"High risk",Table1[[#This Row],[Customer service calls]]&gt;=2,"Medium risk",TRUE,"Low risk")</f>
        <v>Medium risk</v>
      </c>
      <c r="Y624" t="str" cm="1">
        <f t="array" ref="Y624">IFERROR(_xlfn.IFS(Table1[[#This Row],[Total usage(Min)]]&gt;=AVERAGE(U:U)*1.1,"High risk",Table1[[#This Row],[Total usage(Min)]]&lt;= AVERAGE(U:U)*0.9,"Low risk",TRUE,"Medium risk"),"N/A")</f>
        <v>Medium risk</v>
      </c>
      <c r="Z624" t="str" cm="1">
        <f t="array" ref="Z624">IFERROR(_xlfn.IFS(Table1[[#This Row],[Total charges]]&gt;=AVERAGE(V:V)*1.1,"High risk",Table1[[#This Row],[Total charges]]&lt;=AVERAGE(V:V)*0.9,"Low risk",TRUE,"Medium risk"),"N/A")</f>
        <v>Low risk</v>
      </c>
      <c r="AA62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4" t="str" cm="1">
        <f t="array" ref="AC624">_xlfn.IFS(
AND(Table1[[#This Row],[Customer service risk level]]="High risk", Table1[[#This Row],[Intl usage behaviour]]="Unplanned Usage"),"High Risk",
OR(Table1[[#This Row],[Customer service risk level]]="Medium risk", Table1[[#This Row],[Charges risk level]]="High risk "),"Medium Risk",
TRUE,"Low Risk"
)</f>
        <v>Medium Risk</v>
      </c>
    </row>
    <row r="625" spans="1:29" x14ac:dyDescent="0.25">
      <c r="A625" t="s">
        <v>22</v>
      </c>
      <c r="B625">
        <v>64</v>
      </c>
      <c r="C625">
        <v>408</v>
      </c>
      <c r="D625" t="s">
        <v>21</v>
      </c>
      <c r="E625" t="s">
        <v>21</v>
      </c>
      <c r="F625">
        <v>0</v>
      </c>
      <c r="G625">
        <v>113.8</v>
      </c>
      <c r="H625">
        <v>97</v>
      </c>
      <c r="I625">
        <v>19.350000000000001</v>
      </c>
      <c r="J625">
        <v>192.3</v>
      </c>
      <c r="K625">
        <v>97</v>
      </c>
      <c r="L625">
        <v>16.350000000000001</v>
      </c>
      <c r="M625">
        <v>214.9</v>
      </c>
      <c r="N625">
        <v>89</v>
      </c>
      <c r="O625">
        <v>9.67</v>
      </c>
      <c r="P625">
        <v>10.4</v>
      </c>
      <c r="Q625">
        <v>1</v>
      </c>
      <c r="R625">
        <v>2.81</v>
      </c>
      <c r="S625">
        <v>3</v>
      </c>
      <c r="T625" t="b">
        <v>0</v>
      </c>
      <c r="U625">
        <f>IFERROR(SUM(Table1[[#This Row],[Total day minutes]],Table1[[#This Row],[Total eve minutes]],Table1[[#This Row],[Total night minutes]],Table1[[#This Row],[Total intl minutes]]),0)</f>
        <v>531.4</v>
      </c>
      <c r="V625">
        <f>SUM(Table1[[#This Row],[Total intl charge]],Table1[[#This Row],[Total night charge]],Table1[[#This Row],[Total eve charge]],Table1[[#This Row],[Total day charge]])</f>
        <v>48.180000000000007</v>
      </c>
      <c r="W625">
        <f>SUM(Table1[[#This Row],[Total intl calls]],Table1[[#This Row],[Total night calls]],Table1[[#This Row],[Total eve calls]],Table1[[#This Row],[Total day calls]])</f>
        <v>284</v>
      </c>
      <c r="X625" t="str" cm="1">
        <f t="array" ref="X625">_xlfn.IFS(Table1[[#This Row],[Customer service calls]]&gt;=4,"High risk",Table1[[#This Row],[Customer service calls]]&gt;=2,"Medium risk",TRUE,"Low risk")</f>
        <v>Medium risk</v>
      </c>
      <c r="Y625" t="str" cm="1">
        <f t="array" ref="Y625">IFERROR(_xlfn.IFS(Table1[[#This Row],[Total usage(Min)]]&gt;=AVERAGE(U:U)*1.1,"High risk",Table1[[#This Row],[Total usage(Min)]]&lt;= AVERAGE(U:U)*0.9,"Low risk",TRUE,"Medium risk"),"N/A")</f>
        <v>Low risk</v>
      </c>
      <c r="Z625" t="str" cm="1">
        <f t="array" ref="Z625">IFERROR(_xlfn.IFS(Table1[[#This Row],[Total charges]]&gt;=AVERAGE(V:V)*1.1,"High risk",Table1[[#This Row],[Total charges]]&lt;=AVERAGE(V:V)*0.9,"Low risk",TRUE,"Medium risk"),"N/A")</f>
        <v>Low risk</v>
      </c>
      <c r="AA62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5" t="str" cm="1">
        <f t="array" ref="AC625">_xlfn.IFS(
AND(Table1[[#This Row],[Customer service risk level]]="High risk", Table1[[#This Row],[Intl usage behaviour]]="Unplanned Usage"),"High Risk",
OR(Table1[[#This Row],[Customer service risk level]]="Medium risk", Table1[[#This Row],[Charges risk level]]="High risk "),"Medium Risk",
TRUE,"Low Risk"
)</f>
        <v>Medium Risk</v>
      </c>
    </row>
    <row r="626" spans="1:29" x14ac:dyDescent="0.25">
      <c r="A626" t="s">
        <v>68</v>
      </c>
      <c r="B626">
        <v>27</v>
      </c>
      <c r="C626">
        <v>415</v>
      </c>
      <c r="D626" t="s">
        <v>21</v>
      </c>
      <c r="E626" t="s">
        <v>21</v>
      </c>
      <c r="F626">
        <v>0</v>
      </c>
      <c r="G626">
        <v>227.4</v>
      </c>
      <c r="H626">
        <v>67</v>
      </c>
      <c r="I626">
        <v>38.659999999999997</v>
      </c>
      <c r="J626">
        <v>248</v>
      </c>
      <c r="K626">
        <v>115</v>
      </c>
      <c r="L626">
        <v>21.08</v>
      </c>
      <c r="M626">
        <v>61.4</v>
      </c>
      <c r="N626">
        <v>109</v>
      </c>
      <c r="O626">
        <v>2.76</v>
      </c>
      <c r="P626">
        <v>7.8</v>
      </c>
      <c r="Q626">
        <v>6</v>
      </c>
      <c r="R626">
        <v>2.11</v>
      </c>
      <c r="S626">
        <v>1</v>
      </c>
      <c r="T626" t="b">
        <v>0</v>
      </c>
      <c r="U626">
        <f>IFERROR(SUM(Table1[[#This Row],[Total day minutes]],Table1[[#This Row],[Total eve minutes]],Table1[[#This Row],[Total night minutes]],Table1[[#This Row],[Total intl minutes]]),0)</f>
        <v>544.59999999999991</v>
      </c>
      <c r="V626">
        <f>SUM(Table1[[#This Row],[Total intl charge]],Table1[[#This Row],[Total night charge]],Table1[[#This Row],[Total eve charge]],Table1[[#This Row],[Total day charge]])</f>
        <v>64.609999999999985</v>
      </c>
      <c r="W626">
        <f>SUM(Table1[[#This Row],[Total intl calls]],Table1[[#This Row],[Total night calls]],Table1[[#This Row],[Total eve calls]],Table1[[#This Row],[Total day calls]])</f>
        <v>297</v>
      </c>
      <c r="X626" t="str" cm="1">
        <f t="array" ref="X626">_xlfn.IFS(Table1[[#This Row],[Customer service calls]]&gt;=4,"High risk",Table1[[#This Row],[Customer service calls]]&gt;=2,"Medium risk",TRUE,"Low risk")</f>
        <v>Low risk</v>
      </c>
      <c r="Y626" t="str" cm="1">
        <f t="array" ref="Y626">IFERROR(_xlfn.IFS(Table1[[#This Row],[Total usage(Min)]]&gt;=AVERAGE(U:U)*1.1,"High risk",Table1[[#This Row],[Total usage(Min)]]&lt;= AVERAGE(U:U)*0.9,"Low risk",TRUE,"Medium risk"),"N/A")</f>
        <v>Medium risk</v>
      </c>
      <c r="Z626" t="str" cm="1">
        <f t="array" ref="Z626">IFERROR(_xlfn.IFS(Table1[[#This Row],[Total charges]]&gt;=AVERAGE(V:V)*1.1,"High risk",Table1[[#This Row],[Total charges]]&lt;=AVERAGE(V:V)*0.9,"Low risk",TRUE,"Medium risk"),"N/A")</f>
        <v>Medium risk</v>
      </c>
      <c r="AA62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6" t="str" cm="1">
        <f t="array" ref="AC626">_xlfn.IFS(
AND(Table1[[#This Row],[Customer service risk level]]="High risk", Table1[[#This Row],[Intl usage behaviour]]="Unplanned Usage"),"High Risk",
OR(Table1[[#This Row],[Customer service risk level]]="Medium risk", Table1[[#This Row],[Charges risk level]]="High risk "),"Medium Risk",
TRUE,"Low Risk"
)</f>
        <v>Low Risk</v>
      </c>
    </row>
    <row r="627" spans="1:29" x14ac:dyDescent="0.25">
      <c r="A627" t="s">
        <v>45</v>
      </c>
      <c r="B627">
        <v>123</v>
      </c>
      <c r="C627">
        <v>408</v>
      </c>
      <c r="D627" t="s">
        <v>21</v>
      </c>
      <c r="E627" t="s">
        <v>21</v>
      </c>
      <c r="F627">
        <v>0</v>
      </c>
      <c r="G627">
        <v>224</v>
      </c>
      <c r="H627">
        <v>99</v>
      </c>
      <c r="I627">
        <v>38.08</v>
      </c>
      <c r="J627">
        <v>210.7</v>
      </c>
      <c r="K627">
        <v>80</v>
      </c>
      <c r="L627">
        <v>17.91</v>
      </c>
      <c r="M627">
        <v>231.9</v>
      </c>
      <c r="N627">
        <v>75</v>
      </c>
      <c r="O627">
        <v>10.44</v>
      </c>
      <c r="P627">
        <v>2.1</v>
      </c>
      <c r="Q627">
        <v>5</v>
      </c>
      <c r="R627">
        <v>0.56999999999999995</v>
      </c>
      <c r="S627">
        <v>0</v>
      </c>
      <c r="T627" t="b">
        <v>0</v>
      </c>
      <c r="U627">
        <f>IFERROR(SUM(Table1[[#This Row],[Total day minutes]],Table1[[#This Row],[Total eve minutes]],Table1[[#This Row],[Total night minutes]],Table1[[#This Row],[Total intl minutes]]),0)</f>
        <v>668.7</v>
      </c>
      <c r="V627">
        <f>SUM(Table1[[#This Row],[Total intl charge]],Table1[[#This Row],[Total night charge]],Table1[[#This Row],[Total eve charge]],Table1[[#This Row],[Total day charge]])</f>
        <v>67</v>
      </c>
      <c r="W627">
        <f>SUM(Table1[[#This Row],[Total intl calls]],Table1[[#This Row],[Total night calls]],Table1[[#This Row],[Total eve calls]],Table1[[#This Row],[Total day calls]])</f>
        <v>259</v>
      </c>
      <c r="X627" t="str" cm="1">
        <f t="array" ref="X627">_xlfn.IFS(Table1[[#This Row],[Customer service calls]]&gt;=4,"High risk",Table1[[#This Row],[Customer service calls]]&gt;=2,"Medium risk",TRUE,"Low risk")</f>
        <v>Low risk</v>
      </c>
      <c r="Y627" t="str" cm="1">
        <f t="array" ref="Y627">IFERROR(_xlfn.IFS(Table1[[#This Row],[Total usage(Min)]]&gt;=AVERAGE(U:U)*1.1,"High risk",Table1[[#This Row],[Total usage(Min)]]&lt;= AVERAGE(U:U)*0.9,"Low risk",TRUE,"Medium risk"),"N/A")</f>
        <v>High risk</v>
      </c>
      <c r="Z627" t="str" cm="1">
        <f t="array" ref="Z627">IFERROR(_xlfn.IFS(Table1[[#This Row],[Total charges]]&gt;=AVERAGE(V:V)*1.1,"High risk",Table1[[#This Row],[Total charges]]&lt;=AVERAGE(V:V)*0.9,"Low risk",TRUE,"Medium risk"),"N/A")</f>
        <v>High risk</v>
      </c>
      <c r="AA62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7" t="str" cm="1">
        <f t="array" ref="AC627">_xlfn.IFS(
AND(Table1[[#This Row],[Customer service risk level]]="High risk", Table1[[#This Row],[Intl usage behaviour]]="Unplanned Usage"),"High Risk",
OR(Table1[[#This Row],[Customer service risk level]]="Medium risk", Table1[[#This Row],[Charges risk level]]="High risk "),"Medium Risk",
TRUE,"Low Risk"
)</f>
        <v>Low Risk</v>
      </c>
    </row>
    <row r="628" spans="1:29" x14ac:dyDescent="0.25">
      <c r="A628" t="s">
        <v>46</v>
      </c>
      <c r="B628">
        <v>84</v>
      </c>
      <c r="C628">
        <v>408</v>
      </c>
      <c r="D628" t="s">
        <v>21</v>
      </c>
      <c r="E628" t="s">
        <v>27</v>
      </c>
      <c r="F628">
        <v>41</v>
      </c>
      <c r="G628">
        <v>153.9</v>
      </c>
      <c r="H628">
        <v>102</v>
      </c>
      <c r="I628">
        <v>26.16</v>
      </c>
      <c r="J628">
        <v>140.69999999999999</v>
      </c>
      <c r="K628">
        <v>117</v>
      </c>
      <c r="L628">
        <v>11.96</v>
      </c>
      <c r="M628">
        <v>217.7</v>
      </c>
      <c r="N628">
        <v>101</v>
      </c>
      <c r="O628">
        <v>9.8000000000000007</v>
      </c>
      <c r="P628">
        <v>12.8</v>
      </c>
      <c r="Q628">
        <v>5</v>
      </c>
      <c r="R628">
        <v>3.46</v>
      </c>
      <c r="S628">
        <v>1</v>
      </c>
      <c r="T628" t="b">
        <v>0</v>
      </c>
      <c r="U628">
        <f>IFERROR(SUM(Table1[[#This Row],[Total day minutes]],Table1[[#This Row],[Total eve minutes]],Table1[[#This Row],[Total night minutes]],Table1[[#This Row],[Total intl minutes]]),0)</f>
        <v>525.09999999999991</v>
      </c>
      <c r="V628">
        <f>SUM(Table1[[#This Row],[Total intl charge]],Table1[[#This Row],[Total night charge]],Table1[[#This Row],[Total eve charge]],Table1[[#This Row],[Total day charge]])</f>
        <v>51.38</v>
      </c>
      <c r="W628">
        <f>SUM(Table1[[#This Row],[Total intl calls]],Table1[[#This Row],[Total night calls]],Table1[[#This Row],[Total eve calls]],Table1[[#This Row],[Total day calls]])</f>
        <v>325</v>
      </c>
      <c r="X628" t="str" cm="1">
        <f t="array" ref="X628">_xlfn.IFS(Table1[[#This Row],[Customer service calls]]&gt;=4,"High risk",Table1[[#This Row],[Customer service calls]]&gt;=2,"Medium risk",TRUE,"Low risk")</f>
        <v>Low risk</v>
      </c>
      <c r="Y628" t="str" cm="1">
        <f t="array" ref="Y628">IFERROR(_xlfn.IFS(Table1[[#This Row],[Total usage(Min)]]&gt;=AVERAGE(U:U)*1.1,"High risk",Table1[[#This Row],[Total usage(Min)]]&lt;= AVERAGE(U:U)*0.9,"Low risk",TRUE,"Medium risk"),"N/A")</f>
        <v>Low risk</v>
      </c>
      <c r="Z628" t="str" cm="1">
        <f t="array" ref="Z628">IFERROR(_xlfn.IFS(Table1[[#This Row],[Total charges]]&gt;=AVERAGE(V:V)*1.1,"High risk",Table1[[#This Row],[Total charges]]&lt;=AVERAGE(V:V)*0.9,"Low risk",TRUE,"Medium risk"),"N/A")</f>
        <v>Low risk</v>
      </c>
      <c r="AA62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28" t="str" cm="1">
        <f t="array" ref="AC628">_xlfn.IFS(
AND(Table1[[#This Row],[Customer service risk level]]="High risk", Table1[[#This Row],[Intl usage behaviour]]="Unplanned Usage"),"High Risk",
OR(Table1[[#This Row],[Customer service risk level]]="Medium risk", Table1[[#This Row],[Charges risk level]]="High risk "),"Medium Risk",
TRUE,"Low Risk"
)</f>
        <v>Low Risk</v>
      </c>
    </row>
    <row r="629" spans="1:29" x14ac:dyDescent="0.25">
      <c r="A629" t="s">
        <v>20</v>
      </c>
      <c r="B629">
        <v>91</v>
      </c>
      <c r="C629">
        <v>415</v>
      </c>
      <c r="D629" t="s">
        <v>21</v>
      </c>
      <c r="E629" t="s">
        <v>21</v>
      </c>
      <c r="F629">
        <v>0</v>
      </c>
      <c r="G629">
        <v>190.5</v>
      </c>
      <c r="H629">
        <v>128</v>
      </c>
      <c r="I629">
        <v>32.39</v>
      </c>
      <c r="J629">
        <v>205.5</v>
      </c>
      <c r="K629">
        <v>103</v>
      </c>
      <c r="L629">
        <v>17.47</v>
      </c>
      <c r="M629">
        <v>130.69999999999999</v>
      </c>
      <c r="N629">
        <v>63</v>
      </c>
      <c r="O629">
        <v>5.88</v>
      </c>
      <c r="P629">
        <v>13.8</v>
      </c>
      <c r="Q629">
        <v>5</v>
      </c>
      <c r="R629">
        <v>3.73</v>
      </c>
      <c r="S629">
        <v>0</v>
      </c>
      <c r="T629" t="b">
        <v>0</v>
      </c>
      <c r="U629">
        <f>IFERROR(SUM(Table1[[#This Row],[Total day minutes]],Table1[[#This Row],[Total eve minutes]],Table1[[#This Row],[Total night minutes]],Table1[[#This Row],[Total intl minutes]]),0)</f>
        <v>540.5</v>
      </c>
      <c r="V629">
        <f>SUM(Table1[[#This Row],[Total intl charge]],Table1[[#This Row],[Total night charge]],Table1[[#This Row],[Total eve charge]],Table1[[#This Row],[Total day charge]])</f>
        <v>59.47</v>
      </c>
      <c r="W629">
        <f>SUM(Table1[[#This Row],[Total intl calls]],Table1[[#This Row],[Total night calls]],Table1[[#This Row],[Total eve calls]],Table1[[#This Row],[Total day calls]])</f>
        <v>299</v>
      </c>
      <c r="X629" t="str" cm="1">
        <f t="array" ref="X629">_xlfn.IFS(Table1[[#This Row],[Customer service calls]]&gt;=4,"High risk",Table1[[#This Row],[Customer service calls]]&gt;=2,"Medium risk",TRUE,"Low risk")</f>
        <v>Low risk</v>
      </c>
      <c r="Y629" t="str" cm="1">
        <f t="array" ref="Y629">IFERROR(_xlfn.IFS(Table1[[#This Row],[Total usage(Min)]]&gt;=AVERAGE(U:U)*1.1,"High risk",Table1[[#This Row],[Total usage(Min)]]&lt;= AVERAGE(U:U)*0.9,"Low risk",TRUE,"Medium risk"),"N/A")</f>
        <v>Medium risk</v>
      </c>
      <c r="Z629" t="str" cm="1">
        <f t="array" ref="Z629">IFERROR(_xlfn.IFS(Table1[[#This Row],[Total charges]]&gt;=AVERAGE(V:V)*1.1,"High risk",Table1[[#This Row],[Total charges]]&lt;=AVERAGE(V:V)*0.9,"Low risk",TRUE,"Medium risk"),"N/A")</f>
        <v>Medium risk</v>
      </c>
      <c r="AA62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2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29" t="str" cm="1">
        <f t="array" ref="AC629">_xlfn.IFS(
AND(Table1[[#This Row],[Customer service risk level]]="High risk", Table1[[#This Row],[Intl usage behaviour]]="Unplanned Usage"),"High Risk",
OR(Table1[[#This Row],[Customer service risk level]]="Medium risk", Table1[[#This Row],[Charges risk level]]="High risk "),"Medium Risk",
TRUE,"Low Risk"
)</f>
        <v>Low Risk</v>
      </c>
    </row>
    <row r="630" spans="1:29" x14ac:dyDescent="0.25">
      <c r="A630" t="s">
        <v>36</v>
      </c>
      <c r="B630">
        <v>95</v>
      </c>
      <c r="C630">
        <v>510</v>
      </c>
      <c r="D630" t="s">
        <v>21</v>
      </c>
      <c r="E630" t="s">
        <v>21</v>
      </c>
      <c r="F630">
        <v>0</v>
      </c>
      <c r="G630">
        <v>157.30000000000001</v>
      </c>
      <c r="H630">
        <v>116</v>
      </c>
      <c r="I630">
        <v>26.74</v>
      </c>
      <c r="J630">
        <v>197.5</v>
      </c>
      <c r="K630">
        <v>77</v>
      </c>
      <c r="L630">
        <v>16.79</v>
      </c>
      <c r="M630">
        <v>128.19999999999999</v>
      </c>
      <c r="N630">
        <v>111</v>
      </c>
      <c r="O630">
        <v>5.77</v>
      </c>
      <c r="P630">
        <v>8.4</v>
      </c>
      <c r="Q630">
        <v>4</v>
      </c>
      <c r="R630">
        <v>2.27</v>
      </c>
      <c r="S630">
        <v>2</v>
      </c>
      <c r="T630" t="b">
        <v>0</v>
      </c>
      <c r="U630">
        <f>IFERROR(SUM(Table1[[#This Row],[Total day minutes]],Table1[[#This Row],[Total eve minutes]],Table1[[#This Row],[Total night minutes]],Table1[[#This Row],[Total intl minutes]]),0)</f>
        <v>491.4</v>
      </c>
      <c r="V630">
        <f>SUM(Table1[[#This Row],[Total intl charge]],Table1[[#This Row],[Total night charge]],Table1[[#This Row],[Total eve charge]],Table1[[#This Row],[Total day charge]])</f>
        <v>51.569999999999993</v>
      </c>
      <c r="W630">
        <f>SUM(Table1[[#This Row],[Total intl calls]],Table1[[#This Row],[Total night calls]],Table1[[#This Row],[Total eve calls]],Table1[[#This Row],[Total day calls]])</f>
        <v>308</v>
      </c>
      <c r="X630" t="str" cm="1">
        <f t="array" ref="X630">_xlfn.IFS(Table1[[#This Row],[Customer service calls]]&gt;=4,"High risk",Table1[[#This Row],[Customer service calls]]&gt;=2,"Medium risk",TRUE,"Low risk")</f>
        <v>Medium risk</v>
      </c>
      <c r="Y630" t="str" cm="1">
        <f t="array" ref="Y630">IFERROR(_xlfn.IFS(Table1[[#This Row],[Total usage(Min)]]&gt;=AVERAGE(U:U)*1.1,"High risk",Table1[[#This Row],[Total usage(Min)]]&lt;= AVERAGE(U:U)*0.9,"Low risk",TRUE,"Medium risk"),"N/A")</f>
        <v>Low risk</v>
      </c>
      <c r="Z630" t="str" cm="1">
        <f t="array" ref="Z630">IFERROR(_xlfn.IFS(Table1[[#This Row],[Total charges]]&gt;=AVERAGE(V:V)*1.1,"High risk",Table1[[#This Row],[Total charges]]&lt;=AVERAGE(V:V)*0.9,"Low risk",TRUE,"Medium risk"),"N/A")</f>
        <v>Low risk</v>
      </c>
      <c r="AA63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0" t="str" cm="1">
        <f t="array" ref="AC630">_xlfn.IFS(
AND(Table1[[#This Row],[Customer service risk level]]="High risk", Table1[[#This Row],[Intl usage behaviour]]="Unplanned Usage"),"High Risk",
OR(Table1[[#This Row],[Customer service risk level]]="Medium risk", Table1[[#This Row],[Charges risk level]]="High risk "),"Medium Risk",
TRUE,"Low Risk"
)</f>
        <v>Medium Risk</v>
      </c>
    </row>
    <row r="631" spans="1:29" x14ac:dyDescent="0.25">
      <c r="A631" t="s">
        <v>66</v>
      </c>
      <c r="B631">
        <v>73</v>
      </c>
      <c r="C631">
        <v>415</v>
      </c>
      <c r="D631" t="s">
        <v>21</v>
      </c>
      <c r="E631" t="s">
        <v>21</v>
      </c>
      <c r="F631">
        <v>0</v>
      </c>
      <c r="G631">
        <v>240.3</v>
      </c>
      <c r="H631">
        <v>130</v>
      </c>
      <c r="I631">
        <v>40.85</v>
      </c>
      <c r="J631">
        <v>162.5</v>
      </c>
      <c r="K631">
        <v>83</v>
      </c>
      <c r="L631">
        <v>13.81</v>
      </c>
      <c r="M631">
        <v>231.9</v>
      </c>
      <c r="N631">
        <v>136</v>
      </c>
      <c r="O631">
        <v>10.44</v>
      </c>
      <c r="P631">
        <v>11.9</v>
      </c>
      <c r="Q631">
        <v>3</v>
      </c>
      <c r="R631">
        <v>3.21</v>
      </c>
      <c r="S631">
        <v>0</v>
      </c>
      <c r="T631" t="b">
        <v>0</v>
      </c>
      <c r="U631">
        <f>IFERROR(SUM(Table1[[#This Row],[Total day minutes]],Table1[[#This Row],[Total eve minutes]],Table1[[#This Row],[Total night minutes]],Table1[[#This Row],[Total intl minutes]]),0)</f>
        <v>646.6</v>
      </c>
      <c r="V631">
        <f>SUM(Table1[[#This Row],[Total intl charge]],Table1[[#This Row],[Total night charge]],Table1[[#This Row],[Total eve charge]],Table1[[#This Row],[Total day charge]])</f>
        <v>68.31</v>
      </c>
      <c r="W631">
        <f>SUM(Table1[[#This Row],[Total intl calls]],Table1[[#This Row],[Total night calls]],Table1[[#This Row],[Total eve calls]],Table1[[#This Row],[Total day calls]])</f>
        <v>352</v>
      </c>
      <c r="X631" t="str" cm="1">
        <f t="array" ref="X631">_xlfn.IFS(Table1[[#This Row],[Customer service calls]]&gt;=4,"High risk",Table1[[#This Row],[Customer service calls]]&gt;=2,"Medium risk",TRUE,"Low risk")</f>
        <v>Low risk</v>
      </c>
      <c r="Y631" t="str" cm="1">
        <f t="array" ref="Y631">IFERROR(_xlfn.IFS(Table1[[#This Row],[Total usage(Min)]]&gt;=AVERAGE(U:U)*1.1,"High risk",Table1[[#This Row],[Total usage(Min)]]&lt;= AVERAGE(U:U)*0.9,"Low risk",TRUE,"Medium risk"),"N/A")</f>
        <v>Medium risk</v>
      </c>
      <c r="Z631" t="str" cm="1">
        <f t="array" ref="Z631">IFERROR(_xlfn.IFS(Table1[[#This Row],[Total charges]]&gt;=AVERAGE(V:V)*1.1,"High risk",Table1[[#This Row],[Total charges]]&lt;=AVERAGE(V:V)*0.9,"Low risk",TRUE,"Medium risk"),"N/A")</f>
        <v>High risk</v>
      </c>
      <c r="AA63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1" t="str" cm="1">
        <f t="array" ref="AC631">_xlfn.IFS(
AND(Table1[[#This Row],[Customer service risk level]]="High risk", Table1[[#This Row],[Intl usage behaviour]]="Unplanned Usage"),"High Risk",
OR(Table1[[#This Row],[Customer service risk level]]="Medium risk", Table1[[#This Row],[Charges risk level]]="High risk "),"Medium Risk",
TRUE,"Low Risk"
)</f>
        <v>Low Risk</v>
      </c>
    </row>
    <row r="632" spans="1:29" x14ac:dyDescent="0.25">
      <c r="A632" t="s">
        <v>66</v>
      </c>
      <c r="B632">
        <v>58</v>
      </c>
      <c r="C632">
        <v>408</v>
      </c>
      <c r="D632" t="s">
        <v>21</v>
      </c>
      <c r="E632" t="s">
        <v>27</v>
      </c>
      <c r="F632">
        <v>39</v>
      </c>
      <c r="G632">
        <v>211.9</v>
      </c>
      <c r="H632">
        <v>40</v>
      </c>
      <c r="I632">
        <v>36.020000000000003</v>
      </c>
      <c r="J632">
        <v>274.39999999999998</v>
      </c>
      <c r="K632">
        <v>76</v>
      </c>
      <c r="L632">
        <v>23.32</v>
      </c>
      <c r="M632">
        <v>210.5</v>
      </c>
      <c r="N632">
        <v>139</v>
      </c>
      <c r="O632">
        <v>9.4700000000000006</v>
      </c>
      <c r="P632">
        <v>5.4</v>
      </c>
      <c r="Q632">
        <v>4</v>
      </c>
      <c r="R632">
        <v>1.46</v>
      </c>
      <c r="S632">
        <v>1</v>
      </c>
      <c r="T632" t="b">
        <v>0</v>
      </c>
      <c r="U632">
        <f>IFERROR(SUM(Table1[[#This Row],[Total day minutes]],Table1[[#This Row],[Total eve minutes]],Table1[[#This Row],[Total night minutes]],Table1[[#This Row],[Total intl minutes]]),0)</f>
        <v>702.19999999999993</v>
      </c>
      <c r="V632">
        <f>SUM(Table1[[#This Row],[Total intl charge]],Table1[[#This Row],[Total night charge]],Table1[[#This Row],[Total eve charge]],Table1[[#This Row],[Total day charge]])</f>
        <v>70.27000000000001</v>
      </c>
      <c r="W632">
        <f>SUM(Table1[[#This Row],[Total intl calls]],Table1[[#This Row],[Total night calls]],Table1[[#This Row],[Total eve calls]],Table1[[#This Row],[Total day calls]])</f>
        <v>259</v>
      </c>
      <c r="X632" t="str" cm="1">
        <f t="array" ref="X632">_xlfn.IFS(Table1[[#This Row],[Customer service calls]]&gt;=4,"High risk",Table1[[#This Row],[Customer service calls]]&gt;=2,"Medium risk",TRUE,"Low risk")</f>
        <v>Low risk</v>
      </c>
      <c r="Y632" t="str" cm="1">
        <f t="array" ref="Y632">IFERROR(_xlfn.IFS(Table1[[#This Row],[Total usage(Min)]]&gt;=AVERAGE(U:U)*1.1,"High risk",Table1[[#This Row],[Total usage(Min)]]&lt;= AVERAGE(U:U)*0.9,"Low risk",TRUE,"Medium risk"),"N/A")</f>
        <v>High risk</v>
      </c>
      <c r="Z632" t="str" cm="1">
        <f t="array" ref="Z632">IFERROR(_xlfn.IFS(Table1[[#This Row],[Total charges]]&gt;=AVERAGE(V:V)*1.1,"High risk",Table1[[#This Row],[Total charges]]&lt;=AVERAGE(V:V)*0.9,"Low risk",TRUE,"Medium risk"),"N/A")</f>
        <v>High risk</v>
      </c>
      <c r="AA63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2"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32" t="str" cm="1">
        <f t="array" ref="AC632">_xlfn.IFS(
AND(Table1[[#This Row],[Customer service risk level]]="High risk", Table1[[#This Row],[Intl usage behaviour]]="Unplanned Usage"),"High Risk",
OR(Table1[[#This Row],[Customer service risk level]]="Medium risk", Table1[[#This Row],[Charges risk level]]="High risk "),"Medium Risk",
TRUE,"Low Risk"
)</f>
        <v>Low Risk</v>
      </c>
    </row>
    <row r="633" spans="1:29" x14ac:dyDescent="0.25">
      <c r="A633" t="s">
        <v>71</v>
      </c>
      <c r="B633">
        <v>88</v>
      </c>
      <c r="C633">
        <v>415</v>
      </c>
      <c r="D633" t="s">
        <v>21</v>
      </c>
      <c r="E633" t="s">
        <v>21</v>
      </c>
      <c r="F633">
        <v>0</v>
      </c>
      <c r="G633">
        <v>113.7</v>
      </c>
      <c r="H633">
        <v>67</v>
      </c>
      <c r="I633">
        <v>19.329999999999998</v>
      </c>
      <c r="J633">
        <v>165.1</v>
      </c>
      <c r="K633">
        <v>127</v>
      </c>
      <c r="L633">
        <v>14.03</v>
      </c>
      <c r="M633">
        <v>141.5</v>
      </c>
      <c r="N633">
        <v>142</v>
      </c>
      <c r="O633">
        <v>6.37</v>
      </c>
      <c r="P633">
        <v>10.8</v>
      </c>
      <c r="Q633">
        <v>3</v>
      </c>
      <c r="R633">
        <v>2.92</v>
      </c>
      <c r="S633">
        <v>1</v>
      </c>
      <c r="T633" t="b">
        <v>0</v>
      </c>
      <c r="U633">
        <f>IFERROR(SUM(Table1[[#This Row],[Total day minutes]],Table1[[#This Row],[Total eve minutes]],Table1[[#This Row],[Total night minutes]],Table1[[#This Row],[Total intl minutes]]),0)</f>
        <v>431.1</v>
      </c>
      <c r="V633">
        <f>SUM(Table1[[#This Row],[Total intl charge]],Table1[[#This Row],[Total night charge]],Table1[[#This Row],[Total eve charge]],Table1[[#This Row],[Total day charge]])</f>
        <v>42.65</v>
      </c>
      <c r="W633">
        <f>SUM(Table1[[#This Row],[Total intl calls]],Table1[[#This Row],[Total night calls]],Table1[[#This Row],[Total eve calls]],Table1[[#This Row],[Total day calls]])</f>
        <v>339</v>
      </c>
      <c r="X633" t="str" cm="1">
        <f t="array" ref="X633">_xlfn.IFS(Table1[[#This Row],[Customer service calls]]&gt;=4,"High risk",Table1[[#This Row],[Customer service calls]]&gt;=2,"Medium risk",TRUE,"Low risk")</f>
        <v>Low risk</v>
      </c>
      <c r="Y633" t="str" cm="1">
        <f t="array" ref="Y633">IFERROR(_xlfn.IFS(Table1[[#This Row],[Total usage(Min)]]&gt;=AVERAGE(U:U)*1.1,"High risk",Table1[[#This Row],[Total usage(Min)]]&lt;= AVERAGE(U:U)*0.9,"Low risk",TRUE,"Medium risk"),"N/A")</f>
        <v>Low risk</v>
      </c>
      <c r="Z633" t="str" cm="1">
        <f t="array" ref="Z633">IFERROR(_xlfn.IFS(Table1[[#This Row],[Total charges]]&gt;=AVERAGE(V:V)*1.1,"High risk",Table1[[#This Row],[Total charges]]&lt;=AVERAGE(V:V)*0.9,"Low risk",TRUE,"Medium risk"),"N/A")</f>
        <v>Low risk</v>
      </c>
      <c r="AA63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3" t="str" cm="1">
        <f t="array" ref="AC633">_xlfn.IFS(
AND(Table1[[#This Row],[Customer service risk level]]="High risk", Table1[[#This Row],[Intl usage behaviour]]="Unplanned Usage"),"High Risk",
OR(Table1[[#This Row],[Customer service risk level]]="Medium risk", Table1[[#This Row],[Charges risk level]]="High risk "),"Medium Risk",
TRUE,"Low Risk"
)</f>
        <v>Low Risk</v>
      </c>
    </row>
    <row r="634" spans="1:29" x14ac:dyDescent="0.25">
      <c r="A634" t="s">
        <v>41</v>
      </c>
      <c r="B634">
        <v>67</v>
      </c>
      <c r="C634">
        <v>415</v>
      </c>
      <c r="D634" t="s">
        <v>21</v>
      </c>
      <c r="E634" t="s">
        <v>27</v>
      </c>
      <c r="F634">
        <v>41</v>
      </c>
      <c r="G634">
        <v>174.7</v>
      </c>
      <c r="H634">
        <v>86</v>
      </c>
      <c r="I634">
        <v>29.7</v>
      </c>
      <c r="J634">
        <v>160.6</v>
      </c>
      <c r="K634">
        <v>93</v>
      </c>
      <c r="L634">
        <v>13.65</v>
      </c>
      <c r="M634">
        <v>155.30000000000001</v>
      </c>
      <c r="N634">
        <v>108</v>
      </c>
      <c r="O634">
        <v>6.99</v>
      </c>
      <c r="P634">
        <v>13.4</v>
      </c>
      <c r="Q634">
        <v>1</v>
      </c>
      <c r="R634">
        <v>3.62</v>
      </c>
      <c r="S634">
        <v>0</v>
      </c>
      <c r="T634" t="b">
        <v>0</v>
      </c>
      <c r="U634">
        <f>IFERROR(SUM(Table1[[#This Row],[Total day minutes]],Table1[[#This Row],[Total eve minutes]],Table1[[#This Row],[Total night minutes]],Table1[[#This Row],[Total intl minutes]]),0)</f>
        <v>503.99999999999994</v>
      </c>
      <c r="V634">
        <f>SUM(Table1[[#This Row],[Total intl charge]],Table1[[#This Row],[Total night charge]],Table1[[#This Row],[Total eve charge]],Table1[[#This Row],[Total day charge]])</f>
        <v>53.959999999999994</v>
      </c>
      <c r="W634">
        <f>SUM(Table1[[#This Row],[Total intl calls]],Table1[[#This Row],[Total night calls]],Table1[[#This Row],[Total eve calls]],Table1[[#This Row],[Total day calls]])</f>
        <v>288</v>
      </c>
      <c r="X634" t="str" cm="1">
        <f t="array" ref="X634">_xlfn.IFS(Table1[[#This Row],[Customer service calls]]&gt;=4,"High risk",Table1[[#This Row],[Customer service calls]]&gt;=2,"Medium risk",TRUE,"Low risk")</f>
        <v>Low risk</v>
      </c>
      <c r="Y634" t="str" cm="1">
        <f t="array" ref="Y634">IFERROR(_xlfn.IFS(Table1[[#This Row],[Total usage(Min)]]&gt;=AVERAGE(U:U)*1.1,"High risk",Table1[[#This Row],[Total usage(Min)]]&lt;= AVERAGE(U:U)*0.9,"Low risk",TRUE,"Medium risk"),"N/A")</f>
        <v>Low risk</v>
      </c>
      <c r="Z634" t="str" cm="1">
        <f t="array" ref="Z634">IFERROR(_xlfn.IFS(Table1[[#This Row],[Total charges]]&gt;=AVERAGE(V:V)*1.1,"High risk",Table1[[#This Row],[Total charges]]&lt;=AVERAGE(V:V)*0.9,"Low risk",TRUE,"Medium risk"),"N/A")</f>
        <v>Medium risk</v>
      </c>
      <c r="AA63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34" t="str" cm="1">
        <f t="array" ref="AC634">_xlfn.IFS(
AND(Table1[[#This Row],[Customer service risk level]]="High risk", Table1[[#This Row],[Intl usage behaviour]]="Unplanned Usage"),"High Risk",
OR(Table1[[#This Row],[Customer service risk level]]="Medium risk", Table1[[#This Row],[Charges risk level]]="High risk "),"Medium Risk",
TRUE,"Low Risk"
)</f>
        <v>Low Risk</v>
      </c>
    </row>
    <row r="635" spans="1:29" x14ac:dyDescent="0.25">
      <c r="A635" t="s">
        <v>40</v>
      </c>
      <c r="B635">
        <v>152</v>
      </c>
      <c r="C635">
        <v>510</v>
      </c>
      <c r="D635" t="s">
        <v>21</v>
      </c>
      <c r="E635" t="s">
        <v>21</v>
      </c>
      <c r="F635">
        <v>0</v>
      </c>
      <c r="G635">
        <v>161.4</v>
      </c>
      <c r="H635">
        <v>84</v>
      </c>
      <c r="I635">
        <v>27.44</v>
      </c>
      <c r="J635">
        <v>163.6</v>
      </c>
      <c r="K635">
        <v>88</v>
      </c>
      <c r="L635">
        <v>13.91</v>
      </c>
      <c r="M635">
        <v>153.19999999999999</v>
      </c>
      <c r="N635">
        <v>121</v>
      </c>
      <c r="O635">
        <v>6.89</v>
      </c>
      <c r="P635">
        <v>11.8</v>
      </c>
      <c r="Q635">
        <v>5</v>
      </c>
      <c r="R635">
        <v>3.19</v>
      </c>
      <c r="S635">
        <v>1</v>
      </c>
      <c r="T635" t="b">
        <v>0</v>
      </c>
      <c r="U635">
        <f>IFERROR(SUM(Table1[[#This Row],[Total day minutes]],Table1[[#This Row],[Total eve minutes]],Table1[[#This Row],[Total night minutes]],Table1[[#This Row],[Total intl minutes]]),0)</f>
        <v>490</v>
      </c>
      <c r="V635">
        <f>SUM(Table1[[#This Row],[Total intl charge]],Table1[[#This Row],[Total night charge]],Table1[[#This Row],[Total eve charge]],Table1[[#This Row],[Total day charge]])</f>
        <v>51.430000000000007</v>
      </c>
      <c r="W635">
        <f>SUM(Table1[[#This Row],[Total intl calls]],Table1[[#This Row],[Total night calls]],Table1[[#This Row],[Total eve calls]],Table1[[#This Row],[Total day calls]])</f>
        <v>298</v>
      </c>
      <c r="X635" t="str" cm="1">
        <f t="array" ref="X635">_xlfn.IFS(Table1[[#This Row],[Customer service calls]]&gt;=4,"High risk",Table1[[#This Row],[Customer service calls]]&gt;=2,"Medium risk",TRUE,"Low risk")</f>
        <v>Low risk</v>
      </c>
      <c r="Y635" t="str" cm="1">
        <f t="array" ref="Y635">IFERROR(_xlfn.IFS(Table1[[#This Row],[Total usage(Min)]]&gt;=AVERAGE(U:U)*1.1,"High risk",Table1[[#This Row],[Total usage(Min)]]&lt;= AVERAGE(U:U)*0.9,"Low risk",TRUE,"Medium risk"),"N/A")</f>
        <v>Low risk</v>
      </c>
      <c r="Z635" t="str" cm="1">
        <f t="array" ref="Z635">IFERROR(_xlfn.IFS(Table1[[#This Row],[Total charges]]&gt;=AVERAGE(V:V)*1.1,"High risk",Table1[[#This Row],[Total charges]]&lt;=AVERAGE(V:V)*0.9,"Low risk",TRUE,"Medium risk"),"N/A")</f>
        <v>Low risk</v>
      </c>
      <c r="AA63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5" t="str" cm="1">
        <f t="array" ref="AC635">_xlfn.IFS(
AND(Table1[[#This Row],[Customer service risk level]]="High risk", Table1[[#This Row],[Intl usage behaviour]]="Unplanned Usage"),"High Risk",
OR(Table1[[#This Row],[Customer service risk level]]="Medium risk", Table1[[#This Row],[Charges risk level]]="High risk "),"Medium Risk",
TRUE,"Low Risk"
)</f>
        <v>Low Risk</v>
      </c>
    </row>
    <row r="636" spans="1:29" x14ac:dyDescent="0.25">
      <c r="A636" t="s">
        <v>67</v>
      </c>
      <c r="B636">
        <v>142</v>
      </c>
      <c r="C636">
        <v>510</v>
      </c>
      <c r="D636" t="s">
        <v>21</v>
      </c>
      <c r="E636" t="s">
        <v>27</v>
      </c>
      <c r="F636">
        <v>40</v>
      </c>
      <c r="G636">
        <v>230.7</v>
      </c>
      <c r="H636">
        <v>101</v>
      </c>
      <c r="I636">
        <v>39.22</v>
      </c>
      <c r="J636">
        <v>256.8</v>
      </c>
      <c r="K636">
        <v>88</v>
      </c>
      <c r="L636">
        <v>21.83</v>
      </c>
      <c r="M636">
        <v>263.89999999999998</v>
      </c>
      <c r="N636">
        <v>92</v>
      </c>
      <c r="O636">
        <v>11.88</v>
      </c>
      <c r="P636">
        <v>6.4</v>
      </c>
      <c r="Q636">
        <v>3</v>
      </c>
      <c r="R636">
        <v>1.73</v>
      </c>
      <c r="S636">
        <v>1</v>
      </c>
      <c r="T636" t="b">
        <v>0</v>
      </c>
      <c r="U636">
        <f>IFERROR(SUM(Table1[[#This Row],[Total day minutes]],Table1[[#This Row],[Total eve minutes]],Table1[[#This Row],[Total night minutes]],Table1[[#This Row],[Total intl minutes]]),0)</f>
        <v>757.8</v>
      </c>
      <c r="V636">
        <f>SUM(Table1[[#This Row],[Total intl charge]],Table1[[#This Row],[Total night charge]],Table1[[#This Row],[Total eve charge]],Table1[[#This Row],[Total day charge]])</f>
        <v>74.66</v>
      </c>
      <c r="W636">
        <f>SUM(Table1[[#This Row],[Total intl calls]],Table1[[#This Row],[Total night calls]],Table1[[#This Row],[Total eve calls]],Table1[[#This Row],[Total day calls]])</f>
        <v>284</v>
      </c>
      <c r="X636" t="str" cm="1">
        <f t="array" ref="X636">_xlfn.IFS(Table1[[#This Row],[Customer service calls]]&gt;=4,"High risk",Table1[[#This Row],[Customer service calls]]&gt;=2,"Medium risk",TRUE,"Low risk")</f>
        <v>Low risk</v>
      </c>
      <c r="Y636" t="str" cm="1">
        <f t="array" ref="Y636">IFERROR(_xlfn.IFS(Table1[[#This Row],[Total usage(Min)]]&gt;=AVERAGE(U:U)*1.1,"High risk",Table1[[#This Row],[Total usage(Min)]]&lt;= AVERAGE(U:U)*0.9,"Low risk",TRUE,"Medium risk"),"N/A")</f>
        <v>High risk</v>
      </c>
      <c r="Z636" t="str" cm="1">
        <f t="array" ref="Z636">IFERROR(_xlfn.IFS(Table1[[#This Row],[Total charges]]&gt;=AVERAGE(V:V)*1.1,"High risk",Table1[[#This Row],[Total charges]]&lt;=AVERAGE(V:V)*0.9,"Low risk",TRUE,"Medium risk"),"N/A")</f>
        <v>High risk</v>
      </c>
      <c r="AA63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36" t="str" cm="1">
        <f t="array" ref="AC636">_xlfn.IFS(
AND(Table1[[#This Row],[Customer service risk level]]="High risk", Table1[[#This Row],[Intl usage behaviour]]="Unplanned Usage"),"High Risk",
OR(Table1[[#This Row],[Customer service risk level]]="Medium risk", Table1[[#This Row],[Charges risk level]]="High risk "),"Medium Risk",
TRUE,"Low Risk"
)</f>
        <v>Low Risk</v>
      </c>
    </row>
    <row r="637" spans="1:29" x14ac:dyDescent="0.25">
      <c r="A637" t="s">
        <v>29</v>
      </c>
      <c r="B637">
        <v>105</v>
      </c>
      <c r="C637">
        <v>408</v>
      </c>
      <c r="D637" t="s">
        <v>21</v>
      </c>
      <c r="E637" t="s">
        <v>21</v>
      </c>
      <c r="F637">
        <v>0</v>
      </c>
      <c r="G637">
        <v>232.6</v>
      </c>
      <c r="H637">
        <v>96</v>
      </c>
      <c r="I637">
        <v>39.54</v>
      </c>
      <c r="J637">
        <v>253.4</v>
      </c>
      <c r="K637">
        <v>117</v>
      </c>
      <c r="L637">
        <v>21.54</v>
      </c>
      <c r="M637">
        <v>154</v>
      </c>
      <c r="N637">
        <v>101</v>
      </c>
      <c r="O637">
        <v>6.93</v>
      </c>
      <c r="P637">
        <v>10.5</v>
      </c>
      <c r="Q637">
        <v>9</v>
      </c>
      <c r="R637">
        <v>2.84</v>
      </c>
      <c r="S637">
        <v>1</v>
      </c>
      <c r="T637" t="b">
        <v>0</v>
      </c>
      <c r="U637">
        <f>IFERROR(SUM(Table1[[#This Row],[Total day minutes]],Table1[[#This Row],[Total eve minutes]],Table1[[#This Row],[Total night minutes]],Table1[[#This Row],[Total intl minutes]]),0)</f>
        <v>650.5</v>
      </c>
      <c r="V637">
        <f>SUM(Table1[[#This Row],[Total intl charge]],Table1[[#This Row],[Total night charge]],Table1[[#This Row],[Total eve charge]],Table1[[#This Row],[Total day charge]])</f>
        <v>70.849999999999994</v>
      </c>
      <c r="W637">
        <f>SUM(Table1[[#This Row],[Total intl calls]],Table1[[#This Row],[Total night calls]],Table1[[#This Row],[Total eve calls]],Table1[[#This Row],[Total day calls]])</f>
        <v>323</v>
      </c>
      <c r="X637" t="str" cm="1">
        <f t="array" ref="X637">_xlfn.IFS(Table1[[#This Row],[Customer service calls]]&gt;=4,"High risk",Table1[[#This Row],[Customer service calls]]&gt;=2,"Medium risk",TRUE,"Low risk")</f>
        <v>Low risk</v>
      </c>
      <c r="Y637" t="str" cm="1">
        <f t="array" ref="Y637">IFERROR(_xlfn.IFS(Table1[[#This Row],[Total usage(Min)]]&gt;=AVERAGE(U:U)*1.1,"High risk",Table1[[#This Row],[Total usage(Min)]]&lt;= AVERAGE(U:U)*0.9,"Low risk",TRUE,"Medium risk"),"N/A")</f>
        <v>Medium risk</v>
      </c>
      <c r="Z637" t="str" cm="1">
        <f t="array" ref="Z637">IFERROR(_xlfn.IFS(Table1[[#This Row],[Total charges]]&gt;=AVERAGE(V:V)*1.1,"High risk",Table1[[#This Row],[Total charges]]&lt;=AVERAGE(V:V)*0.9,"Low risk",TRUE,"Medium risk"),"N/A")</f>
        <v>High risk</v>
      </c>
      <c r="AA63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7" t="str" cm="1">
        <f t="array" ref="AC637">_xlfn.IFS(
AND(Table1[[#This Row],[Customer service risk level]]="High risk", Table1[[#This Row],[Intl usage behaviour]]="Unplanned Usage"),"High Risk",
OR(Table1[[#This Row],[Customer service risk level]]="Medium risk", Table1[[#This Row],[Charges risk level]]="High risk "),"Medium Risk",
TRUE,"Low Risk"
)</f>
        <v>Low Risk</v>
      </c>
    </row>
    <row r="638" spans="1:29" x14ac:dyDescent="0.25">
      <c r="A638" t="s">
        <v>61</v>
      </c>
      <c r="B638">
        <v>93</v>
      </c>
      <c r="C638">
        <v>408</v>
      </c>
      <c r="D638" t="s">
        <v>21</v>
      </c>
      <c r="E638" t="s">
        <v>27</v>
      </c>
      <c r="F638">
        <v>22</v>
      </c>
      <c r="G638">
        <v>306.2</v>
      </c>
      <c r="H638">
        <v>123</v>
      </c>
      <c r="I638">
        <v>52.05</v>
      </c>
      <c r="J638">
        <v>189.7</v>
      </c>
      <c r="K638">
        <v>83</v>
      </c>
      <c r="L638">
        <v>16.12</v>
      </c>
      <c r="M638">
        <v>240.3</v>
      </c>
      <c r="N638">
        <v>107</v>
      </c>
      <c r="O638">
        <v>10.81</v>
      </c>
      <c r="P638">
        <v>11.7</v>
      </c>
      <c r="Q638">
        <v>2</v>
      </c>
      <c r="R638">
        <v>3.16</v>
      </c>
      <c r="S638">
        <v>0</v>
      </c>
      <c r="T638" t="b">
        <v>0</v>
      </c>
      <c r="U638">
        <f>IFERROR(SUM(Table1[[#This Row],[Total day minutes]],Table1[[#This Row],[Total eve minutes]],Table1[[#This Row],[Total night minutes]],Table1[[#This Row],[Total intl minutes]]),0)</f>
        <v>747.90000000000009</v>
      </c>
      <c r="V638">
        <f>SUM(Table1[[#This Row],[Total intl charge]],Table1[[#This Row],[Total night charge]],Table1[[#This Row],[Total eve charge]],Table1[[#This Row],[Total day charge]])</f>
        <v>82.14</v>
      </c>
      <c r="W638">
        <f>SUM(Table1[[#This Row],[Total intl calls]],Table1[[#This Row],[Total night calls]],Table1[[#This Row],[Total eve calls]],Table1[[#This Row],[Total day calls]])</f>
        <v>315</v>
      </c>
      <c r="X638" t="str" cm="1">
        <f t="array" ref="X638">_xlfn.IFS(Table1[[#This Row],[Customer service calls]]&gt;=4,"High risk",Table1[[#This Row],[Customer service calls]]&gt;=2,"Medium risk",TRUE,"Low risk")</f>
        <v>Low risk</v>
      </c>
      <c r="Y638" t="str" cm="1">
        <f t="array" ref="Y638">IFERROR(_xlfn.IFS(Table1[[#This Row],[Total usage(Min)]]&gt;=AVERAGE(U:U)*1.1,"High risk",Table1[[#This Row],[Total usage(Min)]]&lt;= AVERAGE(U:U)*0.9,"Low risk",TRUE,"Medium risk"),"N/A")</f>
        <v>High risk</v>
      </c>
      <c r="Z638" t="str" cm="1">
        <f t="array" ref="Z638">IFERROR(_xlfn.IFS(Table1[[#This Row],[Total charges]]&gt;=AVERAGE(V:V)*1.1,"High risk",Table1[[#This Row],[Total charges]]&lt;=AVERAGE(V:V)*0.9,"Low risk",TRUE,"Medium risk"),"N/A")</f>
        <v>High risk</v>
      </c>
      <c r="AA63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8"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38" t="str" cm="1">
        <f t="array" ref="AC638">_xlfn.IFS(
AND(Table1[[#This Row],[Customer service risk level]]="High risk", Table1[[#This Row],[Intl usage behaviour]]="Unplanned Usage"),"High Risk",
OR(Table1[[#This Row],[Customer service risk level]]="Medium risk", Table1[[#This Row],[Charges risk level]]="High risk "),"Medium Risk",
TRUE,"Low Risk"
)</f>
        <v>Low Risk</v>
      </c>
    </row>
    <row r="639" spans="1:29" x14ac:dyDescent="0.25">
      <c r="A639" t="s">
        <v>36</v>
      </c>
      <c r="B639">
        <v>79</v>
      </c>
      <c r="C639">
        <v>415</v>
      </c>
      <c r="D639" t="s">
        <v>21</v>
      </c>
      <c r="E639" t="s">
        <v>21</v>
      </c>
      <c r="F639">
        <v>0</v>
      </c>
      <c r="G639">
        <v>236.8</v>
      </c>
      <c r="H639">
        <v>135</v>
      </c>
      <c r="I639">
        <v>40.26</v>
      </c>
      <c r="J639">
        <v>186.4</v>
      </c>
      <c r="K639">
        <v>87</v>
      </c>
      <c r="L639">
        <v>15.84</v>
      </c>
      <c r="M639">
        <v>126.9</v>
      </c>
      <c r="N639">
        <v>112</v>
      </c>
      <c r="O639">
        <v>5.71</v>
      </c>
      <c r="P639">
        <v>10.4</v>
      </c>
      <c r="Q639">
        <v>5</v>
      </c>
      <c r="R639">
        <v>2.81</v>
      </c>
      <c r="S639">
        <v>2</v>
      </c>
      <c r="T639" t="b">
        <v>0</v>
      </c>
      <c r="U639">
        <f>IFERROR(SUM(Table1[[#This Row],[Total day minutes]],Table1[[#This Row],[Total eve minutes]],Table1[[#This Row],[Total night minutes]],Table1[[#This Row],[Total intl minutes]]),0)</f>
        <v>560.5</v>
      </c>
      <c r="V639">
        <f>SUM(Table1[[#This Row],[Total intl charge]],Table1[[#This Row],[Total night charge]],Table1[[#This Row],[Total eve charge]],Table1[[#This Row],[Total day charge]])</f>
        <v>64.62</v>
      </c>
      <c r="W639">
        <f>SUM(Table1[[#This Row],[Total intl calls]],Table1[[#This Row],[Total night calls]],Table1[[#This Row],[Total eve calls]],Table1[[#This Row],[Total day calls]])</f>
        <v>339</v>
      </c>
      <c r="X639" t="str" cm="1">
        <f t="array" ref="X639">_xlfn.IFS(Table1[[#This Row],[Customer service calls]]&gt;=4,"High risk",Table1[[#This Row],[Customer service calls]]&gt;=2,"Medium risk",TRUE,"Low risk")</f>
        <v>Medium risk</v>
      </c>
      <c r="Y639" t="str" cm="1">
        <f t="array" ref="Y639">IFERROR(_xlfn.IFS(Table1[[#This Row],[Total usage(Min)]]&gt;=AVERAGE(U:U)*1.1,"High risk",Table1[[#This Row],[Total usage(Min)]]&lt;= AVERAGE(U:U)*0.9,"Low risk",TRUE,"Medium risk"),"N/A")</f>
        <v>Medium risk</v>
      </c>
      <c r="Z639" t="str" cm="1">
        <f t="array" ref="Z639">IFERROR(_xlfn.IFS(Table1[[#This Row],[Total charges]]&gt;=AVERAGE(V:V)*1.1,"High risk",Table1[[#This Row],[Total charges]]&lt;=AVERAGE(V:V)*0.9,"Low risk",TRUE,"Medium risk"),"N/A")</f>
        <v>Medium risk</v>
      </c>
      <c r="AA63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39"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39" t="str" cm="1">
        <f t="array" ref="AC639">_xlfn.IFS(
AND(Table1[[#This Row],[Customer service risk level]]="High risk", Table1[[#This Row],[Intl usage behaviour]]="Unplanned Usage"),"High Risk",
OR(Table1[[#This Row],[Customer service risk level]]="Medium risk", Table1[[#This Row],[Charges risk level]]="High risk "),"Medium Risk",
TRUE,"Low Risk"
)</f>
        <v>Medium Risk</v>
      </c>
    </row>
    <row r="640" spans="1:29" x14ac:dyDescent="0.25">
      <c r="A640" t="s">
        <v>24</v>
      </c>
      <c r="B640">
        <v>88</v>
      </c>
      <c r="C640">
        <v>408</v>
      </c>
      <c r="D640" t="s">
        <v>21</v>
      </c>
      <c r="E640" t="s">
        <v>21</v>
      </c>
      <c r="F640">
        <v>0</v>
      </c>
      <c r="G640">
        <v>153.5</v>
      </c>
      <c r="H640">
        <v>94</v>
      </c>
      <c r="I640">
        <v>26.1</v>
      </c>
      <c r="J640">
        <v>251.7</v>
      </c>
      <c r="K640">
        <v>118</v>
      </c>
      <c r="L640">
        <v>21.39</v>
      </c>
      <c r="M640">
        <v>182.2</v>
      </c>
      <c r="N640">
        <v>99</v>
      </c>
      <c r="O640">
        <v>8.1999999999999993</v>
      </c>
      <c r="P640">
        <v>8.5</v>
      </c>
      <c r="Q640">
        <v>6</v>
      </c>
      <c r="R640">
        <v>2.2999999999999998</v>
      </c>
      <c r="S640">
        <v>1</v>
      </c>
      <c r="T640" t="b">
        <v>0</v>
      </c>
      <c r="U640">
        <f>IFERROR(SUM(Table1[[#This Row],[Total day minutes]],Table1[[#This Row],[Total eve minutes]],Table1[[#This Row],[Total night minutes]],Table1[[#This Row],[Total intl minutes]]),0)</f>
        <v>595.9</v>
      </c>
      <c r="V640">
        <f>SUM(Table1[[#This Row],[Total intl charge]],Table1[[#This Row],[Total night charge]],Table1[[#This Row],[Total eve charge]],Table1[[#This Row],[Total day charge]])</f>
        <v>57.99</v>
      </c>
      <c r="W640">
        <f>SUM(Table1[[#This Row],[Total intl calls]],Table1[[#This Row],[Total night calls]],Table1[[#This Row],[Total eve calls]],Table1[[#This Row],[Total day calls]])</f>
        <v>317</v>
      </c>
      <c r="X640" t="str" cm="1">
        <f t="array" ref="X640">_xlfn.IFS(Table1[[#This Row],[Customer service calls]]&gt;=4,"High risk",Table1[[#This Row],[Customer service calls]]&gt;=2,"Medium risk",TRUE,"Low risk")</f>
        <v>Low risk</v>
      </c>
      <c r="Y640" t="str" cm="1">
        <f t="array" ref="Y640">IFERROR(_xlfn.IFS(Table1[[#This Row],[Total usage(Min)]]&gt;=AVERAGE(U:U)*1.1,"High risk",Table1[[#This Row],[Total usage(Min)]]&lt;= AVERAGE(U:U)*0.9,"Low risk",TRUE,"Medium risk"),"N/A")</f>
        <v>Medium risk</v>
      </c>
      <c r="Z640" t="str" cm="1">
        <f t="array" ref="Z640">IFERROR(_xlfn.IFS(Table1[[#This Row],[Total charges]]&gt;=AVERAGE(V:V)*1.1,"High risk",Table1[[#This Row],[Total charges]]&lt;=AVERAGE(V:V)*0.9,"Low risk",TRUE,"Medium risk"),"N/A")</f>
        <v>Medium risk</v>
      </c>
      <c r="AA64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0" t="str" cm="1">
        <f t="array" ref="AC640">_xlfn.IFS(
AND(Table1[[#This Row],[Customer service risk level]]="High risk", Table1[[#This Row],[Intl usage behaviour]]="Unplanned Usage"),"High Risk",
OR(Table1[[#This Row],[Customer service risk level]]="Medium risk", Table1[[#This Row],[Charges risk level]]="High risk "),"Medium Risk",
TRUE,"Low Risk"
)</f>
        <v>Low Risk</v>
      </c>
    </row>
    <row r="641" spans="1:29" x14ac:dyDescent="0.25">
      <c r="A641" t="s">
        <v>53</v>
      </c>
      <c r="B641">
        <v>110</v>
      </c>
      <c r="C641">
        <v>408</v>
      </c>
      <c r="D641" t="s">
        <v>21</v>
      </c>
      <c r="E641" t="s">
        <v>21</v>
      </c>
      <c r="F641">
        <v>0</v>
      </c>
      <c r="G641">
        <v>159.5</v>
      </c>
      <c r="H641">
        <v>145</v>
      </c>
      <c r="I641">
        <v>27.12</v>
      </c>
      <c r="J641">
        <v>202.3</v>
      </c>
      <c r="K641">
        <v>101</v>
      </c>
      <c r="L641">
        <v>17.2</v>
      </c>
      <c r="M641">
        <v>256</v>
      </c>
      <c r="N641">
        <v>96</v>
      </c>
      <c r="O641">
        <v>11.52</v>
      </c>
      <c r="P641">
        <v>16.7</v>
      </c>
      <c r="Q641">
        <v>2</v>
      </c>
      <c r="R641">
        <v>4.51</v>
      </c>
      <c r="S641">
        <v>2</v>
      </c>
      <c r="T641" t="b">
        <v>0</v>
      </c>
      <c r="U641">
        <f>IFERROR(SUM(Table1[[#This Row],[Total day minutes]],Table1[[#This Row],[Total eve minutes]],Table1[[#This Row],[Total night minutes]],Table1[[#This Row],[Total intl minutes]]),0)</f>
        <v>634.5</v>
      </c>
      <c r="V641">
        <f>SUM(Table1[[#This Row],[Total intl charge]],Table1[[#This Row],[Total night charge]],Table1[[#This Row],[Total eve charge]],Table1[[#This Row],[Total day charge]])</f>
        <v>60.350000000000009</v>
      </c>
      <c r="W641">
        <f>SUM(Table1[[#This Row],[Total intl calls]],Table1[[#This Row],[Total night calls]],Table1[[#This Row],[Total eve calls]],Table1[[#This Row],[Total day calls]])</f>
        <v>344</v>
      </c>
      <c r="X641" t="str" cm="1">
        <f t="array" ref="X641">_xlfn.IFS(Table1[[#This Row],[Customer service calls]]&gt;=4,"High risk",Table1[[#This Row],[Customer service calls]]&gt;=2,"Medium risk",TRUE,"Low risk")</f>
        <v>Medium risk</v>
      </c>
      <c r="Y641" t="str" cm="1">
        <f t="array" ref="Y641">IFERROR(_xlfn.IFS(Table1[[#This Row],[Total usage(Min)]]&gt;=AVERAGE(U:U)*1.1,"High risk",Table1[[#This Row],[Total usage(Min)]]&lt;= AVERAGE(U:U)*0.9,"Low risk",TRUE,"Medium risk"),"N/A")</f>
        <v>Medium risk</v>
      </c>
      <c r="Z641" t="str" cm="1">
        <f t="array" ref="Z641">IFERROR(_xlfn.IFS(Table1[[#This Row],[Total charges]]&gt;=AVERAGE(V:V)*1.1,"High risk",Table1[[#This Row],[Total charges]]&lt;=AVERAGE(V:V)*0.9,"Low risk",TRUE,"Medium risk"),"N/A")</f>
        <v>Medium risk</v>
      </c>
      <c r="AA64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1" t="str" cm="1">
        <f t="array" ref="AC641">_xlfn.IFS(
AND(Table1[[#This Row],[Customer service risk level]]="High risk", Table1[[#This Row],[Intl usage behaviour]]="Unplanned Usage"),"High Risk",
OR(Table1[[#This Row],[Customer service risk level]]="Medium risk", Table1[[#This Row],[Charges risk level]]="High risk "),"Medium Risk",
TRUE,"Low Risk"
)</f>
        <v>Medium Risk</v>
      </c>
    </row>
    <row r="642" spans="1:29" x14ac:dyDescent="0.25">
      <c r="A642" t="s">
        <v>23</v>
      </c>
      <c r="B642">
        <v>209</v>
      </c>
      <c r="C642">
        <v>415</v>
      </c>
      <c r="D642" t="s">
        <v>21</v>
      </c>
      <c r="E642" t="s">
        <v>21</v>
      </c>
      <c r="F642">
        <v>0</v>
      </c>
      <c r="G642">
        <v>153.69999999999999</v>
      </c>
      <c r="H642">
        <v>105</v>
      </c>
      <c r="I642">
        <v>26.13</v>
      </c>
      <c r="J642">
        <v>188.6</v>
      </c>
      <c r="K642">
        <v>87</v>
      </c>
      <c r="L642">
        <v>16.03</v>
      </c>
      <c r="M642">
        <v>200.8</v>
      </c>
      <c r="N642">
        <v>95</v>
      </c>
      <c r="O642">
        <v>9.0399999999999991</v>
      </c>
      <c r="P642">
        <v>10.7</v>
      </c>
      <c r="Q642">
        <v>2</v>
      </c>
      <c r="R642">
        <v>2.89</v>
      </c>
      <c r="S642">
        <v>0</v>
      </c>
      <c r="T642" t="b">
        <v>0</v>
      </c>
      <c r="U642">
        <f>IFERROR(SUM(Table1[[#This Row],[Total day minutes]],Table1[[#This Row],[Total eve minutes]],Table1[[#This Row],[Total night minutes]],Table1[[#This Row],[Total intl minutes]]),0)</f>
        <v>553.79999999999995</v>
      </c>
      <c r="V642">
        <f>SUM(Table1[[#This Row],[Total intl charge]],Table1[[#This Row],[Total night charge]],Table1[[#This Row],[Total eve charge]],Table1[[#This Row],[Total day charge]])</f>
        <v>54.09</v>
      </c>
      <c r="W642">
        <f>SUM(Table1[[#This Row],[Total intl calls]],Table1[[#This Row],[Total night calls]],Table1[[#This Row],[Total eve calls]],Table1[[#This Row],[Total day calls]])</f>
        <v>289</v>
      </c>
      <c r="X642" t="str" cm="1">
        <f t="array" ref="X642">_xlfn.IFS(Table1[[#This Row],[Customer service calls]]&gt;=4,"High risk",Table1[[#This Row],[Customer service calls]]&gt;=2,"Medium risk",TRUE,"Low risk")</f>
        <v>Low risk</v>
      </c>
      <c r="Y642" t="str" cm="1">
        <f t="array" ref="Y642">IFERROR(_xlfn.IFS(Table1[[#This Row],[Total usage(Min)]]&gt;=AVERAGE(U:U)*1.1,"High risk",Table1[[#This Row],[Total usage(Min)]]&lt;= AVERAGE(U:U)*0.9,"Low risk",TRUE,"Medium risk"),"N/A")</f>
        <v>Medium risk</v>
      </c>
      <c r="Z642" t="str" cm="1">
        <f t="array" ref="Z642">IFERROR(_xlfn.IFS(Table1[[#This Row],[Total charges]]&gt;=AVERAGE(V:V)*1.1,"High risk",Table1[[#This Row],[Total charges]]&lt;=AVERAGE(V:V)*0.9,"Low risk",TRUE,"Medium risk"),"N/A")</f>
        <v>Medium risk</v>
      </c>
      <c r="AA64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2" t="str" cm="1">
        <f t="array" ref="AC642">_xlfn.IFS(
AND(Table1[[#This Row],[Customer service risk level]]="High risk", Table1[[#This Row],[Intl usage behaviour]]="Unplanned Usage"),"High Risk",
OR(Table1[[#This Row],[Customer service risk level]]="Medium risk", Table1[[#This Row],[Charges risk level]]="High risk "),"Medium Risk",
TRUE,"Low Risk"
)</f>
        <v>Low Risk</v>
      </c>
    </row>
    <row r="643" spans="1:29" x14ac:dyDescent="0.25">
      <c r="A643" t="s">
        <v>47</v>
      </c>
      <c r="B643">
        <v>27</v>
      </c>
      <c r="C643">
        <v>510</v>
      </c>
      <c r="D643" t="s">
        <v>21</v>
      </c>
      <c r="E643" t="s">
        <v>21</v>
      </c>
      <c r="F643">
        <v>0</v>
      </c>
      <c r="G643">
        <v>232.1</v>
      </c>
      <c r="H643">
        <v>81</v>
      </c>
      <c r="I643">
        <v>39.46</v>
      </c>
      <c r="J643">
        <v>210.8</v>
      </c>
      <c r="K643">
        <v>101</v>
      </c>
      <c r="L643">
        <v>17.920000000000002</v>
      </c>
      <c r="M643">
        <v>165.4</v>
      </c>
      <c r="N643">
        <v>87</v>
      </c>
      <c r="O643">
        <v>7.44</v>
      </c>
      <c r="P643">
        <v>15</v>
      </c>
      <c r="Q643">
        <v>6</v>
      </c>
      <c r="R643">
        <v>4.05</v>
      </c>
      <c r="S643">
        <v>5</v>
      </c>
      <c r="T643" t="b">
        <v>0</v>
      </c>
      <c r="U643">
        <f>IFERROR(SUM(Table1[[#This Row],[Total day minutes]],Table1[[#This Row],[Total eve minutes]],Table1[[#This Row],[Total night minutes]],Table1[[#This Row],[Total intl minutes]]),0)</f>
        <v>623.29999999999995</v>
      </c>
      <c r="V643">
        <f>SUM(Table1[[#This Row],[Total intl charge]],Table1[[#This Row],[Total night charge]],Table1[[#This Row],[Total eve charge]],Table1[[#This Row],[Total day charge]])</f>
        <v>68.87</v>
      </c>
      <c r="W643">
        <f>SUM(Table1[[#This Row],[Total intl calls]],Table1[[#This Row],[Total night calls]],Table1[[#This Row],[Total eve calls]],Table1[[#This Row],[Total day calls]])</f>
        <v>275</v>
      </c>
      <c r="X643" t="str" cm="1">
        <f t="array" ref="X643">_xlfn.IFS(Table1[[#This Row],[Customer service calls]]&gt;=4,"High risk",Table1[[#This Row],[Customer service calls]]&gt;=2,"Medium risk",TRUE,"Low risk")</f>
        <v>High risk</v>
      </c>
      <c r="Y643" t="str" cm="1">
        <f t="array" ref="Y643">IFERROR(_xlfn.IFS(Table1[[#This Row],[Total usage(Min)]]&gt;=AVERAGE(U:U)*1.1,"High risk",Table1[[#This Row],[Total usage(Min)]]&lt;= AVERAGE(U:U)*0.9,"Low risk",TRUE,"Medium risk"),"N/A")</f>
        <v>Medium risk</v>
      </c>
      <c r="Z643" t="str" cm="1">
        <f t="array" ref="Z643">IFERROR(_xlfn.IFS(Table1[[#This Row],[Total charges]]&gt;=AVERAGE(V:V)*1.1,"High risk",Table1[[#This Row],[Total charges]]&lt;=AVERAGE(V:V)*0.9,"Low risk",TRUE,"Medium risk"),"N/A")</f>
        <v>High risk</v>
      </c>
      <c r="AA64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3" t="str" cm="1">
        <f t="array" ref="AC643">_xlfn.IFS(
AND(Table1[[#This Row],[Customer service risk level]]="High risk", Table1[[#This Row],[Intl usage behaviour]]="Unplanned Usage"),"High Risk",
OR(Table1[[#This Row],[Customer service risk level]]="Medium risk", Table1[[#This Row],[Charges risk level]]="High risk "),"Medium Risk",
TRUE,"Low Risk"
)</f>
        <v>High Risk</v>
      </c>
    </row>
    <row r="644" spans="1:29" x14ac:dyDescent="0.25">
      <c r="A644" t="s">
        <v>63</v>
      </c>
      <c r="B644">
        <v>117</v>
      </c>
      <c r="C644">
        <v>415</v>
      </c>
      <c r="D644" t="s">
        <v>21</v>
      </c>
      <c r="E644" t="s">
        <v>21</v>
      </c>
      <c r="F644">
        <v>0</v>
      </c>
      <c r="G644">
        <v>201.9</v>
      </c>
      <c r="H644">
        <v>86</v>
      </c>
      <c r="I644">
        <v>34.32</v>
      </c>
      <c r="J644">
        <v>212.3</v>
      </c>
      <c r="K644">
        <v>96</v>
      </c>
      <c r="L644">
        <v>18.05</v>
      </c>
      <c r="M644">
        <v>176.9</v>
      </c>
      <c r="N644">
        <v>98</v>
      </c>
      <c r="O644">
        <v>7.96</v>
      </c>
      <c r="P644">
        <v>7.8</v>
      </c>
      <c r="Q644">
        <v>10</v>
      </c>
      <c r="R644">
        <v>2.11</v>
      </c>
      <c r="S644">
        <v>1</v>
      </c>
      <c r="T644" t="b">
        <v>0</v>
      </c>
      <c r="U644">
        <f>IFERROR(SUM(Table1[[#This Row],[Total day minutes]],Table1[[#This Row],[Total eve minutes]],Table1[[#This Row],[Total night minutes]],Table1[[#This Row],[Total intl minutes]]),0)</f>
        <v>598.9</v>
      </c>
      <c r="V644">
        <f>SUM(Table1[[#This Row],[Total intl charge]],Table1[[#This Row],[Total night charge]],Table1[[#This Row],[Total eve charge]],Table1[[#This Row],[Total day charge]])</f>
        <v>62.44</v>
      </c>
      <c r="W644">
        <f>SUM(Table1[[#This Row],[Total intl calls]],Table1[[#This Row],[Total night calls]],Table1[[#This Row],[Total eve calls]],Table1[[#This Row],[Total day calls]])</f>
        <v>290</v>
      </c>
      <c r="X644" t="str" cm="1">
        <f t="array" ref="X644">_xlfn.IFS(Table1[[#This Row],[Customer service calls]]&gt;=4,"High risk",Table1[[#This Row],[Customer service calls]]&gt;=2,"Medium risk",TRUE,"Low risk")</f>
        <v>Low risk</v>
      </c>
      <c r="Y644" t="str" cm="1">
        <f t="array" ref="Y644">IFERROR(_xlfn.IFS(Table1[[#This Row],[Total usage(Min)]]&gt;=AVERAGE(U:U)*1.1,"High risk",Table1[[#This Row],[Total usage(Min)]]&lt;= AVERAGE(U:U)*0.9,"Low risk",TRUE,"Medium risk"),"N/A")</f>
        <v>Medium risk</v>
      </c>
      <c r="Z644" t="str" cm="1">
        <f t="array" ref="Z644">IFERROR(_xlfn.IFS(Table1[[#This Row],[Total charges]]&gt;=AVERAGE(V:V)*1.1,"High risk",Table1[[#This Row],[Total charges]]&lt;=AVERAGE(V:V)*0.9,"Low risk",TRUE,"Medium risk"),"N/A")</f>
        <v>Medium risk</v>
      </c>
      <c r="AA64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4" t="str" cm="1">
        <f t="array" ref="AC644">_xlfn.IFS(
AND(Table1[[#This Row],[Customer service risk level]]="High risk", Table1[[#This Row],[Intl usage behaviour]]="Unplanned Usage"),"High Risk",
OR(Table1[[#This Row],[Customer service risk level]]="Medium risk", Table1[[#This Row],[Charges risk level]]="High risk "),"Medium Risk",
TRUE,"Low Risk"
)</f>
        <v>Low Risk</v>
      </c>
    </row>
    <row r="645" spans="1:29" x14ac:dyDescent="0.25">
      <c r="A645" t="s">
        <v>35</v>
      </c>
      <c r="B645">
        <v>87</v>
      </c>
      <c r="C645">
        <v>408</v>
      </c>
      <c r="D645" t="s">
        <v>21</v>
      </c>
      <c r="E645" t="s">
        <v>21</v>
      </c>
      <c r="F645">
        <v>0</v>
      </c>
      <c r="G645">
        <v>186.9</v>
      </c>
      <c r="H645">
        <v>79</v>
      </c>
      <c r="I645">
        <v>31.77</v>
      </c>
      <c r="J645">
        <v>182.6</v>
      </c>
      <c r="K645">
        <v>105</v>
      </c>
      <c r="L645">
        <v>15.52</v>
      </c>
      <c r="M645">
        <v>143.1</v>
      </c>
      <c r="N645">
        <v>90</v>
      </c>
      <c r="O645">
        <v>6.44</v>
      </c>
      <c r="P645">
        <v>4.2</v>
      </c>
      <c r="Q645">
        <v>14</v>
      </c>
      <c r="R645">
        <v>1.1299999999999999</v>
      </c>
      <c r="S645">
        <v>1</v>
      </c>
      <c r="T645" t="b">
        <v>0</v>
      </c>
      <c r="U645">
        <f>IFERROR(SUM(Table1[[#This Row],[Total day minutes]],Table1[[#This Row],[Total eve minutes]],Table1[[#This Row],[Total night minutes]],Table1[[#This Row],[Total intl minutes]]),0)</f>
        <v>516.80000000000007</v>
      </c>
      <c r="V645">
        <f>SUM(Table1[[#This Row],[Total intl charge]],Table1[[#This Row],[Total night charge]],Table1[[#This Row],[Total eve charge]],Table1[[#This Row],[Total day charge]])</f>
        <v>54.86</v>
      </c>
      <c r="W645">
        <f>SUM(Table1[[#This Row],[Total intl calls]],Table1[[#This Row],[Total night calls]],Table1[[#This Row],[Total eve calls]],Table1[[#This Row],[Total day calls]])</f>
        <v>288</v>
      </c>
      <c r="X645" t="str" cm="1">
        <f t="array" ref="X645">_xlfn.IFS(Table1[[#This Row],[Customer service calls]]&gt;=4,"High risk",Table1[[#This Row],[Customer service calls]]&gt;=2,"Medium risk",TRUE,"Low risk")</f>
        <v>Low risk</v>
      </c>
      <c r="Y645" t="str" cm="1">
        <f t="array" ref="Y645">IFERROR(_xlfn.IFS(Table1[[#This Row],[Total usage(Min)]]&gt;=AVERAGE(U:U)*1.1,"High risk",Table1[[#This Row],[Total usage(Min)]]&lt;= AVERAGE(U:U)*0.9,"Low risk",TRUE,"Medium risk"),"N/A")</f>
        <v>Low risk</v>
      </c>
      <c r="Z645" t="str" cm="1">
        <f t="array" ref="Z645">IFERROR(_xlfn.IFS(Table1[[#This Row],[Total charges]]&gt;=AVERAGE(V:V)*1.1,"High risk",Table1[[#This Row],[Total charges]]&lt;=AVERAGE(V:V)*0.9,"Low risk",TRUE,"Medium risk"),"N/A")</f>
        <v>Medium risk</v>
      </c>
      <c r="AA64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5" t="str" cm="1">
        <f t="array" ref="AC645">_xlfn.IFS(
AND(Table1[[#This Row],[Customer service risk level]]="High risk", Table1[[#This Row],[Intl usage behaviour]]="Unplanned Usage"),"High Risk",
OR(Table1[[#This Row],[Customer service risk level]]="Medium risk", Table1[[#This Row],[Charges risk level]]="High risk "),"Medium Risk",
TRUE,"Low Risk"
)</f>
        <v>Low Risk</v>
      </c>
    </row>
    <row r="646" spans="1:29" x14ac:dyDescent="0.25">
      <c r="A646" t="s">
        <v>56</v>
      </c>
      <c r="B646">
        <v>129</v>
      </c>
      <c r="C646">
        <v>510</v>
      </c>
      <c r="D646" t="s">
        <v>21</v>
      </c>
      <c r="E646" t="s">
        <v>27</v>
      </c>
      <c r="F646">
        <v>27</v>
      </c>
      <c r="G646">
        <v>196.6</v>
      </c>
      <c r="H646">
        <v>89</v>
      </c>
      <c r="I646">
        <v>33.42</v>
      </c>
      <c r="J646">
        <v>180.6</v>
      </c>
      <c r="K646">
        <v>95</v>
      </c>
      <c r="L646">
        <v>15.35</v>
      </c>
      <c r="M646">
        <v>245</v>
      </c>
      <c r="N646">
        <v>83</v>
      </c>
      <c r="O646">
        <v>11.03</v>
      </c>
      <c r="P646">
        <v>6.6</v>
      </c>
      <c r="Q646">
        <v>5</v>
      </c>
      <c r="R646">
        <v>1.78</v>
      </c>
      <c r="S646">
        <v>1</v>
      </c>
      <c r="T646" t="b">
        <v>0</v>
      </c>
      <c r="U646">
        <f>IFERROR(SUM(Table1[[#This Row],[Total day minutes]],Table1[[#This Row],[Total eve minutes]],Table1[[#This Row],[Total night minutes]],Table1[[#This Row],[Total intl minutes]]),0)</f>
        <v>628.80000000000007</v>
      </c>
      <c r="V646">
        <f>SUM(Table1[[#This Row],[Total intl charge]],Table1[[#This Row],[Total night charge]],Table1[[#This Row],[Total eve charge]],Table1[[#This Row],[Total day charge]])</f>
        <v>61.58</v>
      </c>
      <c r="W646">
        <f>SUM(Table1[[#This Row],[Total intl calls]],Table1[[#This Row],[Total night calls]],Table1[[#This Row],[Total eve calls]],Table1[[#This Row],[Total day calls]])</f>
        <v>272</v>
      </c>
      <c r="X646" t="str" cm="1">
        <f t="array" ref="X646">_xlfn.IFS(Table1[[#This Row],[Customer service calls]]&gt;=4,"High risk",Table1[[#This Row],[Customer service calls]]&gt;=2,"Medium risk",TRUE,"Low risk")</f>
        <v>Low risk</v>
      </c>
      <c r="Y646" t="str" cm="1">
        <f t="array" ref="Y646">IFERROR(_xlfn.IFS(Table1[[#This Row],[Total usage(Min)]]&gt;=AVERAGE(U:U)*1.1,"High risk",Table1[[#This Row],[Total usage(Min)]]&lt;= AVERAGE(U:U)*0.9,"Low risk",TRUE,"Medium risk"),"N/A")</f>
        <v>Medium risk</v>
      </c>
      <c r="Z646" t="str" cm="1">
        <f t="array" ref="Z646">IFERROR(_xlfn.IFS(Table1[[#This Row],[Total charges]]&gt;=AVERAGE(V:V)*1.1,"High risk",Table1[[#This Row],[Total charges]]&lt;=AVERAGE(V:V)*0.9,"Low risk",TRUE,"Medium risk"),"N/A")</f>
        <v>Medium risk</v>
      </c>
      <c r="AA64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46" t="str" cm="1">
        <f t="array" ref="AC646">_xlfn.IFS(
AND(Table1[[#This Row],[Customer service risk level]]="High risk", Table1[[#This Row],[Intl usage behaviour]]="Unplanned Usage"),"High Risk",
OR(Table1[[#This Row],[Customer service risk level]]="Medium risk", Table1[[#This Row],[Charges risk level]]="High risk "),"Medium Risk",
TRUE,"Low Risk"
)</f>
        <v>Low Risk</v>
      </c>
    </row>
    <row r="647" spans="1:29" x14ac:dyDescent="0.25">
      <c r="A647" t="s">
        <v>31</v>
      </c>
      <c r="B647">
        <v>142</v>
      </c>
      <c r="C647">
        <v>510</v>
      </c>
      <c r="D647" t="s">
        <v>21</v>
      </c>
      <c r="E647" t="s">
        <v>21</v>
      </c>
      <c r="F647">
        <v>0</v>
      </c>
      <c r="G647">
        <v>232.1</v>
      </c>
      <c r="H647">
        <v>102</v>
      </c>
      <c r="I647">
        <v>39.46</v>
      </c>
      <c r="J647">
        <v>168.2</v>
      </c>
      <c r="K647">
        <v>110</v>
      </c>
      <c r="L647">
        <v>14.3</v>
      </c>
      <c r="M647">
        <v>197.3</v>
      </c>
      <c r="N647">
        <v>120</v>
      </c>
      <c r="O647">
        <v>8.8800000000000008</v>
      </c>
      <c r="P647">
        <v>9.9</v>
      </c>
      <c r="Q647">
        <v>3</v>
      </c>
      <c r="R647">
        <v>2.67</v>
      </c>
      <c r="S647">
        <v>1</v>
      </c>
      <c r="T647" t="b">
        <v>0</v>
      </c>
      <c r="U647">
        <f>IFERROR(SUM(Table1[[#This Row],[Total day minutes]],Table1[[#This Row],[Total eve minutes]],Table1[[#This Row],[Total night minutes]],Table1[[#This Row],[Total intl minutes]]),0)</f>
        <v>607.49999999999989</v>
      </c>
      <c r="V647">
        <f>SUM(Table1[[#This Row],[Total intl charge]],Table1[[#This Row],[Total night charge]],Table1[[#This Row],[Total eve charge]],Table1[[#This Row],[Total day charge]])</f>
        <v>65.31</v>
      </c>
      <c r="W647">
        <f>SUM(Table1[[#This Row],[Total intl calls]],Table1[[#This Row],[Total night calls]],Table1[[#This Row],[Total eve calls]],Table1[[#This Row],[Total day calls]])</f>
        <v>335</v>
      </c>
      <c r="X647" t="str" cm="1">
        <f t="array" ref="X647">_xlfn.IFS(Table1[[#This Row],[Customer service calls]]&gt;=4,"High risk",Table1[[#This Row],[Customer service calls]]&gt;=2,"Medium risk",TRUE,"Low risk")</f>
        <v>Low risk</v>
      </c>
      <c r="Y647" t="str" cm="1">
        <f t="array" ref="Y647">IFERROR(_xlfn.IFS(Table1[[#This Row],[Total usage(Min)]]&gt;=AVERAGE(U:U)*1.1,"High risk",Table1[[#This Row],[Total usage(Min)]]&lt;= AVERAGE(U:U)*0.9,"Low risk",TRUE,"Medium risk"),"N/A")</f>
        <v>Medium risk</v>
      </c>
      <c r="Z647" t="str" cm="1">
        <f t="array" ref="Z647">IFERROR(_xlfn.IFS(Table1[[#This Row],[Total charges]]&gt;=AVERAGE(V:V)*1.1,"High risk",Table1[[#This Row],[Total charges]]&lt;=AVERAGE(V:V)*0.9,"Low risk",TRUE,"Medium risk"),"N/A")</f>
        <v>Medium risk</v>
      </c>
      <c r="AA64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7" t="str" cm="1">
        <f t="array" ref="AC647">_xlfn.IFS(
AND(Table1[[#This Row],[Customer service risk level]]="High risk", Table1[[#This Row],[Intl usage behaviour]]="Unplanned Usage"),"High Risk",
OR(Table1[[#This Row],[Customer service risk level]]="Medium risk", Table1[[#This Row],[Charges risk level]]="High risk "),"Medium Risk",
TRUE,"Low Risk"
)</f>
        <v>Low Risk</v>
      </c>
    </row>
    <row r="648" spans="1:29" x14ac:dyDescent="0.25">
      <c r="A648" t="s">
        <v>55</v>
      </c>
      <c r="B648">
        <v>112</v>
      </c>
      <c r="C648">
        <v>415</v>
      </c>
      <c r="D648" t="s">
        <v>21</v>
      </c>
      <c r="E648" t="s">
        <v>21</v>
      </c>
      <c r="F648">
        <v>0</v>
      </c>
      <c r="G648">
        <v>166</v>
      </c>
      <c r="H648">
        <v>79</v>
      </c>
      <c r="I648">
        <v>28.22</v>
      </c>
      <c r="J648">
        <v>74.599999999999994</v>
      </c>
      <c r="K648">
        <v>100</v>
      </c>
      <c r="L648">
        <v>6.34</v>
      </c>
      <c r="M648">
        <v>247.9</v>
      </c>
      <c r="N648">
        <v>74</v>
      </c>
      <c r="O648">
        <v>11.16</v>
      </c>
      <c r="P648">
        <v>6.3</v>
      </c>
      <c r="Q648">
        <v>7</v>
      </c>
      <c r="R648">
        <v>1.7</v>
      </c>
      <c r="S648">
        <v>0</v>
      </c>
      <c r="T648" t="b">
        <v>0</v>
      </c>
      <c r="U648">
        <f>IFERROR(SUM(Table1[[#This Row],[Total day minutes]],Table1[[#This Row],[Total eve minutes]],Table1[[#This Row],[Total night minutes]],Table1[[#This Row],[Total intl minutes]]),0)</f>
        <v>494.8</v>
      </c>
      <c r="V648">
        <f>SUM(Table1[[#This Row],[Total intl charge]],Table1[[#This Row],[Total night charge]],Table1[[#This Row],[Total eve charge]],Table1[[#This Row],[Total day charge]])</f>
        <v>47.42</v>
      </c>
      <c r="W648">
        <f>SUM(Table1[[#This Row],[Total intl calls]],Table1[[#This Row],[Total night calls]],Table1[[#This Row],[Total eve calls]],Table1[[#This Row],[Total day calls]])</f>
        <v>260</v>
      </c>
      <c r="X648" t="str" cm="1">
        <f t="array" ref="X648">_xlfn.IFS(Table1[[#This Row],[Customer service calls]]&gt;=4,"High risk",Table1[[#This Row],[Customer service calls]]&gt;=2,"Medium risk",TRUE,"Low risk")</f>
        <v>Low risk</v>
      </c>
      <c r="Y648" t="str" cm="1">
        <f t="array" ref="Y648">IFERROR(_xlfn.IFS(Table1[[#This Row],[Total usage(Min)]]&gt;=AVERAGE(U:U)*1.1,"High risk",Table1[[#This Row],[Total usage(Min)]]&lt;= AVERAGE(U:U)*0.9,"Low risk",TRUE,"Medium risk"),"N/A")</f>
        <v>Low risk</v>
      </c>
      <c r="Z648" t="str" cm="1">
        <f t="array" ref="Z648">IFERROR(_xlfn.IFS(Table1[[#This Row],[Total charges]]&gt;=AVERAGE(V:V)*1.1,"High risk",Table1[[#This Row],[Total charges]]&lt;=AVERAGE(V:V)*0.9,"Low risk",TRUE,"Medium risk"),"N/A")</f>
        <v>Low risk</v>
      </c>
      <c r="AA64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48" t="str" cm="1">
        <f t="array" ref="AC648">_xlfn.IFS(
AND(Table1[[#This Row],[Customer service risk level]]="High risk", Table1[[#This Row],[Intl usage behaviour]]="Unplanned Usage"),"High Risk",
OR(Table1[[#This Row],[Customer service risk level]]="Medium risk", Table1[[#This Row],[Charges risk level]]="High risk "),"Medium Risk",
TRUE,"Low Risk"
)</f>
        <v>Low Risk</v>
      </c>
    </row>
    <row r="649" spans="1:29" x14ac:dyDescent="0.25">
      <c r="A649" t="s">
        <v>38</v>
      </c>
      <c r="B649">
        <v>97</v>
      </c>
      <c r="C649">
        <v>408</v>
      </c>
      <c r="D649" t="s">
        <v>21</v>
      </c>
      <c r="E649" t="s">
        <v>27</v>
      </c>
      <c r="F649">
        <v>25</v>
      </c>
      <c r="G649">
        <v>141</v>
      </c>
      <c r="H649">
        <v>101</v>
      </c>
      <c r="I649">
        <v>23.97</v>
      </c>
      <c r="J649">
        <v>212</v>
      </c>
      <c r="K649">
        <v>85</v>
      </c>
      <c r="L649">
        <v>18.02</v>
      </c>
      <c r="M649">
        <v>175.2</v>
      </c>
      <c r="N649">
        <v>138</v>
      </c>
      <c r="O649">
        <v>7.88</v>
      </c>
      <c r="P649">
        <v>4.9000000000000004</v>
      </c>
      <c r="Q649">
        <v>2</v>
      </c>
      <c r="R649">
        <v>1.32</v>
      </c>
      <c r="S649">
        <v>3</v>
      </c>
      <c r="T649" t="b">
        <v>0</v>
      </c>
      <c r="U649">
        <f>IFERROR(SUM(Table1[[#This Row],[Total day minutes]],Table1[[#This Row],[Total eve minutes]],Table1[[#This Row],[Total night minutes]],Table1[[#This Row],[Total intl minutes]]),0)</f>
        <v>533.1</v>
      </c>
      <c r="V649">
        <f>SUM(Table1[[#This Row],[Total intl charge]],Table1[[#This Row],[Total night charge]],Table1[[#This Row],[Total eve charge]],Table1[[#This Row],[Total day charge]])</f>
        <v>51.19</v>
      </c>
      <c r="W649">
        <f>SUM(Table1[[#This Row],[Total intl calls]],Table1[[#This Row],[Total night calls]],Table1[[#This Row],[Total eve calls]],Table1[[#This Row],[Total day calls]])</f>
        <v>326</v>
      </c>
      <c r="X649" t="str" cm="1">
        <f t="array" ref="X649">_xlfn.IFS(Table1[[#This Row],[Customer service calls]]&gt;=4,"High risk",Table1[[#This Row],[Customer service calls]]&gt;=2,"Medium risk",TRUE,"Low risk")</f>
        <v>Medium risk</v>
      </c>
      <c r="Y649" t="str" cm="1">
        <f t="array" ref="Y649">IFERROR(_xlfn.IFS(Table1[[#This Row],[Total usage(Min)]]&gt;=AVERAGE(U:U)*1.1,"High risk",Table1[[#This Row],[Total usage(Min)]]&lt;= AVERAGE(U:U)*0.9,"Low risk",TRUE,"Medium risk"),"N/A")</f>
        <v>Low risk</v>
      </c>
      <c r="Z649" t="str" cm="1">
        <f t="array" ref="Z649">IFERROR(_xlfn.IFS(Table1[[#This Row],[Total charges]]&gt;=AVERAGE(V:V)*1.1,"High risk",Table1[[#This Row],[Total charges]]&lt;=AVERAGE(V:V)*0.9,"Low risk",TRUE,"Medium risk"),"N/A")</f>
        <v>Low risk</v>
      </c>
      <c r="AA64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4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49" t="str" cm="1">
        <f t="array" ref="AC649">_xlfn.IFS(
AND(Table1[[#This Row],[Customer service risk level]]="High risk", Table1[[#This Row],[Intl usage behaviour]]="Unplanned Usage"),"High Risk",
OR(Table1[[#This Row],[Customer service risk level]]="Medium risk", Table1[[#This Row],[Charges risk level]]="High risk "),"Medium Risk",
TRUE,"Low Risk"
)</f>
        <v>Medium Risk</v>
      </c>
    </row>
    <row r="650" spans="1:29" x14ac:dyDescent="0.25">
      <c r="A650" t="s">
        <v>52</v>
      </c>
      <c r="B650">
        <v>101</v>
      </c>
      <c r="C650">
        <v>415</v>
      </c>
      <c r="D650" t="s">
        <v>21</v>
      </c>
      <c r="E650" t="s">
        <v>21</v>
      </c>
      <c r="F650">
        <v>0</v>
      </c>
      <c r="G650">
        <v>231.3</v>
      </c>
      <c r="H650">
        <v>87</v>
      </c>
      <c r="I650">
        <v>39.32</v>
      </c>
      <c r="J650">
        <v>224.7</v>
      </c>
      <c r="K650">
        <v>88</v>
      </c>
      <c r="L650">
        <v>19.100000000000001</v>
      </c>
      <c r="M650">
        <v>214.6</v>
      </c>
      <c r="N650">
        <v>69</v>
      </c>
      <c r="O650">
        <v>9.66</v>
      </c>
      <c r="P650">
        <v>7.2</v>
      </c>
      <c r="Q650">
        <v>7</v>
      </c>
      <c r="R650">
        <v>1.94</v>
      </c>
      <c r="S650">
        <v>1</v>
      </c>
      <c r="T650" t="b">
        <v>0</v>
      </c>
      <c r="U650">
        <f>IFERROR(SUM(Table1[[#This Row],[Total day minutes]],Table1[[#This Row],[Total eve minutes]],Table1[[#This Row],[Total night minutes]],Table1[[#This Row],[Total intl minutes]]),0)</f>
        <v>677.80000000000007</v>
      </c>
      <c r="V650">
        <f>SUM(Table1[[#This Row],[Total intl charge]],Table1[[#This Row],[Total night charge]],Table1[[#This Row],[Total eve charge]],Table1[[#This Row],[Total day charge]])</f>
        <v>70.02000000000001</v>
      </c>
      <c r="W650">
        <f>SUM(Table1[[#This Row],[Total intl calls]],Table1[[#This Row],[Total night calls]],Table1[[#This Row],[Total eve calls]],Table1[[#This Row],[Total day calls]])</f>
        <v>251</v>
      </c>
      <c r="X650" t="str" cm="1">
        <f t="array" ref="X650">_xlfn.IFS(Table1[[#This Row],[Customer service calls]]&gt;=4,"High risk",Table1[[#This Row],[Customer service calls]]&gt;=2,"Medium risk",TRUE,"Low risk")</f>
        <v>Low risk</v>
      </c>
      <c r="Y650" t="str" cm="1">
        <f t="array" ref="Y650">IFERROR(_xlfn.IFS(Table1[[#This Row],[Total usage(Min)]]&gt;=AVERAGE(U:U)*1.1,"High risk",Table1[[#This Row],[Total usage(Min)]]&lt;= AVERAGE(U:U)*0.9,"Low risk",TRUE,"Medium risk"),"N/A")</f>
        <v>High risk</v>
      </c>
      <c r="Z650" t="str" cm="1">
        <f t="array" ref="Z650">IFERROR(_xlfn.IFS(Table1[[#This Row],[Total charges]]&gt;=AVERAGE(V:V)*1.1,"High risk",Table1[[#This Row],[Total charges]]&lt;=AVERAGE(V:V)*0.9,"Low risk",TRUE,"Medium risk"),"N/A")</f>
        <v>High risk</v>
      </c>
      <c r="AA65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0" t="str" cm="1">
        <f t="array" ref="AC650">_xlfn.IFS(
AND(Table1[[#This Row],[Customer service risk level]]="High risk", Table1[[#This Row],[Intl usage behaviour]]="Unplanned Usage"),"High Risk",
OR(Table1[[#This Row],[Customer service risk level]]="Medium risk", Table1[[#This Row],[Charges risk level]]="High risk "),"Medium Risk",
TRUE,"Low Risk"
)</f>
        <v>Low Risk</v>
      </c>
    </row>
    <row r="651" spans="1:29" x14ac:dyDescent="0.25">
      <c r="A651" t="s">
        <v>52</v>
      </c>
      <c r="B651">
        <v>127</v>
      </c>
      <c r="C651">
        <v>415</v>
      </c>
      <c r="D651" t="s">
        <v>21</v>
      </c>
      <c r="E651" t="s">
        <v>27</v>
      </c>
      <c r="F651">
        <v>24</v>
      </c>
      <c r="G651">
        <v>154.80000000000001</v>
      </c>
      <c r="H651">
        <v>69</v>
      </c>
      <c r="I651">
        <v>26.32</v>
      </c>
      <c r="J651">
        <v>177.2</v>
      </c>
      <c r="K651">
        <v>105</v>
      </c>
      <c r="L651">
        <v>15.06</v>
      </c>
      <c r="M651">
        <v>207.6</v>
      </c>
      <c r="N651">
        <v>102</v>
      </c>
      <c r="O651">
        <v>9.34</v>
      </c>
      <c r="P651">
        <v>9</v>
      </c>
      <c r="Q651">
        <v>4</v>
      </c>
      <c r="R651">
        <v>2.4300000000000002</v>
      </c>
      <c r="S651">
        <v>1</v>
      </c>
      <c r="T651" t="b">
        <v>0</v>
      </c>
      <c r="U651">
        <f>IFERROR(SUM(Table1[[#This Row],[Total day minutes]],Table1[[#This Row],[Total eve minutes]],Table1[[#This Row],[Total night minutes]],Table1[[#This Row],[Total intl minutes]]),0)</f>
        <v>548.6</v>
      </c>
      <c r="V651">
        <f>SUM(Table1[[#This Row],[Total intl charge]],Table1[[#This Row],[Total night charge]],Table1[[#This Row],[Total eve charge]],Table1[[#This Row],[Total day charge]])</f>
        <v>53.15</v>
      </c>
      <c r="W651">
        <f>SUM(Table1[[#This Row],[Total intl calls]],Table1[[#This Row],[Total night calls]],Table1[[#This Row],[Total eve calls]],Table1[[#This Row],[Total day calls]])</f>
        <v>280</v>
      </c>
      <c r="X651" t="str" cm="1">
        <f t="array" ref="X651">_xlfn.IFS(Table1[[#This Row],[Customer service calls]]&gt;=4,"High risk",Table1[[#This Row],[Customer service calls]]&gt;=2,"Medium risk",TRUE,"Low risk")</f>
        <v>Low risk</v>
      </c>
      <c r="Y651" t="str" cm="1">
        <f t="array" ref="Y651">IFERROR(_xlfn.IFS(Table1[[#This Row],[Total usage(Min)]]&gt;=AVERAGE(U:U)*1.1,"High risk",Table1[[#This Row],[Total usage(Min)]]&lt;= AVERAGE(U:U)*0.9,"Low risk",TRUE,"Medium risk"),"N/A")</f>
        <v>Medium risk</v>
      </c>
      <c r="Z651" t="str" cm="1">
        <f t="array" ref="Z651">IFERROR(_xlfn.IFS(Table1[[#This Row],[Total charges]]&gt;=AVERAGE(V:V)*1.1,"High risk",Table1[[#This Row],[Total charges]]&lt;=AVERAGE(V:V)*0.9,"Low risk",TRUE,"Medium risk"),"N/A")</f>
        <v>Low risk</v>
      </c>
      <c r="AA65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1"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51" t="str" cm="1">
        <f t="array" ref="AC651">_xlfn.IFS(
AND(Table1[[#This Row],[Customer service risk level]]="High risk", Table1[[#This Row],[Intl usage behaviour]]="Unplanned Usage"),"High Risk",
OR(Table1[[#This Row],[Customer service risk level]]="Medium risk", Table1[[#This Row],[Charges risk level]]="High risk "),"Medium Risk",
TRUE,"Low Risk"
)</f>
        <v>Low Risk</v>
      </c>
    </row>
    <row r="652" spans="1:29" x14ac:dyDescent="0.25">
      <c r="A652" t="s">
        <v>50</v>
      </c>
      <c r="B652">
        <v>148</v>
      </c>
      <c r="C652">
        <v>408</v>
      </c>
      <c r="D652" t="s">
        <v>21</v>
      </c>
      <c r="E652" t="s">
        <v>21</v>
      </c>
      <c r="F652">
        <v>0</v>
      </c>
      <c r="G652">
        <v>243</v>
      </c>
      <c r="H652">
        <v>115</v>
      </c>
      <c r="I652">
        <v>41.31</v>
      </c>
      <c r="J652">
        <v>191.8</v>
      </c>
      <c r="K652">
        <v>91</v>
      </c>
      <c r="L652">
        <v>16.3</v>
      </c>
      <c r="M652">
        <v>117.8</v>
      </c>
      <c r="N652">
        <v>93</v>
      </c>
      <c r="O652">
        <v>5.3</v>
      </c>
      <c r="P652">
        <v>13.4</v>
      </c>
      <c r="Q652">
        <v>5</v>
      </c>
      <c r="R652">
        <v>3.62</v>
      </c>
      <c r="S652">
        <v>2</v>
      </c>
      <c r="T652" t="b">
        <v>0</v>
      </c>
      <c r="U652">
        <f>IFERROR(SUM(Table1[[#This Row],[Total day minutes]],Table1[[#This Row],[Total eve minutes]],Table1[[#This Row],[Total night minutes]],Table1[[#This Row],[Total intl minutes]]),0)</f>
        <v>566</v>
      </c>
      <c r="V652">
        <f>SUM(Table1[[#This Row],[Total intl charge]],Table1[[#This Row],[Total night charge]],Table1[[#This Row],[Total eve charge]],Table1[[#This Row],[Total day charge]])</f>
        <v>66.53</v>
      </c>
      <c r="W652">
        <f>SUM(Table1[[#This Row],[Total intl calls]],Table1[[#This Row],[Total night calls]],Table1[[#This Row],[Total eve calls]],Table1[[#This Row],[Total day calls]])</f>
        <v>304</v>
      </c>
      <c r="X652" t="str" cm="1">
        <f t="array" ref="X652">_xlfn.IFS(Table1[[#This Row],[Customer service calls]]&gt;=4,"High risk",Table1[[#This Row],[Customer service calls]]&gt;=2,"Medium risk",TRUE,"Low risk")</f>
        <v>Medium risk</v>
      </c>
      <c r="Y652" t="str" cm="1">
        <f t="array" ref="Y652">IFERROR(_xlfn.IFS(Table1[[#This Row],[Total usage(Min)]]&gt;=AVERAGE(U:U)*1.1,"High risk",Table1[[#This Row],[Total usage(Min)]]&lt;= AVERAGE(U:U)*0.9,"Low risk",TRUE,"Medium risk"),"N/A")</f>
        <v>Medium risk</v>
      </c>
      <c r="Z652" t="str" cm="1">
        <f t="array" ref="Z652">IFERROR(_xlfn.IFS(Table1[[#This Row],[Total charges]]&gt;=AVERAGE(V:V)*1.1,"High risk",Table1[[#This Row],[Total charges]]&lt;=AVERAGE(V:V)*0.9,"Low risk",TRUE,"Medium risk"),"N/A")</f>
        <v>High risk</v>
      </c>
      <c r="AA65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2" t="str" cm="1">
        <f t="array" ref="AC652">_xlfn.IFS(
AND(Table1[[#This Row],[Customer service risk level]]="High risk", Table1[[#This Row],[Intl usage behaviour]]="Unplanned Usage"),"High Risk",
OR(Table1[[#This Row],[Customer service risk level]]="Medium risk", Table1[[#This Row],[Charges risk level]]="High risk "),"Medium Risk",
TRUE,"Low Risk"
)</f>
        <v>Medium Risk</v>
      </c>
    </row>
    <row r="653" spans="1:29" x14ac:dyDescent="0.25">
      <c r="A653" t="s">
        <v>55</v>
      </c>
      <c r="B653">
        <v>138</v>
      </c>
      <c r="C653">
        <v>510</v>
      </c>
      <c r="D653" t="s">
        <v>21</v>
      </c>
      <c r="E653" t="s">
        <v>27</v>
      </c>
      <c r="F653">
        <v>33</v>
      </c>
      <c r="G653">
        <v>155.19999999999999</v>
      </c>
      <c r="H653">
        <v>139</v>
      </c>
      <c r="I653">
        <v>26.38</v>
      </c>
      <c r="J653">
        <v>268.3</v>
      </c>
      <c r="K653">
        <v>79</v>
      </c>
      <c r="L653">
        <v>22.81</v>
      </c>
      <c r="M653">
        <v>186.4</v>
      </c>
      <c r="N653">
        <v>71</v>
      </c>
      <c r="O653">
        <v>8.39</v>
      </c>
      <c r="P653">
        <v>9.6999999999999993</v>
      </c>
      <c r="Q653">
        <v>4</v>
      </c>
      <c r="R653">
        <v>2.62</v>
      </c>
      <c r="S653">
        <v>3</v>
      </c>
      <c r="T653" t="b">
        <v>0</v>
      </c>
      <c r="U653">
        <f>IFERROR(SUM(Table1[[#This Row],[Total day minutes]],Table1[[#This Row],[Total eve minutes]],Table1[[#This Row],[Total night minutes]],Table1[[#This Row],[Total intl minutes]]),0)</f>
        <v>619.6</v>
      </c>
      <c r="V653">
        <f>SUM(Table1[[#This Row],[Total intl charge]],Table1[[#This Row],[Total night charge]],Table1[[#This Row],[Total eve charge]],Table1[[#This Row],[Total day charge]])</f>
        <v>60.2</v>
      </c>
      <c r="W653">
        <f>SUM(Table1[[#This Row],[Total intl calls]],Table1[[#This Row],[Total night calls]],Table1[[#This Row],[Total eve calls]],Table1[[#This Row],[Total day calls]])</f>
        <v>293</v>
      </c>
      <c r="X653" t="str" cm="1">
        <f t="array" ref="X653">_xlfn.IFS(Table1[[#This Row],[Customer service calls]]&gt;=4,"High risk",Table1[[#This Row],[Customer service calls]]&gt;=2,"Medium risk",TRUE,"Low risk")</f>
        <v>Medium risk</v>
      </c>
      <c r="Y653" t="str" cm="1">
        <f t="array" ref="Y653">IFERROR(_xlfn.IFS(Table1[[#This Row],[Total usage(Min)]]&gt;=AVERAGE(U:U)*1.1,"High risk",Table1[[#This Row],[Total usage(Min)]]&lt;= AVERAGE(U:U)*0.9,"Low risk",TRUE,"Medium risk"),"N/A")</f>
        <v>Medium risk</v>
      </c>
      <c r="Z653" t="str" cm="1">
        <f t="array" ref="Z653">IFERROR(_xlfn.IFS(Table1[[#This Row],[Total charges]]&gt;=AVERAGE(V:V)*1.1,"High risk",Table1[[#This Row],[Total charges]]&lt;=AVERAGE(V:V)*0.9,"Low risk",TRUE,"Medium risk"),"N/A")</f>
        <v>Medium risk</v>
      </c>
      <c r="AA65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3"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53" t="str" cm="1">
        <f t="array" ref="AC653">_xlfn.IFS(
AND(Table1[[#This Row],[Customer service risk level]]="High risk", Table1[[#This Row],[Intl usage behaviour]]="Unplanned Usage"),"High Risk",
OR(Table1[[#This Row],[Customer service risk level]]="Medium risk", Table1[[#This Row],[Charges risk level]]="High risk "),"Medium Risk",
TRUE,"Low Risk"
)</f>
        <v>Medium Risk</v>
      </c>
    </row>
    <row r="654" spans="1:29" x14ac:dyDescent="0.25">
      <c r="A654" t="s">
        <v>40</v>
      </c>
      <c r="B654">
        <v>84</v>
      </c>
      <c r="C654">
        <v>415</v>
      </c>
      <c r="D654" t="s">
        <v>21</v>
      </c>
      <c r="E654" t="s">
        <v>21</v>
      </c>
      <c r="F654">
        <v>0</v>
      </c>
      <c r="G654">
        <v>289.10000000000002</v>
      </c>
      <c r="H654">
        <v>100</v>
      </c>
      <c r="I654">
        <v>49.15</v>
      </c>
      <c r="J654">
        <v>233.8</v>
      </c>
      <c r="K654">
        <v>97</v>
      </c>
      <c r="L654">
        <v>19.87</v>
      </c>
      <c r="M654">
        <v>223.5</v>
      </c>
      <c r="N654">
        <v>148</v>
      </c>
      <c r="O654">
        <v>10.06</v>
      </c>
      <c r="P654">
        <v>12.7</v>
      </c>
      <c r="Q654">
        <v>2</v>
      </c>
      <c r="R654">
        <v>3.43</v>
      </c>
      <c r="S654">
        <v>2</v>
      </c>
      <c r="T654" t="b">
        <v>1</v>
      </c>
      <c r="U654">
        <f>IFERROR(SUM(Table1[[#This Row],[Total day minutes]],Table1[[#This Row],[Total eve minutes]],Table1[[#This Row],[Total night minutes]],Table1[[#This Row],[Total intl minutes]]),0)</f>
        <v>759.10000000000014</v>
      </c>
      <c r="V654">
        <f>SUM(Table1[[#This Row],[Total intl charge]],Table1[[#This Row],[Total night charge]],Table1[[#This Row],[Total eve charge]],Table1[[#This Row],[Total day charge]])</f>
        <v>82.509999999999991</v>
      </c>
      <c r="W654">
        <f>SUM(Table1[[#This Row],[Total intl calls]],Table1[[#This Row],[Total night calls]],Table1[[#This Row],[Total eve calls]],Table1[[#This Row],[Total day calls]])</f>
        <v>347</v>
      </c>
      <c r="X654" t="str" cm="1">
        <f t="array" ref="X654">_xlfn.IFS(Table1[[#This Row],[Customer service calls]]&gt;=4,"High risk",Table1[[#This Row],[Customer service calls]]&gt;=2,"Medium risk",TRUE,"Low risk")</f>
        <v>Medium risk</v>
      </c>
      <c r="Y654" t="str" cm="1">
        <f t="array" ref="Y654">IFERROR(_xlfn.IFS(Table1[[#This Row],[Total usage(Min)]]&gt;=AVERAGE(U:U)*1.1,"High risk",Table1[[#This Row],[Total usage(Min)]]&lt;= AVERAGE(U:U)*0.9,"Low risk",TRUE,"Medium risk"),"N/A")</f>
        <v>High risk</v>
      </c>
      <c r="Z654" t="str" cm="1">
        <f t="array" ref="Z654">IFERROR(_xlfn.IFS(Table1[[#This Row],[Total charges]]&gt;=AVERAGE(V:V)*1.1,"High risk",Table1[[#This Row],[Total charges]]&lt;=AVERAGE(V:V)*0.9,"Low risk",TRUE,"Medium risk"),"N/A")</f>
        <v>High risk</v>
      </c>
      <c r="AA65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4"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4" t="str" cm="1">
        <f t="array" ref="AC654">_xlfn.IFS(
AND(Table1[[#This Row],[Customer service risk level]]="High risk", Table1[[#This Row],[Intl usage behaviour]]="Unplanned Usage"),"High Risk",
OR(Table1[[#This Row],[Customer service risk level]]="Medium risk", Table1[[#This Row],[Charges risk level]]="High risk "),"Medium Risk",
TRUE,"Low Risk"
)</f>
        <v>Medium Risk</v>
      </c>
    </row>
    <row r="655" spans="1:29" x14ac:dyDescent="0.25">
      <c r="A655" t="s">
        <v>65</v>
      </c>
      <c r="B655">
        <v>133</v>
      </c>
      <c r="C655">
        <v>510</v>
      </c>
      <c r="D655" t="s">
        <v>21</v>
      </c>
      <c r="E655" t="s">
        <v>21</v>
      </c>
      <c r="F655">
        <v>0</v>
      </c>
      <c r="G655">
        <v>295</v>
      </c>
      <c r="H655">
        <v>141</v>
      </c>
      <c r="I655">
        <v>50.15</v>
      </c>
      <c r="J655">
        <v>223.6</v>
      </c>
      <c r="K655">
        <v>101</v>
      </c>
      <c r="L655">
        <v>19.010000000000002</v>
      </c>
      <c r="M655">
        <v>229.4</v>
      </c>
      <c r="N655">
        <v>109</v>
      </c>
      <c r="O655">
        <v>10.32</v>
      </c>
      <c r="P655">
        <v>12.9</v>
      </c>
      <c r="Q655">
        <v>4</v>
      </c>
      <c r="R655">
        <v>3.48</v>
      </c>
      <c r="S655">
        <v>2</v>
      </c>
      <c r="T655" t="b">
        <v>1</v>
      </c>
      <c r="U655">
        <f>IFERROR(SUM(Table1[[#This Row],[Total day minutes]],Table1[[#This Row],[Total eve minutes]],Table1[[#This Row],[Total night minutes]],Table1[[#This Row],[Total intl minutes]]),0)</f>
        <v>760.9</v>
      </c>
      <c r="V655">
        <f>SUM(Table1[[#This Row],[Total intl charge]],Table1[[#This Row],[Total night charge]],Table1[[#This Row],[Total eve charge]],Table1[[#This Row],[Total day charge]])</f>
        <v>82.960000000000008</v>
      </c>
      <c r="W655">
        <f>SUM(Table1[[#This Row],[Total intl calls]],Table1[[#This Row],[Total night calls]],Table1[[#This Row],[Total eve calls]],Table1[[#This Row],[Total day calls]])</f>
        <v>355</v>
      </c>
      <c r="X655" t="str" cm="1">
        <f t="array" ref="X655">_xlfn.IFS(Table1[[#This Row],[Customer service calls]]&gt;=4,"High risk",Table1[[#This Row],[Customer service calls]]&gt;=2,"Medium risk",TRUE,"Low risk")</f>
        <v>Medium risk</v>
      </c>
      <c r="Y655" t="str" cm="1">
        <f t="array" ref="Y655">IFERROR(_xlfn.IFS(Table1[[#This Row],[Total usage(Min)]]&gt;=AVERAGE(U:U)*1.1,"High risk",Table1[[#This Row],[Total usage(Min)]]&lt;= AVERAGE(U:U)*0.9,"Low risk",TRUE,"Medium risk"),"N/A")</f>
        <v>High risk</v>
      </c>
      <c r="Z655" t="str" cm="1">
        <f t="array" ref="Z655">IFERROR(_xlfn.IFS(Table1[[#This Row],[Total charges]]&gt;=AVERAGE(V:V)*1.1,"High risk",Table1[[#This Row],[Total charges]]&lt;=AVERAGE(V:V)*0.9,"Low risk",TRUE,"Medium risk"),"N/A")</f>
        <v>High risk</v>
      </c>
      <c r="AA65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5"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5" t="str" cm="1">
        <f t="array" ref="AC655">_xlfn.IFS(
AND(Table1[[#This Row],[Customer service risk level]]="High risk", Table1[[#This Row],[Intl usage behaviour]]="Unplanned Usage"),"High Risk",
OR(Table1[[#This Row],[Customer service risk level]]="Medium risk", Table1[[#This Row],[Charges risk level]]="High risk "),"Medium Risk",
TRUE,"Low Risk"
)</f>
        <v>Medium Risk</v>
      </c>
    </row>
    <row r="656" spans="1:29" x14ac:dyDescent="0.25">
      <c r="A656" t="s">
        <v>23</v>
      </c>
      <c r="B656">
        <v>120</v>
      </c>
      <c r="C656">
        <v>510</v>
      </c>
      <c r="D656" t="s">
        <v>21</v>
      </c>
      <c r="E656" t="s">
        <v>27</v>
      </c>
      <c r="F656">
        <v>27</v>
      </c>
      <c r="G656">
        <v>128.5</v>
      </c>
      <c r="H656">
        <v>115</v>
      </c>
      <c r="I656">
        <v>21.85</v>
      </c>
      <c r="J656">
        <v>163.69999999999999</v>
      </c>
      <c r="K656">
        <v>91</v>
      </c>
      <c r="L656">
        <v>13.91</v>
      </c>
      <c r="M656">
        <v>242.9</v>
      </c>
      <c r="N656">
        <v>121</v>
      </c>
      <c r="O656">
        <v>10.93</v>
      </c>
      <c r="P656">
        <v>0</v>
      </c>
      <c r="Q656">
        <v>0</v>
      </c>
      <c r="R656">
        <v>0</v>
      </c>
      <c r="S656">
        <v>1</v>
      </c>
      <c r="T656" t="b">
        <v>0</v>
      </c>
      <c r="U656">
        <f>IFERROR(SUM(Table1[[#This Row],[Total day minutes]],Table1[[#This Row],[Total eve minutes]],Table1[[#This Row],[Total night minutes]],Table1[[#This Row],[Total intl minutes]]),0)</f>
        <v>535.1</v>
      </c>
      <c r="V656">
        <f>SUM(Table1[[#This Row],[Total intl charge]],Table1[[#This Row],[Total night charge]],Table1[[#This Row],[Total eve charge]],Table1[[#This Row],[Total day charge]])</f>
        <v>46.69</v>
      </c>
      <c r="W656">
        <f>SUM(Table1[[#This Row],[Total intl calls]],Table1[[#This Row],[Total night calls]],Table1[[#This Row],[Total eve calls]],Table1[[#This Row],[Total day calls]])</f>
        <v>327</v>
      </c>
      <c r="X656" t="str" cm="1">
        <f t="array" ref="X656">_xlfn.IFS(Table1[[#This Row],[Customer service calls]]&gt;=4,"High risk",Table1[[#This Row],[Customer service calls]]&gt;=2,"Medium risk",TRUE,"Low risk")</f>
        <v>Low risk</v>
      </c>
      <c r="Y656" t="str" cm="1">
        <f t="array" ref="Y656">IFERROR(_xlfn.IFS(Table1[[#This Row],[Total usage(Min)]]&gt;=AVERAGE(U:U)*1.1,"High risk",Table1[[#This Row],[Total usage(Min)]]&lt;= AVERAGE(U:U)*0.9,"Low risk",TRUE,"Medium risk"),"N/A")</f>
        <v>Medium risk</v>
      </c>
      <c r="Z656" t="str" cm="1">
        <f t="array" ref="Z656">IFERROR(_xlfn.IFS(Table1[[#This Row],[Total charges]]&gt;=AVERAGE(V:V)*1.1,"High risk",Table1[[#This Row],[Total charges]]&lt;=AVERAGE(V:V)*0.9,"Low risk",TRUE,"Medium risk"),"N/A")</f>
        <v>Low risk</v>
      </c>
      <c r="AA65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Inactive</v>
      </c>
      <c r="AB656"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56" t="str" cm="1">
        <f t="array" ref="AC656">_xlfn.IFS(
AND(Table1[[#This Row],[Customer service risk level]]="High risk", Table1[[#This Row],[Intl usage behaviour]]="Unplanned Usage"),"High Risk",
OR(Table1[[#This Row],[Customer service risk level]]="Medium risk", Table1[[#This Row],[Charges risk level]]="High risk "),"Medium Risk",
TRUE,"Low Risk"
)</f>
        <v>Low Risk</v>
      </c>
    </row>
    <row r="657" spans="1:29" x14ac:dyDescent="0.25">
      <c r="A657" t="s">
        <v>31</v>
      </c>
      <c r="B657">
        <v>87</v>
      </c>
      <c r="C657">
        <v>415</v>
      </c>
      <c r="D657" t="s">
        <v>21</v>
      </c>
      <c r="E657" t="s">
        <v>21</v>
      </c>
      <c r="F657">
        <v>0</v>
      </c>
      <c r="G657">
        <v>238</v>
      </c>
      <c r="H657">
        <v>97</v>
      </c>
      <c r="I657">
        <v>40.46</v>
      </c>
      <c r="J657">
        <v>164.5</v>
      </c>
      <c r="K657">
        <v>97</v>
      </c>
      <c r="L657">
        <v>13.98</v>
      </c>
      <c r="M657">
        <v>282.5</v>
      </c>
      <c r="N657">
        <v>132</v>
      </c>
      <c r="O657">
        <v>12.71</v>
      </c>
      <c r="P657">
        <v>10.6</v>
      </c>
      <c r="Q657">
        <v>6</v>
      </c>
      <c r="R657">
        <v>2.86</v>
      </c>
      <c r="S657">
        <v>2</v>
      </c>
      <c r="T657" t="b">
        <v>0</v>
      </c>
      <c r="U657">
        <f>IFERROR(SUM(Table1[[#This Row],[Total day minutes]],Table1[[#This Row],[Total eve minutes]],Table1[[#This Row],[Total night minutes]],Table1[[#This Row],[Total intl minutes]]),0)</f>
        <v>695.6</v>
      </c>
      <c r="V657">
        <f>SUM(Table1[[#This Row],[Total intl charge]],Table1[[#This Row],[Total night charge]],Table1[[#This Row],[Total eve charge]],Table1[[#This Row],[Total day charge]])</f>
        <v>70.010000000000005</v>
      </c>
      <c r="W657">
        <f>SUM(Table1[[#This Row],[Total intl calls]],Table1[[#This Row],[Total night calls]],Table1[[#This Row],[Total eve calls]],Table1[[#This Row],[Total day calls]])</f>
        <v>332</v>
      </c>
      <c r="X657" t="str" cm="1">
        <f t="array" ref="X657">_xlfn.IFS(Table1[[#This Row],[Customer service calls]]&gt;=4,"High risk",Table1[[#This Row],[Customer service calls]]&gt;=2,"Medium risk",TRUE,"Low risk")</f>
        <v>Medium risk</v>
      </c>
      <c r="Y657" t="str" cm="1">
        <f t="array" ref="Y657">IFERROR(_xlfn.IFS(Table1[[#This Row],[Total usage(Min)]]&gt;=AVERAGE(U:U)*1.1,"High risk",Table1[[#This Row],[Total usage(Min)]]&lt;= AVERAGE(U:U)*0.9,"Low risk",TRUE,"Medium risk"),"N/A")</f>
        <v>High risk</v>
      </c>
      <c r="Z657" t="str" cm="1">
        <f t="array" ref="Z657">IFERROR(_xlfn.IFS(Table1[[#This Row],[Total charges]]&gt;=AVERAGE(V:V)*1.1,"High risk",Table1[[#This Row],[Total charges]]&lt;=AVERAGE(V:V)*0.9,"Low risk",TRUE,"Medium risk"),"N/A")</f>
        <v>High risk</v>
      </c>
      <c r="AA65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7" t="str" cm="1">
        <f t="array" ref="AC657">_xlfn.IFS(
AND(Table1[[#This Row],[Customer service risk level]]="High risk", Table1[[#This Row],[Intl usage behaviour]]="Unplanned Usage"),"High Risk",
OR(Table1[[#This Row],[Customer service risk level]]="Medium risk", Table1[[#This Row],[Charges risk level]]="High risk "),"Medium Risk",
TRUE,"Low Risk"
)</f>
        <v>Medium Risk</v>
      </c>
    </row>
    <row r="658" spans="1:29" x14ac:dyDescent="0.25">
      <c r="A658" t="s">
        <v>26</v>
      </c>
      <c r="B658">
        <v>99</v>
      </c>
      <c r="C658">
        <v>510</v>
      </c>
      <c r="D658" t="s">
        <v>21</v>
      </c>
      <c r="E658" t="s">
        <v>21</v>
      </c>
      <c r="F658">
        <v>0</v>
      </c>
      <c r="G658">
        <v>238.4</v>
      </c>
      <c r="H658">
        <v>96</v>
      </c>
      <c r="I658">
        <v>40.53</v>
      </c>
      <c r="J658">
        <v>246.5</v>
      </c>
      <c r="K658">
        <v>130</v>
      </c>
      <c r="L658">
        <v>20.95</v>
      </c>
      <c r="M658">
        <v>198.4</v>
      </c>
      <c r="N658">
        <v>117</v>
      </c>
      <c r="O658">
        <v>8.93</v>
      </c>
      <c r="P658">
        <v>12.4</v>
      </c>
      <c r="Q658">
        <v>4</v>
      </c>
      <c r="R658">
        <v>3.35</v>
      </c>
      <c r="S658">
        <v>3</v>
      </c>
      <c r="T658" t="b">
        <v>0</v>
      </c>
      <c r="U658">
        <f>IFERROR(SUM(Table1[[#This Row],[Total day minutes]],Table1[[#This Row],[Total eve minutes]],Table1[[#This Row],[Total night minutes]],Table1[[#This Row],[Total intl minutes]]),0)</f>
        <v>695.69999999999993</v>
      </c>
      <c r="V658">
        <f>SUM(Table1[[#This Row],[Total intl charge]],Table1[[#This Row],[Total night charge]],Table1[[#This Row],[Total eve charge]],Table1[[#This Row],[Total day charge]])</f>
        <v>73.759999999999991</v>
      </c>
      <c r="W658">
        <f>SUM(Table1[[#This Row],[Total intl calls]],Table1[[#This Row],[Total night calls]],Table1[[#This Row],[Total eve calls]],Table1[[#This Row],[Total day calls]])</f>
        <v>347</v>
      </c>
      <c r="X658" t="str" cm="1">
        <f t="array" ref="X658">_xlfn.IFS(Table1[[#This Row],[Customer service calls]]&gt;=4,"High risk",Table1[[#This Row],[Customer service calls]]&gt;=2,"Medium risk",TRUE,"Low risk")</f>
        <v>Medium risk</v>
      </c>
      <c r="Y658" t="str" cm="1">
        <f t="array" ref="Y658">IFERROR(_xlfn.IFS(Table1[[#This Row],[Total usage(Min)]]&gt;=AVERAGE(U:U)*1.1,"High risk",Table1[[#This Row],[Total usage(Min)]]&lt;= AVERAGE(U:U)*0.9,"Low risk",TRUE,"Medium risk"),"N/A")</f>
        <v>High risk</v>
      </c>
      <c r="Z658" t="str" cm="1">
        <f t="array" ref="Z658">IFERROR(_xlfn.IFS(Table1[[#This Row],[Total charges]]&gt;=AVERAGE(V:V)*1.1,"High risk",Table1[[#This Row],[Total charges]]&lt;=AVERAGE(V:V)*0.9,"Low risk",TRUE,"Medium risk"),"N/A")</f>
        <v>High risk</v>
      </c>
      <c r="AA65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58" t="str" cm="1">
        <f t="array" ref="AC658">_xlfn.IFS(
AND(Table1[[#This Row],[Customer service risk level]]="High risk", Table1[[#This Row],[Intl usage behaviour]]="Unplanned Usage"),"High Risk",
OR(Table1[[#This Row],[Customer service risk level]]="Medium risk", Table1[[#This Row],[Charges risk level]]="High risk "),"Medium Risk",
TRUE,"Low Risk"
)</f>
        <v>Medium Risk</v>
      </c>
    </row>
    <row r="659" spans="1:29" x14ac:dyDescent="0.25">
      <c r="A659" t="s">
        <v>38</v>
      </c>
      <c r="B659">
        <v>48</v>
      </c>
      <c r="C659">
        <v>415</v>
      </c>
      <c r="D659" t="s">
        <v>21</v>
      </c>
      <c r="E659" t="s">
        <v>27</v>
      </c>
      <c r="F659">
        <v>27</v>
      </c>
      <c r="G659">
        <v>141.1</v>
      </c>
      <c r="H659">
        <v>109</v>
      </c>
      <c r="I659">
        <v>23.99</v>
      </c>
      <c r="J659">
        <v>224.7</v>
      </c>
      <c r="K659">
        <v>94</v>
      </c>
      <c r="L659">
        <v>19.100000000000001</v>
      </c>
      <c r="M659">
        <v>174.3</v>
      </c>
      <c r="N659">
        <v>122</v>
      </c>
      <c r="O659">
        <v>7.84</v>
      </c>
      <c r="P659">
        <v>13.2</v>
      </c>
      <c r="Q659">
        <v>2</v>
      </c>
      <c r="R659">
        <v>3.56</v>
      </c>
      <c r="S659">
        <v>1</v>
      </c>
      <c r="T659" t="b">
        <v>0</v>
      </c>
      <c r="U659">
        <f>IFERROR(SUM(Table1[[#This Row],[Total day minutes]],Table1[[#This Row],[Total eve minutes]],Table1[[#This Row],[Total night minutes]],Table1[[#This Row],[Total intl minutes]]),0)</f>
        <v>553.29999999999995</v>
      </c>
      <c r="V659">
        <f>SUM(Table1[[#This Row],[Total intl charge]],Table1[[#This Row],[Total night charge]],Table1[[#This Row],[Total eve charge]],Table1[[#This Row],[Total day charge]])</f>
        <v>54.489999999999995</v>
      </c>
      <c r="W659">
        <f>SUM(Table1[[#This Row],[Total intl calls]],Table1[[#This Row],[Total night calls]],Table1[[#This Row],[Total eve calls]],Table1[[#This Row],[Total day calls]])</f>
        <v>327</v>
      </c>
      <c r="X659" t="str" cm="1">
        <f t="array" ref="X659">_xlfn.IFS(Table1[[#This Row],[Customer service calls]]&gt;=4,"High risk",Table1[[#This Row],[Customer service calls]]&gt;=2,"Medium risk",TRUE,"Low risk")</f>
        <v>Low risk</v>
      </c>
      <c r="Y659" t="str" cm="1">
        <f t="array" ref="Y659">IFERROR(_xlfn.IFS(Table1[[#This Row],[Total usage(Min)]]&gt;=AVERAGE(U:U)*1.1,"High risk",Table1[[#This Row],[Total usage(Min)]]&lt;= AVERAGE(U:U)*0.9,"Low risk",TRUE,"Medium risk"),"N/A")</f>
        <v>Medium risk</v>
      </c>
      <c r="Z659" t="str" cm="1">
        <f t="array" ref="Z659">IFERROR(_xlfn.IFS(Table1[[#This Row],[Total charges]]&gt;=AVERAGE(V:V)*1.1,"High risk",Table1[[#This Row],[Total charges]]&lt;=AVERAGE(V:V)*0.9,"Low risk",TRUE,"Medium risk"),"N/A")</f>
        <v>Medium risk</v>
      </c>
      <c r="AA659"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59"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59" t="str" cm="1">
        <f t="array" ref="AC659">_xlfn.IFS(
AND(Table1[[#This Row],[Customer service risk level]]="High risk", Table1[[#This Row],[Intl usage behaviour]]="Unplanned Usage"),"High Risk",
OR(Table1[[#This Row],[Customer service risk level]]="Medium risk", Table1[[#This Row],[Charges risk level]]="High risk "),"Medium Risk",
TRUE,"Low Risk"
)</f>
        <v>Low Risk</v>
      </c>
    </row>
    <row r="660" spans="1:29" x14ac:dyDescent="0.25">
      <c r="A660" t="s">
        <v>52</v>
      </c>
      <c r="B660">
        <v>57</v>
      </c>
      <c r="C660">
        <v>415</v>
      </c>
      <c r="D660" t="s">
        <v>21</v>
      </c>
      <c r="E660" t="s">
        <v>21</v>
      </c>
      <c r="F660">
        <v>0</v>
      </c>
      <c r="G660">
        <v>158.1</v>
      </c>
      <c r="H660">
        <v>117</v>
      </c>
      <c r="I660">
        <v>26.88</v>
      </c>
      <c r="J660">
        <v>115.2</v>
      </c>
      <c r="K660">
        <v>149</v>
      </c>
      <c r="L660">
        <v>9.7899999999999991</v>
      </c>
      <c r="M660">
        <v>182.4</v>
      </c>
      <c r="N660">
        <v>92</v>
      </c>
      <c r="O660">
        <v>8.2100000000000009</v>
      </c>
      <c r="P660">
        <v>11.8</v>
      </c>
      <c r="Q660">
        <v>7</v>
      </c>
      <c r="R660">
        <v>3.19</v>
      </c>
      <c r="S660">
        <v>0</v>
      </c>
      <c r="T660" t="b">
        <v>0</v>
      </c>
      <c r="U660">
        <f>IFERROR(SUM(Table1[[#This Row],[Total day minutes]],Table1[[#This Row],[Total eve minutes]],Table1[[#This Row],[Total night minutes]],Table1[[#This Row],[Total intl minutes]]),0)</f>
        <v>467.50000000000006</v>
      </c>
      <c r="V660">
        <f>SUM(Table1[[#This Row],[Total intl charge]],Table1[[#This Row],[Total night charge]],Table1[[#This Row],[Total eve charge]],Table1[[#This Row],[Total day charge]])</f>
        <v>48.069999999999993</v>
      </c>
      <c r="W660">
        <f>SUM(Table1[[#This Row],[Total intl calls]],Table1[[#This Row],[Total night calls]],Table1[[#This Row],[Total eve calls]],Table1[[#This Row],[Total day calls]])</f>
        <v>365</v>
      </c>
      <c r="X660" t="str" cm="1">
        <f t="array" ref="X660">_xlfn.IFS(Table1[[#This Row],[Customer service calls]]&gt;=4,"High risk",Table1[[#This Row],[Customer service calls]]&gt;=2,"Medium risk",TRUE,"Low risk")</f>
        <v>Low risk</v>
      </c>
      <c r="Y660" t="str" cm="1">
        <f t="array" ref="Y660">IFERROR(_xlfn.IFS(Table1[[#This Row],[Total usage(Min)]]&gt;=AVERAGE(U:U)*1.1,"High risk",Table1[[#This Row],[Total usage(Min)]]&lt;= AVERAGE(U:U)*0.9,"Low risk",TRUE,"Medium risk"),"N/A")</f>
        <v>Low risk</v>
      </c>
      <c r="Z660" t="str" cm="1">
        <f t="array" ref="Z660">IFERROR(_xlfn.IFS(Table1[[#This Row],[Total charges]]&gt;=AVERAGE(V:V)*1.1,"High risk",Table1[[#This Row],[Total charges]]&lt;=AVERAGE(V:V)*0.9,"Low risk",TRUE,"Medium risk"),"N/A")</f>
        <v>Low risk</v>
      </c>
      <c r="AA660"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0"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0" t="str" cm="1">
        <f t="array" ref="AC660">_xlfn.IFS(
AND(Table1[[#This Row],[Customer service risk level]]="High risk", Table1[[#This Row],[Intl usage behaviour]]="Unplanned Usage"),"High Risk",
OR(Table1[[#This Row],[Customer service risk level]]="Medium risk", Table1[[#This Row],[Charges risk level]]="High risk "),"Medium Risk",
TRUE,"Low Risk"
)</f>
        <v>Low Risk</v>
      </c>
    </row>
    <row r="661" spans="1:29" x14ac:dyDescent="0.25">
      <c r="A661" t="s">
        <v>39</v>
      </c>
      <c r="B661">
        <v>127</v>
      </c>
      <c r="C661">
        <v>510</v>
      </c>
      <c r="D661" t="s">
        <v>21</v>
      </c>
      <c r="E661" t="s">
        <v>21</v>
      </c>
      <c r="F661">
        <v>0</v>
      </c>
      <c r="G661">
        <v>107.9</v>
      </c>
      <c r="H661">
        <v>128</v>
      </c>
      <c r="I661">
        <v>18.34</v>
      </c>
      <c r="J661">
        <v>187</v>
      </c>
      <c r="K661">
        <v>77</v>
      </c>
      <c r="L661">
        <v>15.9</v>
      </c>
      <c r="M661">
        <v>218.5</v>
      </c>
      <c r="N661">
        <v>95</v>
      </c>
      <c r="O661">
        <v>9.83</v>
      </c>
      <c r="P661">
        <v>0</v>
      </c>
      <c r="Q661">
        <v>0</v>
      </c>
      <c r="R661">
        <v>0</v>
      </c>
      <c r="S661">
        <v>0</v>
      </c>
      <c r="T661" t="b">
        <v>0</v>
      </c>
      <c r="U661">
        <f>IFERROR(SUM(Table1[[#This Row],[Total day minutes]],Table1[[#This Row],[Total eve minutes]],Table1[[#This Row],[Total night minutes]],Table1[[#This Row],[Total intl minutes]]),0)</f>
        <v>513.4</v>
      </c>
      <c r="V661">
        <f>SUM(Table1[[#This Row],[Total intl charge]],Table1[[#This Row],[Total night charge]],Table1[[#This Row],[Total eve charge]],Table1[[#This Row],[Total day charge]])</f>
        <v>44.07</v>
      </c>
      <c r="W661">
        <f>SUM(Table1[[#This Row],[Total intl calls]],Table1[[#This Row],[Total night calls]],Table1[[#This Row],[Total eve calls]],Table1[[#This Row],[Total day calls]])</f>
        <v>300</v>
      </c>
      <c r="X661" t="str" cm="1">
        <f t="array" ref="X661">_xlfn.IFS(Table1[[#This Row],[Customer service calls]]&gt;=4,"High risk",Table1[[#This Row],[Customer service calls]]&gt;=2,"Medium risk",TRUE,"Low risk")</f>
        <v>Low risk</v>
      </c>
      <c r="Y661" t="str" cm="1">
        <f t="array" ref="Y661">IFERROR(_xlfn.IFS(Table1[[#This Row],[Total usage(Min)]]&gt;=AVERAGE(U:U)*1.1,"High risk",Table1[[#This Row],[Total usage(Min)]]&lt;= AVERAGE(U:U)*0.9,"Low risk",TRUE,"Medium risk"),"N/A")</f>
        <v>Low risk</v>
      </c>
      <c r="Z661" t="str" cm="1">
        <f t="array" ref="Z661">IFERROR(_xlfn.IFS(Table1[[#This Row],[Total charges]]&gt;=AVERAGE(V:V)*1.1,"High risk",Table1[[#This Row],[Total charges]]&lt;=AVERAGE(V:V)*0.9,"Low risk",TRUE,"Medium risk"),"N/A")</f>
        <v>Low risk</v>
      </c>
      <c r="AA661"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Inactive</v>
      </c>
      <c r="AB661"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1" t="str" cm="1">
        <f t="array" ref="AC661">_xlfn.IFS(
AND(Table1[[#This Row],[Customer service risk level]]="High risk", Table1[[#This Row],[Intl usage behaviour]]="Unplanned Usage"),"High Risk",
OR(Table1[[#This Row],[Customer service risk level]]="Medium risk", Table1[[#This Row],[Charges risk level]]="High risk "),"Medium Risk",
TRUE,"Low Risk"
)</f>
        <v>Low Risk</v>
      </c>
    </row>
    <row r="662" spans="1:29" x14ac:dyDescent="0.25">
      <c r="A662" t="s">
        <v>22</v>
      </c>
      <c r="B662">
        <v>114</v>
      </c>
      <c r="C662">
        <v>408</v>
      </c>
      <c r="D662" t="s">
        <v>21</v>
      </c>
      <c r="E662" t="s">
        <v>21</v>
      </c>
      <c r="F662">
        <v>0</v>
      </c>
      <c r="G662">
        <v>203.8</v>
      </c>
      <c r="H662">
        <v>85</v>
      </c>
      <c r="I662">
        <v>34.65</v>
      </c>
      <c r="J662">
        <v>87.8</v>
      </c>
      <c r="K662">
        <v>110</v>
      </c>
      <c r="L662">
        <v>7.46</v>
      </c>
      <c r="M662">
        <v>166.2</v>
      </c>
      <c r="N662">
        <v>122</v>
      </c>
      <c r="O662">
        <v>7.48</v>
      </c>
      <c r="P662">
        <v>11.7</v>
      </c>
      <c r="Q662">
        <v>4</v>
      </c>
      <c r="R662">
        <v>3.16</v>
      </c>
      <c r="S662">
        <v>1</v>
      </c>
      <c r="T662" t="b">
        <v>0</v>
      </c>
      <c r="U662">
        <f>IFERROR(SUM(Table1[[#This Row],[Total day minutes]],Table1[[#This Row],[Total eve minutes]],Table1[[#This Row],[Total night minutes]],Table1[[#This Row],[Total intl minutes]]),0)</f>
        <v>469.5</v>
      </c>
      <c r="V662">
        <f>SUM(Table1[[#This Row],[Total intl charge]],Table1[[#This Row],[Total night charge]],Table1[[#This Row],[Total eve charge]],Table1[[#This Row],[Total day charge]])</f>
        <v>52.75</v>
      </c>
      <c r="W662">
        <f>SUM(Table1[[#This Row],[Total intl calls]],Table1[[#This Row],[Total night calls]],Table1[[#This Row],[Total eve calls]],Table1[[#This Row],[Total day calls]])</f>
        <v>321</v>
      </c>
      <c r="X662" t="str" cm="1">
        <f t="array" ref="X662">_xlfn.IFS(Table1[[#This Row],[Customer service calls]]&gt;=4,"High risk",Table1[[#This Row],[Customer service calls]]&gt;=2,"Medium risk",TRUE,"Low risk")</f>
        <v>Low risk</v>
      </c>
      <c r="Y662" t="str" cm="1">
        <f t="array" ref="Y662">IFERROR(_xlfn.IFS(Table1[[#This Row],[Total usage(Min)]]&gt;=AVERAGE(U:U)*1.1,"High risk",Table1[[#This Row],[Total usage(Min)]]&lt;= AVERAGE(U:U)*0.9,"Low risk",TRUE,"Medium risk"),"N/A")</f>
        <v>Low risk</v>
      </c>
      <c r="Z662" t="str" cm="1">
        <f t="array" ref="Z662">IFERROR(_xlfn.IFS(Table1[[#This Row],[Total charges]]&gt;=AVERAGE(V:V)*1.1,"High risk",Table1[[#This Row],[Total charges]]&lt;=AVERAGE(V:V)*0.9,"Low risk",TRUE,"Medium risk"),"N/A")</f>
        <v>Low risk</v>
      </c>
      <c r="AA662"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2"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2" t="str" cm="1">
        <f t="array" ref="AC662">_xlfn.IFS(
AND(Table1[[#This Row],[Customer service risk level]]="High risk", Table1[[#This Row],[Intl usage behaviour]]="Unplanned Usage"),"High Risk",
OR(Table1[[#This Row],[Customer service risk level]]="Medium risk", Table1[[#This Row],[Charges risk level]]="High risk "),"Medium Risk",
TRUE,"Low Risk"
)</f>
        <v>Low Risk</v>
      </c>
    </row>
    <row r="663" spans="1:29" x14ac:dyDescent="0.25">
      <c r="A663" t="s">
        <v>39</v>
      </c>
      <c r="B663">
        <v>84</v>
      </c>
      <c r="C663">
        <v>415</v>
      </c>
      <c r="D663" t="s">
        <v>21</v>
      </c>
      <c r="E663" t="s">
        <v>21</v>
      </c>
      <c r="F663">
        <v>0</v>
      </c>
      <c r="G663">
        <v>280</v>
      </c>
      <c r="H663">
        <v>113</v>
      </c>
      <c r="I663">
        <v>47.6</v>
      </c>
      <c r="J663">
        <v>202.2</v>
      </c>
      <c r="K663">
        <v>90</v>
      </c>
      <c r="L663">
        <v>17.190000000000001</v>
      </c>
      <c r="M663">
        <v>156.80000000000001</v>
      </c>
      <c r="N663">
        <v>103</v>
      </c>
      <c r="O663">
        <v>7.06</v>
      </c>
      <c r="P663">
        <v>10.4</v>
      </c>
      <c r="Q663">
        <v>4</v>
      </c>
      <c r="R663">
        <v>2.81</v>
      </c>
      <c r="S663">
        <v>0</v>
      </c>
      <c r="T663" t="b">
        <v>1</v>
      </c>
      <c r="U663">
        <f>IFERROR(SUM(Table1[[#This Row],[Total day minutes]],Table1[[#This Row],[Total eve minutes]],Table1[[#This Row],[Total night minutes]],Table1[[#This Row],[Total intl minutes]]),0)</f>
        <v>649.4</v>
      </c>
      <c r="V663">
        <f>SUM(Table1[[#This Row],[Total intl charge]],Table1[[#This Row],[Total night charge]],Table1[[#This Row],[Total eve charge]],Table1[[#This Row],[Total day charge]])</f>
        <v>74.66</v>
      </c>
      <c r="W663">
        <f>SUM(Table1[[#This Row],[Total intl calls]],Table1[[#This Row],[Total night calls]],Table1[[#This Row],[Total eve calls]],Table1[[#This Row],[Total day calls]])</f>
        <v>310</v>
      </c>
      <c r="X663" t="str" cm="1">
        <f t="array" ref="X663">_xlfn.IFS(Table1[[#This Row],[Customer service calls]]&gt;=4,"High risk",Table1[[#This Row],[Customer service calls]]&gt;=2,"Medium risk",TRUE,"Low risk")</f>
        <v>Low risk</v>
      </c>
      <c r="Y663" t="str" cm="1">
        <f t="array" ref="Y663">IFERROR(_xlfn.IFS(Table1[[#This Row],[Total usage(Min)]]&gt;=AVERAGE(U:U)*1.1,"High risk",Table1[[#This Row],[Total usage(Min)]]&lt;= AVERAGE(U:U)*0.9,"Low risk",TRUE,"Medium risk"),"N/A")</f>
        <v>Medium risk</v>
      </c>
      <c r="Z663" t="str" cm="1">
        <f t="array" ref="Z663">IFERROR(_xlfn.IFS(Table1[[#This Row],[Total charges]]&gt;=AVERAGE(V:V)*1.1,"High risk",Table1[[#This Row],[Total charges]]&lt;=AVERAGE(V:V)*0.9,"Low risk",TRUE,"Medium risk"),"N/A")</f>
        <v>High risk</v>
      </c>
      <c r="AA663"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3"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3" t="str" cm="1">
        <f t="array" ref="AC663">_xlfn.IFS(
AND(Table1[[#This Row],[Customer service risk level]]="High risk", Table1[[#This Row],[Intl usage behaviour]]="Unplanned Usage"),"High Risk",
OR(Table1[[#This Row],[Customer service risk level]]="Medium risk", Table1[[#This Row],[Charges risk level]]="High risk "),"Medium Risk",
TRUE,"Low Risk"
)</f>
        <v>Low Risk</v>
      </c>
    </row>
    <row r="664" spans="1:29" x14ac:dyDescent="0.25">
      <c r="A664" t="s">
        <v>31</v>
      </c>
      <c r="B664">
        <v>114</v>
      </c>
      <c r="C664">
        <v>415</v>
      </c>
      <c r="D664" t="s">
        <v>21</v>
      </c>
      <c r="E664" t="s">
        <v>27</v>
      </c>
      <c r="F664">
        <v>26</v>
      </c>
      <c r="G664">
        <v>137.1</v>
      </c>
      <c r="H664">
        <v>88</v>
      </c>
      <c r="I664">
        <v>23.31</v>
      </c>
      <c r="J664">
        <v>155.69999999999999</v>
      </c>
      <c r="K664">
        <v>125</v>
      </c>
      <c r="L664">
        <v>13.23</v>
      </c>
      <c r="M664">
        <v>247.6</v>
      </c>
      <c r="N664">
        <v>94</v>
      </c>
      <c r="O664">
        <v>11.14</v>
      </c>
      <c r="P664">
        <v>11.5</v>
      </c>
      <c r="Q664">
        <v>7</v>
      </c>
      <c r="R664">
        <v>3.11</v>
      </c>
      <c r="S664">
        <v>2</v>
      </c>
      <c r="T664" t="b">
        <v>0</v>
      </c>
      <c r="U664">
        <f>IFERROR(SUM(Table1[[#This Row],[Total day minutes]],Table1[[#This Row],[Total eve minutes]],Table1[[#This Row],[Total night minutes]],Table1[[#This Row],[Total intl minutes]]),0)</f>
        <v>551.9</v>
      </c>
      <c r="V664">
        <f>SUM(Table1[[#This Row],[Total intl charge]],Table1[[#This Row],[Total night charge]],Table1[[#This Row],[Total eve charge]],Table1[[#This Row],[Total day charge]])</f>
        <v>50.79</v>
      </c>
      <c r="W664">
        <f>SUM(Table1[[#This Row],[Total intl calls]],Table1[[#This Row],[Total night calls]],Table1[[#This Row],[Total eve calls]],Table1[[#This Row],[Total day calls]])</f>
        <v>314</v>
      </c>
      <c r="X664" t="str" cm="1">
        <f t="array" ref="X664">_xlfn.IFS(Table1[[#This Row],[Customer service calls]]&gt;=4,"High risk",Table1[[#This Row],[Customer service calls]]&gt;=2,"Medium risk",TRUE,"Low risk")</f>
        <v>Medium risk</v>
      </c>
      <c r="Y664" t="str" cm="1">
        <f t="array" ref="Y664">IFERROR(_xlfn.IFS(Table1[[#This Row],[Total usage(Min)]]&gt;=AVERAGE(U:U)*1.1,"High risk",Table1[[#This Row],[Total usage(Min)]]&lt;= AVERAGE(U:U)*0.9,"Low risk",TRUE,"Medium risk"),"N/A")</f>
        <v>Medium risk</v>
      </c>
      <c r="Z664" t="str" cm="1">
        <f t="array" ref="Z664">IFERROR(_xlfn.IFS(Table1[[#This Row],[Total charges]]&gt;=AVERAGE(V:V)*1.1,"High risk",Table1[[#This Row],[Total charges]]&lt;=AVERAGE(V:V)*0.9,"Low risk",TRUE,"Medium risk"),"N/A")</f>
        <v>Low risk</v>
      </c>
      <c r="AA664"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4"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64" t="str" cm="1">
        <f t="array" ref="AC664">_xlfn.IFS(
AND(Table1[[#This Row],[Customer service risk level]]="High risk", Table1[[#This Row],[Intl usage behaviour]]="Unplanned Usage"),"High Risk",
OR(Table1[[#This Row],[Customer service risk level]]="Medium risk", Table1[[#This Row],[Charges risk level]]="High risk "),"Medium Risk",
TRUE,"Low Risk"
)</f>
        <v>Medium Risk</v>
      </c>
    </row>
    <row r="665" spans="1:29" x14ac:dyDescent="0.25">
      <c r="A665" t="s">
        <v>44</v>
      </c>
      <c r="B665">
        <v>106</v>
      </c>
      <c r="C665">
        <v>408</v>
      </c>
      <c r="D665" t="s">
        <v>21</v>
      </c>
      <c r="E665" t="s">
        <v>27</v>
      </c>
      <c r="F665">
        <v>29</v>
      </c>
      <c r="G665">
        <v>83.6</v>
      </c>
      <c r="H665">
        <v>131</v>
      </c>
      <c r="I665">
        <v>14.21</v>
      </c>
      <c r="J665">
        <v>203.9</v>
      </c>
      <c r="K665">
        <v>131</v>
      </c>
      <c r="L665">
        <v>17.329999999999998</v>
      </c>
      <c r="M665">
        <v>229.5</v>
      </c>
      <c r="N665">
        <v>73</v>
      </c>
      <c r="O665">
        <v>10.33</v>
      </c>
      <c r="P665">
        <v>8.1</v>
      </c>
      <c r="Q665">
        <v>3</v>
      </c>
      <c r="R665">
        <v>2.19</v>
      </c>
      <c r="S665">
        <v>1</v>
      </c>
      <c r="T665" t="b">
        <v>0</v>
      </c>
      <c r="U665">
        <f>IFERROR(SUM(Table1[[#This Row],[Total day minutes]],Table1[[#This Row],[Total eve minutes]],Table1[[#This Row],[Total night minutes]],Table1[[#This Row],[Total intl minutes]]),0)</f>
        <v>525.1</v>
      </c>
      <c r="V665">
        <f>SUM(Table1[[#This Row],[Total intl charge]],Table1[[#This Row],[Total night charge]],Table1[[#This Row],[Total eve charge]],Table1[[#This Row],[Total day charge]])</f>
        <v>44.06</v>
      </c>
      <c r="W665">
        <f>SUM(Table1[[#This Row],[Total intl calls]],Table1[[#This Row],[Total night calls]],Table1[[#This Row],[Total eve calls]],Table1[[#This Row],[Total day calls]])</f>
        <v>338</v>
      </c>
      <c r="X665" t="str" cm="1">
        <f t="array" ref="X665">_xlfn.IFS(Table1[[#This Row],[Customer service calls]]&gt;=4,"High risk",Table1[[#This Row],[Customer service calls]]&gt;=2,"Medium risk",TRUE,"Low risk")</f>
        <v>Low risk</v>
      </c>
      <c r="Y665" t="str" cm="1">
        <f t="array" ref="Y665">IFERROR(_xlfn.IFS(Table1[[#This Row],[Total usage(Min)]]&gt;=AVERAGE(U:U)*1.1,"High risk",Table1[[#This Row],[Total usage(Min)]]&lt;= AVERAGE(U:U)*0.9,"Low risk",TRUE,"Medium risk"),"N/A")</f>
        <v>Low risk</v>
      </c>
      <c r="Z665" t="str" cm="1">
        <f t="array" ref="Z665">IFERROR(_xlfn.IFS(Table1[[#This Row],[Total charges]]&gt;=AVERAGE(V:V)*1.1,"High risk",Table1[[#This Row],[Total charges]]&lt;=AVERAGE(V:V)*0.9,"Low risk",TRUE,"Medium risk"),"N/A")</f>
        <v>Low risk</v>
      </c>
      <c r="AA665"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5" t="str">
        <f>IF(AND(Table1[[#This Row],[Voice mail plan]]="Yes",Table1[[#This Row],[Number vmail messages]]&gt;0),"Active user",IF(AND(Table1[[#This Row],[Voice mail plan]]="Yes",Table1[[#This Row],[Number vmail messages]]=0),"Unused",IF(AND(Table1[[#This Row],[Voice mail plan]]="No",Table1[[#This Row],[Number vmail messages]]&gt;0),"Unsubscribed usage","Inactive")))</f>
        <v>Active user</v>
      </c>
      <c r="AC665" t="str" cm="1">
        <f t="array" ref="AC665">_xlfn.IFS(
AND(Table1[[#This Row],[Customer service risk level]]="High risk", Table1[[#This Row],[Intl usage behaviour]]="Unplanned Usage"),"High Risk",
OR(Table1[[#This Row],[Customer service risk level]]="Medium risk", Table1[[#This Row],[Charges risk level]]="High risk "),"Medium Risk",
TRUE,"Low Risk"
)</f>
        <v>Low Risk</v>
      </c>
    </row>
    <row r="666" spans="1:29" x14ac:dyDescent="0.25">
      <c r="A666" t="s">
        <v>33</v>
      </c>
      <c r="B666">
        <v>60</v>
      </c>
      <c r="C666">
        <v>415</v>
      </c>
      <c r="D666" t="s">
        <v>21</v>
      </c>
      <c r="E666" t="s">
        <v>21</v>
      </c>
      <c r="F666">
        <v>0</v>
      </c>
      <c r="G666">
        <v>193.9</v>
      </c>
      <c r="H666">
        <v>118</v>
      </c>
      <c r="I666">
        <v>32.96</v>
      </c>
      <c r="J666">
        <v>85</v>
      </c>
      <c r="K666">
        <v>110</v>
      </c>
      <c r="L666">
        <v>7.23</v>
      </c>
      <c r="M666">
        <v>210.1</v>
      </c>
      <c r="N666">
        <v>134</v>
      </c>
      <c r="O666">
        <v>9.4499999999999993</v>
      </c>
      <c r="P666">
        <v>13.2</v>
      </c>
      <c r="Q666">
        <v>8</v>
      </c>
      <c r="R666">
        <v>3.56</v>
      </c>
      <c r="S666">
        <v>3</v>
      </c>
      <c r="T666" t="b">
        <v>0</v>
      </c>
      <c r="U666">
        <f>IFERROR(SUM(Table1[[#This Row],[Total day minutes]],Table1[[#This Row],[Total eve minutes]],Table1[[#This Row],[Total night minutes]],Table1[[#This Row],[Total intl minutes]]),0)</f>
        <v>502.2</v>
      </c>
      <c r="V666">
        <f>SUM(Table1[[#This Row],[Total intl charge]],Table1[[#This Row],[Total night charge]],Table1[[#This Row],[Total eve charge]],Table1[[#This Row],[Total day charge]])</f>
        <v>53.2</v>
      </c>
      <c r="W666">
        <f>SUM(Table1[[#This Row],[Total intl calls]],Table1[[#This Row],[Total night calls]],Table1[[#This Row],[Total eve calls]],Table1[[#This Row],[Total day calls]])</f>
        <v>370</v>
      </c>
      <c r="X666" t="str" cm="1">
        <f t="array" ref="X666">_xlfn.IFS(Table1[[#This Row],[Customer service calls]]&gt;=4,"High risk",Table1[[#This Row],[Customer service calls]]&gt;=2,"Medium risk",TRUE,"Low risk")</f>
        <v>Medium risk</v>
      </c>
      <c r="Y666" t="str" cm="1">
        <f t="array" ref="Y666">IFERROR(_xlfn.IFS(Table1[[#This Row],[Total usage(Min)]]&gt;=AVERAGE(U:U)*1.1,"High risk",Table1[[#This Row],[Total usage(Min)]]&lt;= AVERAGE(U:U)*0.9,"Low risk",TRUE,"Medium risk"),"N/A")</f>
        <v>Low risk</v>
      </c>
      <c r="Z666" t="str" cm="1">
        <f t="array" ref="Z666">IFERROR(_xlfn.IFS(Table1[[#This Row],[Total charges]]&gt;=AVERAGE(V:V)*1.1,"High risk",Table1[[#This Row],[Total charges]]&lt;=AVERAGE(V:V)*0.9,"Low risk",TRUE,"Medium risk"),"N/A")</f>
        <v>Low risk</v>
      </c>
      <c r="AA666"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6"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6" t="str" cm="1">
        <f t="array" ref="AC666">_xlfn.IFS(
AND(Table1[[#This Row],[Customer service risk level]]="High risk", Table1[[#This Row],[Intl usage behaviour]]="Unplanned Usage"),"High Risk",
OR(Table1[[#This Row],[Customer service risk level]]="Medium risk", Table1[[#This Row],[Charges risk level]]="High risk "),"Medium Risk",
TRUE,"Low Risk"
)</f>
        <v>Medium Risk</v>
      </c>
    </row>
    <row r="667" spans="1:29" x14ac:dyDescent="0.25">
      <c r="A667" t="s">
        <v>66</v>
      </c>
      <c r="B667">
        <v>159</v>
      </c>
      <c r="C667">
        <v>415</v>
      </c>
      <c r="D667" t="s">
        <v>21</v>
      </c>
      <c r="E667" t="s">
        <v>21</v>
      </c>
      <c r="F667">
        <v>0</v>
      </c>
      <c r="G667">
        <v>169.8</v>
      </c>
      <c r="H667">
        <v>114</v>
      </c>
      <c r="I667">
        <v>28.87</v>
      </c>
      <c r="J667">
        <v>197.7</v>
      </c>
      <c r="K667">
        <v>105</v>
      </c>
      <c r="L667">
        <v>16.8</v>
      </c>
      <c r="M667">
        <v>193.7</v>
      </c>
      <c r="N667">
        <v>82</v>
      </c>
      <c r="O667">
        <v>8.7200000000000006</v>
      </c>
      <c r="P667">
        <v>11.6</v>
      </c>
      <c r="Q667">
        <v>4</v>
      </c>
      <c r="R667">
        <v>3.13</v>
      </c>
      <c r="S667">
        <v>1</v>
      </c>
      <c r="T667" t="b">
        <v>0</v>
      </c>
      <c r="U667">
        <f>IFERROR(SUM(Table1[[#This Row],[Total day minutes]],Table1[[#This Row],[Total eve minutes]],Table1[[#This Row],[Total night minutes]],Table1[[#This Row],[Total intl minutes]]),0)</f>
        <v>572.80000000000007</v>
      </c>
      <c r="V667">
        <f>SUM(Table1[[#This Row],[Total intl charge]],Table1[[#This Row],[Total night charge]],Table1[[#This Row],[Total eve charge]],Table1[[#This Row],[Total day charge]])</f>
        <v>57.52</v>
      </c>
      <c r="W667">
        <f>SUM(Table1[[#This Row],[Total intl calls]],Table1[[#This Row],[Total night calls]],Table1[[#This Row],[Total eve calls]],Table1[[#This Row],[Total day calls]])</f>
        <v>305</v>
      </c>
      <c r="X667" t="str" cm="1">
        <f t="array" ref="X667">_xlfn.IFS(Table1[[#This Row],[Customer service calls]]&gt;=4,"High risk",Table1[[#This Row],[Customer service calls]]&gt;=2,"Medium risk",TRUE,"Low risk")</f>
        <v>Low risk</v>
      </c>
      <c r="Y667" t="str" cm="1">
        <f t="array" ref="Y667">IFERROR(_xlfn.IFS(Table1[[#This Row],[Total usage(Min)]]&gt;=AVERAGE(U:U)*1.1,"High risk",Table1[[#This Row],[Total usage(Min)]]&lt;= AVERAGE(U:U)*0.9,"Low risk",TRUE,"Medium risk"),"N/A")</f>
        <v>Medium risk</v>
      </c>
      <c r="Z667" t="str" cm="1">
        <f t="array" ref="Z667">IFERROR(_xlfn.IFS(Table1[[#This Row],[Total charges]]&gt;=AVERAGE(V:V)*1.1,"High risk",Table1[[#This Row],[Total charges]]&lt;=AVERAGE(V:V)*0.9,"Low risk",TRUE,"Medium risk"),"N/A")</f>
        <v>Medium risk</v>
      </c>
      <c r="AA667"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Unplanned usage</v>
      </c>
      <c r="AB667"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7" t="str" cm="1">
        <f t="array" ref="AC667">_xlfn.IFS(
AND(Table1[[#This Row],[Customer service risk level]]="High risk", Table1[[#This Row],[Intl usage behaviour]]="Unplanned Usage"),"High Risk",
OR(Table1[[#This Row],[Customer service risk level]]="Medium risk", Table1[[#This Row],[Charges risk level]]="High risk "),"Medium Risk",
TRUE,"Low Risk"
)</f>
        <v>Low Risk</v>
      </c>
    </row>
    <row r="668" spans="1:29" x14ac:dyDescent="0.25">
      <c r="A668" t="s">
        <v>56</v>
      </c>
      <c r="B668">
        <v>184</v>
      </c>
      <c r="C668">
        <v>510</v>
      </c>
      <c r="D668" t="s">
        <v>27</v>
      </c>
      <c r="E668" t="s">
        <v>21</v>
      </c>
      <c r="F668">
        <v>0</v>
      </c>
      <c r="G668">
        <v>213.8</v>
      </c>
      <c r="H668">
        <v>105</v>
      </c>
      <c r="I668">
        <v>36.35</v>
      </c>
      <c r="J668">
        <v>159.6</v>
      </c>
      <c r="K668">
        <v>84</v>
      </c>
      <c r="L668">
        <v>13.57</v>
      </c>
      <c r="M668">
        <v>139.19999999999999</v>
      </c>
      <c r="N668">
        <v>137</v>
      </c>
      <c r="O668">
        <v>6.26</v>
      </c>
      <c r="P668">
        <v>5</v>
      </c>
      <c r="Q668">
        <v>10</v>
      </c>
      <c r="R668">
        <v>1.35</v>
      </c>
      <c r="S668">
        <v>2</v>
      </c>
      <c r="T668" t="b">
        <v>0</v>
      </c>
      <c r="U668">
        <f>IFERROR(SUM(Table1[[#This Row],[Total day minutes]],Table1[[#This Row],[Total eve minutes]],Table1[[#This Row],[Total night minutes]],Table1[[#This Row],[Total intl minutes]]),0)</f>
        <v>517.59999999999991</v>
      </c>
      <c r="V668">
        <f>SUM(Table1[[#This Row],[Total intl charge]],Table1[[#This Row],[Total night charge]],Table1[[#This Row],[Total eve charge]],Table1[[#This Row],[Total day charge]])</f>
        <v>57.53</v>
      </c>
      <c r="W668">
        <f>SUM(Table1[[#This Row],[Total intl calls]],Table1[[#This Row],[Total night calls]],Table1[[#This Row],[Total eve calls]],Table1[[#This Row],[Total day calls]])</f>
        <v>336</v>
      </c>
      <c r="X668" t="str" cm="1">
        <f t="array" ref="X668">_xlfn.IFS(Table1[[#This Row],[Customer service calls]]&gt;=4,"High risk",Table1[[#This Row],[Customer service calls]]&gt;=2,"Medium risk",TRUE,"Low risk")</f>
        <v>Medium risk</v>
      </c>
      <c r="Y668" t="str" cm="1">
        <f t="array" ref="Y668">IFERROR(_xlfn.IFS(Table1[[#This Row],[Total usage(Min)]]&gt;=AVERAGE(U:U)*1.1,"High risk",Table1[[#This Row],[Total usage(Min)]]&lt;= AVERAGE(U:U)*0.9,"Low risk",TRUE,"Medium risk"),"N/A")</f>
        <v>Low risk</v>
      </c>
      <c r="Z668" t="str" cm="1">
        <f t="array" ref="Z668">IFERROR(_xlfn.IFS(Table1[[#This Row],[Total charges]]&gt;=AVERAGE(V:V)*1.1,"High risk",Table1[[#This Row],[Total charges]]&lt;=AVERAGE(V:V)*0.9,"Low risk",TRUE,"Medium risk"),"N/A")</f>
        <v>Medium risk</v>
      </c>
      <c r="AA668" t="str">
        <f>IF(AND(Table1[[#This Row],[International plan]]="Yes",Table1[[#This Row],[Total intl minutes]]&gt;0),"Paying &amp; Using",IF(AND(Table1[[#This Row],[International plan]]="Yes",Table1[[#This Row],[Total intl minutes]]=0),"Paying but not using",IF(AND(Table1[[#This Row],[International plan]]="No",Table1[[#This Row],[Total intl minutes]]&gt;0),"Unplanned usage","Inactive")))</f>
        <v>Paying &amp; Using</v>
      </c>
      <c r="AB668" t="str">
        <f>IF(AND(Table1[[#This Row],[Voice mail plan]]="Yes",Table1[[#This Row],[Number vmail messages]]&gt;0),"Active user",IF(AND(Table1[[#This Row],[Voice mail plan]]="Yes",Table1[[#This Row],[Number vmail messages]]=0),"Unused",IF(AND(Table1[[#This Row],[Voice mail plan]]="No",Table1[[#This Row],[Number vmail messages]]&gt;0),"Unsubscribed usage","Inactive")))</f>
        <v>Inactive</v>
      </c>
      <c r="AC668" t="str" cm="1">
        <f t="array" ref="AC668">_xlfn.IFS(
AND(Table1[[#This Row],[Customer service risk level]]="High risk", Table1[[#This Row],[Intl usage behaviour]]="Unplanned Usage"),"High Risk",
OR(Table1[[#This Row],[Customer service risk level]]="Medium risk", Table1[[#This Row],[Charges risk level]]="High risk "),"Medium Risk",
TRUE,"Low Risk"
)</f>
        <v>Medium Risk</v>
      </c>
    </row>
  </sheetData>
  <conditionalFormatting sqref="AC1:AC1048576">
    <cfRule type="containsText" dxfId="64" priority="1" operator="containsText" text="Low risk">
      <formula>NOT(ISERROR(SEARCH("Low risk",AC1)))</formula>
    </cfRule>
    <cfRule type="containsText" dxfId="63" priority="2" operator="containsText" text="Medium Risk">
      <formula>NOT(ISERROR(SEARCH("Medium Risk",AC1)))</formula>
    </cfRule>
    <cfRule type="containsText" dxfId="62" priority="3" operator="containsText" text="High Risk">
      <formula>NOT(ISERROR(SEARCH("High Risk",AC1)))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0E8B-5A02-46DD-896E-DC1A4014219E}">
  <dimension ref="A1:H96"/>
  <sheetViews>
    <sheetView workbookViewId="0">
      <selection activeCell="I5" sqref="I5"/>
    </sheetView>
  </sheetViews>
  <sheetFormatPr defaultRowHeight="15" x14ac:dyDescent="0.25"/>
  <sheetData>
    <row r="1" spans="1:8" x14ac:dyDescent="0.25">
      <c r="A1" t="s">
        <v>96</v>
      </c>
      <c r="C1" t="s">
        <v>97</v>
      </c>
      <c r="F1" t="s">
        <v>98</v>
      </c>
      <c r="H1" t="s">
        <v>99</v>
      </c>
    </row>
    <row r="2" spans="1:8" x14ac:dyDescent="0.25">
      <c r="A2" t="str" cm="1">
        <f t="array" ref="A2:A54">_xlfn._xlws.SORT(_xlfn.UNIQUE('churn-bigml-20'!A:A))</f>
        <v>AK</v>
      </c>
      <c r="C2" t="str" cm="1">
        <f t="array" ref="C2:C52">_xlfn._xlws.FILTER('churn-bigml-20'!A:A,'churn-bigml-20'!AC:AC="High risk")</f>
        <v>IN</v>
      </c>
      <c r="F2" t="str" cm="1">
        <f t="array" ref="F2:F96">_xlfn._xlws.FILTER('churn-bigml-20'!A:A,'churn-bigml-20'!T:T=TRUE)</f>
        <v>IN</v>
      </c>
      <c r="H2" t="str" cm="1">
        <f t="array" ref="H2:H24">_xlfn._xlws.FILTER('churn-bigml-20'!A:A,(ISNUMBER(SEARCH("High risk",'churn-bigml-20'!AC:AC)))*('churn-bigml-20'!T:T=TRUE))</f>
        <v>IN</v>
      </c>
    </row>
    <row r="3" spans="1:8" x14ac:dyDescent="0.25">
      <c r="A3" t="str">
        <v>AL</v>
      </c>
      <c r="C3" t="str">
        <v>NY</v>
      </c>
      <c r="F3" t="str">
        <v>NY</v>
      </c>
      <c r="H3" t="str">
        <v>NY</v>
      </c>
    </row>
    <row r="4" spans="1:8" x14ac:dyDescent="0.25">
      <c r="A4" t="str">
        <v>AR</v>
      </c>
      <c r="C4" t="str">
        <v>ID</v>
      </c>
      <c r="F4" t="str">
        <v>ID</v>
      </c>
      <c r="H4" t="str">
        <v>ID</v>
      </c>
    </row>
    <row r="5" spans="1:8" x14ac:dyDescent="0.25">
      <c r="A5" t="str">
        <v>AZ</v>
      </c>
      <c r="C5" t="str">
        <v>MN</v>
      </c>
      <c r="F5" t="str">
        <v>LA</v>
      </c>
      <c r="H5" t="str">
        <v>MN</v>
      </c>
    </row>
    <row r="6" spans="1:8" x14ac:dyDescent="0.25">
      <c r="A6" t="str">
        <v>CA</v>
      </c>
      <c r="C6" t="str">
        <v>AZ</v>
      </c>
      <c r="F6" t="str">
        <v>ID</v>
      </c>
      <c r="H6" t="str">
        <v>CT</v>
      </c>
    </row>
    <row r="7" spans="1:8" x14ac:dyDescent="0.25">
      <c r="A7" t="str">
        <v>CO</v>
      </c>
      <c r="C7" t="str">
        <v>FL</v>
      </c>
      <c r="F7" t="str">
        <v>TX</v>
      </c>
      <c r="H7" t="str">
        <v>IN</v>
      </c>
    </row>
    <row r="8" spans="1:8" x14ac:dyDescent="0.25">
      <c r="A8" t="str">
        <v>CT</v>
      </c>
      <c r="C8" t="str">
        <v>CT</v>
      </c>
      <c r="F8" t="str">
        <v>MN</v>
      </c>
      <c r="H8" t="str">
        <v>OK</v>
      </c>
    </row>
    <row r="9" spans="1:8" x14ac:dyDescent="0.25">
      <c r="A9" t="str">
        <v>DC</v>
      </c>
      <c r="C9" t="str">
        <v>IN</v>
      </c>
      <c r="F9" t="str">
        <v>KS</v>
      </c>
      <c r="H9" t="str">
        <v>CA</v>
      </c>
    </row>
    <row r="10" spans="1:8" x14ac:dyDescent="0.25">
      <c r="A10" t="str">
        <v>DE</v>
      </c>
      <c r="C10" t="str">
        <v>ID</v>
      </c>
      <c r="F10" t="str">
        <v>SD</v>
      </c>
      <c r="H10" t="str">
        <v>UT</v>
      </c>
    </row>
    <row r="11" spans="1:8" x14ac:dyDescent="0.25">
      <c r="A11" t="str">
        <v>FL</v>
      </c>
      <c r="C11" t="str">
        <v>LA</v>
      </c>
      <c r="F11" t="str">
        <v>OK</v>
      </c>
      <c r="H11" t="str">
        <v>NY</v>
      </c>
    </row>
    <row r="12" spans="1:8" x14ac:dyDescent="0.25">
      <c r="A12" t="str">
        <v>GA</v>
      </c>
      <c r="C12" t="str">
        <v>OK</v>
      </c>
      <c r="F12" t="str">
        <v>CT</v>
      </c>
      <c r="H12" t="str">
        <v>MI</v>
      </c>
    </row>
    <row r="13" spans="1:8" x14ac:dyDescent="0.25">
      <c r="A13" t="str">
        <v>HI</v>
      </c>
      <c r="C13" t="str">
        <v>CA</v>
      </c>
      <c r="F13" t="str">
        <v>FL</v>
      </c>
      <c r="H13" t="str">
        <v>MT</v>
      </c>
    </row>
    <row r="14" spans="1:8" x14ac:dyDescent="0.25">
      <c r="A14" t="str">
        <v>IA</v>
      </c>
      <c r="C14" t="str">
        <v>WI</v>
      </c>
      <c r="F14" t="str">
        <v>RI</v>
      </c>
      <c r="H14" t="str">
        <v>MS</v>
      </c>
    </row>
    <row r="15" spans="1:8" x14ac:dyDescent="0.25">
      <c r="A15" t="str">
        <v>ID</v>
      </c>
      <c r="C15" t="str">
        <v>UT</v>
      </c>
      <c r="F15" t="str">
        <v>IN</v>
      </c>
      <c r="H15" t="str">
        <v>AZ</v>
      </c>
    </row>
    <row r="16" spans="1:8" x14ac:dyDescent="0.25">
      <c r="A16" t="str">
        <v>IL</v>
      </c>
      <c r="C16" t="str">
        <v>ID</v>
      </c>
      <c r="F16" t="str">
        <v>MS</v>
      </c>
      <c r="H16" t="str">
        <v>MO</v>
      </c>
    </row>
    <row r="17" spans="1:8" x14ac:dyDescent="0.25">
      <c r="A17" t="str">
        <v>IN</v>
      </c>
      <c r="C17" t="str">
        <v>VT</v>
      </c>
      <c r="F17" t="str">
        <v>OR</v>
      </c>
      <c r="H17" t="str">
        <v>WA</v>
      </c>
    </row>
    <row r="18" spans="1:8" x14ac:dyDescent="0.25">
      <c r="A18" t="str">
        <v>KS</v>
      </c>
      <c r="C18" t="str">
        <v>TX</v>
      </c>
      <c r="F18" t="str">
        <v>AL</v>
      </c>
      <c r="H18" t="str">
        <v>KY</v>
      </c>
    </row>
    <row r="19" spans="1:8" x14ac:dyDescent="0.25">
      <c r="A19" t="str">
        <v>KY</v>
      </c>
      <c r="C19" t="str">
        <v>NY</v>
      </c>
      <c r="F19" t="str">
        <v>ME</v>
      </c>
      <c r="H19" t="str">
        <v>CO</v>
      </c>
    </row>
    <row r="20" spans="1:8" x14ac:dyDescent="0.25">
      <c r="A20" t="str">
        <v>LA</v>
      </c>
      <c r="C20" t="str">
        <v>AL</v>
      </c>
      <c r="F20" t="str">
        <v>MO</v>
      </c>
      <c r="H20" t="str">
        <v>RI</v>
      </c>
    </row>
    <row r="21" spans="1:8" x14ac:dyDescent="0.25">
      <c r="A21" t="str">
        <v>MA</v>
      </c>
      <c r="C21" t="str">
        <v>MI</v>
      </c>
      <c r="F21" t="str">
        <v>WI</v>
      </c>
      <c r="H21" t="str">
        <v>IN</v>
      </c>
    </row>
    <row r="22" spans="1:8" x14ac:dyDescent="0.25">
      <c r="A22" t="str">
        <v>MD</v>
      </c>
      <c r="C22" t="str">
        <v>ME</v>
      </c>
      <c r="F22" t="str">
        <v>VT</v>
      </c>
      <c r="H22" t="str">
        <v>NC</v>
      </c>
    </row>
    <row r="23" spans="1:8" x14ac:dyDescent="0.25">
      <c r="A23" t="str">
        <v>ME</v>
      </c>
      <c r="C23" t="str">
        <v>AZ</v>
      </c>
      <c r="F23" t="str">
        <v>WV</v>
      </c>
      <c r="H23" t="str">
        <v>CO</v>
      </c>
    </row>
    <row r="24" spans="1:8" x14ac:dyDescent="0.25">
      <c r="A24" t="str">
        <v>MI</v>
      </c>
      <c r="C24" t="str">
        <v>AZ</v>
      </c>
      <c r="F24" t="str">
        <v>OK</v>
      </c>
      <c r="H24" t="str">
        <v>MT</v>
      </c>
    </row>
    <row r="25" spans="1:8" x14ac:dyDescent="0.25">
      <c r="A25" t="str">
        <v>MN</v>
      </c>
      <c r="C25" t="str">
        <v>MT</v>
      </c>
      <c r="F25" t="str">
        <v>NV</v>
      </c>
    </row>
    <row r="26" spans="1:8" x14ac:dyDescent="0.25">
      <c r="A26" t="str">
        <v>MO</v>
      </c>
      <c r="C26" t="str">
        <v>MS</v>
      </c>
      <c r="F26" t="str">
        <v>CA</v>
      </c>
    </row>
    <row r="27" spans="1:8" x14ac:dyDescent="0.25">
      <c r="A27" t="str">
        <v>MS</v>
      </c>
      <c r="C27" t="str">
        <v>SC</v>
      </c>
      <c r="F27" t="str">
        <v>MT</v>
      </c>
    </row>
    <row r="28" spans="1:8" x14ac:dyDescent="0.25">
      <c r="A28" t="str">
        <v>MT</v>
      </c>
      <c r="C28" t="str">
        <v>AZ</v>
      </c>
      <c r="F28" t="str">
        <v>WV</v>
      </c>
    </row>
    <row r="29" spans="1:8" x14ac:dyDescent="0.25">
      <c r="A29" t="str">
        <v>NC</v>
      </c>
      <c r="C29" t="str">
        <v>WY</v>
      </c>
      <c r="F29" t="str">
        <v>UT</v>
      </c>
    </row>
    <row r="30" spans="1:8" x14ac:dyDescent="0.25">
      <c r="A30" t="str">
        <v>ND</v>
      </c>
      <c r="C30" t="str">
        <v>MO</v>
      </c>
      <c r="F30" t="str">
        <v>WI</v>
      </c>
    </row>
    <row r="31" spans="1:8" x14ac:dyDescent="0.25">
      <c r="A31" t="str">
        <v>NE</v>
      </c>
      <c r="C31" t="str">
        <v>DC</v>
      </c>
      <c r="F31" t="str">
        <v>VA</v>
      </c>
    </row>
    <row r="32" spans="1:8" x14ac:dyDescent="0.25">
      <c r="A32" t="str">
        <v>NH</v>
      </c>
      <c r="C32" t="str">
        <v>OH</v>
      </c>
      <c r="F32" t="str">
        <v>SC</v>
      </c>
    </row>
    <row r="33" spans="1:6" x14ac:dyDescent="0.25">
      <c r="A33" t="str">
        <v>NJ</v>
      </c>
      <c r="C33" t="str">
        <v>WA</v>
      </c>
      <c r="F33" t="str">
        <v>MA</v>
      </c>
    </row>
    <row r="34" spans="1:6" x14ac:dyDescent="0.25">
      <c r="A34" t="str">
        <v>NM</v>
      </c>
      <c r="C34" t="str">
        <v>KY</v>
      </c>
      <c r="F34" t="str">
        <v>NJ</v>
      </c>
    </row>
    <row r="35" spans="1:6" x14ac:dyDescent="0.25">
      <c r="A35" t="str">
        <v>NV</v>
      </c>
      <c r="C35" t="str">
        <v>CT</v>
      </c>
      <c r="F35" t="str">
        <v>DE</v>
      </c>
    </row>
    <row r="36" spans="1:6" x14ac:dyDescent="0.25">
      <c r="A36" t="str">
        <v>NY</v>
      </c>
      <c r="C36" t="str">
        <v>IA</v>
      </c>
      <c r="F36" t="str">
        <v>NY</v>
      </c>
    </row>
    <row r="37" spans="1:6" x14ac:dyDescent="0.25">
      <c r="A37" t="str">
        <v>OH</v>
      </c>
      <c r="C37" t="str">
        <v>CO</v>
      </c>
      <c r="F37" t="str">
        <v>ME</v>
      </c>
    </row>
    <row r="38" spans="1:6" x14ac:dyDescent="0.25">
      <c r="A38" t="str">
        <v>OK</v>
      </c>
      <c r="C38" t="str">
        <v>TX</v>
      </c>
      <c r="F38" t="str">
        <v>MI</v>
      </c>
    </row>
    <row r="39" spans="1:6" x14ac:dyDescent="0.25">
      <c r="A39" t="str">
        <v>OR</v>
      </c>
      <c r="C39" t="str">
        <v>VT</v>
      </c>
      <c r="F39" t="str">
        <v>NM</v>
      </c>
    </row>
    <row r="40" spans="1:6" x14ac:dyDescent="0.25">
      <c r="A40" t="str">
        <v>PA</v>
      </c>
      <c r="C40" t="str">
        <v>RI</v>
      </c>
      <c r="F40" t="str">
        <v>MI</v>
      </c>
    </row>
    <row r="41" spans="1:6" x14ac:dyDescent="0.25">
      <c r="A41" t="str">
        <v>RI</v>
      </c>
      <c r="C41" t="str">
        <v>VA</v>
      </c>
      <c r="F41" t="str">
        <v>UT</v>
      </c>
    </row>
    <row r="42" spans="1:6" x14ac:dyDescent="0.25">
      <c r="A42" t="str">
        <v>SC</v>
      </c>
      <c r="C42" t="str">
        <v>IN</v>
      </c>
      <c r="F42" t="str">
        <v>ID</v>
      </c>
    </row>
    <row r="43" spans="1:6" x14ac:dyDescent="0.25">
      <c r="A43" t="str">
        <v>SD</v>
      </c>
      <c r="C43" t="str">
        <v>TN</v>
      </c>
      <c r="F43" t="str">
        <v>MA</v>
      </c>
    </row>
    <row r="44" spans="1:6" x14ac:dyDescent="0.25">
      <c r="A44" t="str">
        <v>State</v>
      </c>
      <c r="C44" t="str">
        <v>KS</v>
      </c>
      <c r="F44" t="str">
        <v>MT</v>
      </c>
    </row>
    <row r="45" spans="1:6" x14ac:dyDescent="0.25">
      <c r="A45" t="str">
        <v>TN</v>
      </c>
      <c r="C45" t="str">
        <v>IN</v>
      </c>
      <c r="F45" t="str">
        <v>MS</v>
      </c>
    </row>
    <row r="46" spans="1:6" x14ac:dyDescent="0.25">
      <c r="A46" t="str">
        <v>TX</v>
      </c>
      <c r="C46" t="str">
        <v>GA</v>
      </c>
      <c r="F46" t="str">
        <v>KS</v>
      </c>
    </row>
    <row r="47" spans="1:6" x14ac:dyDescent="0.25">
      <c r="A47" t="str">
        <v>UT</v>
      </c>
      <c r="C47" t="str">
        <v>NC</v>
      </c>
      <c r="F47" t="str">
        <v>AZ</v>
      </c>
    </row>
    <row r="48" spans="1:6" x14ac:dyDescent="0.25">
      <c r="A48" t="str">
        <v>VA</v>
      </c>
      <c r="C48" t="str">
        <v>CO</v>
      </c>
      <c r="F48" t="str">
        <v>MD</v>
      </c>
    </row>
    <row r="49" spans="1:6" x14ac:dyDescent="0.25">
      <c r="A49" t="str">
        <v>VT</v>
      </c>
      <c r="C49" t="str">
        <v>MT</v>
      </c>
      <c r="F49" t="str">
        <v>OR</v>
      </c>
    </row>
    <row r="50" spans="1:6" x14ac:dyDescent="0.25">
      <c r="A50" t="str">
        <v>WA</v>
      </c>
      <c r="C50" t="str">
        <v>IN</v>
      </c>
      <c r="F50" t="str">
        <v>MA</v>
      </c>
    </row>
    <row r="51" spans="1:6" x14ac:dyDescent="0.25">
      <c r="A51" t="str">
        <v>WI</v>
      </c>
      <c r="C51" t="str">
        <v>NM</v>
      </c>
      <c r="F51" t="str">
        <v>MO</v>
      </c>
    </row>
    <row r="52" spans="1:6" x14ac:dyDescent="0.25">
      <c r="A52" t="str">
        <v>WV</v>
      </c>
      <c r="C52" t="str">
        <v>OR</v>
      </c>
      <c r="F52" t="str">
        <v>NJ</v>
      </c>
    </row>
    <row r="53" spans="1:6" x14ac:dyDescent="0.25">
      <c r="A53" t="str">
        <v>WY</v>
      </c>
      <c r="F53" t="str">
        <v>WA</v>
      </c>
    </row>
    <row r="54" spans="1:6" x14ac:dyDescent="0.25">
      <c r="A54">
        <v>0</v>
      </c>
      <c r="F54" t="str">
        <v>NC</v>
      </c>
    </row>
    <row r="55" spans="1:6" x14ac:dyDescent="0.25">
      <c r="F55" t="str">
        <v>TX</v>
      </c>
    </row>
    <row r="56" spans="1:6" x14ac:dyDescent="0.25">
      <c r="F56" t="str">
        <v>SD</v>
      </c>
    </row>
    <row r="57" spans="1:6" x14ac:dyDescent="0.25">
      <c r="F57" t="str">
        <v>WA</v>
      </c>
    </row>
    <row r="58" spans="1:6" x14ac:dyDescent="0.25">
      <c r="F58" t="str">
        <v>HI</v>
      </c>
    </row>
    <row r="59" spans="1:6" x14ac:dyDescent="0.25">
      <c r="F59" t="str">
        <v>ND</v>
      </c>
    </row>
    <row r="60" spans="1:6" x14ac:dyDescent="0.25">
      <c r="F60" t="str">
        <v>KY</v>
      </c>
    </row>
    <row r="61" spans="1:6" x14ac:dyDescent="0.25">
      <c r="F61" t="str">
        <v>KS</v>
      </c>
    </row>
    <row r="62" spans="1:6" x14ac:dyDescent="0.25">
      <c r="F62" t="str">
        <v>CA</v>
      </c>
    </row>
    <row r="63" spans="1:6" x14ac:dyDescent="0.25">
      <c r="F63" t="str">
        <v>NM</v>
      </c>
    </row>
    <row r="64" spans="1:6" x14ac:dyDescent="0.25">
      <c r="F64" t="str">
        <v>NE</v>
      </c>
    </row>
    <row r="65" spans="6:6" x14ac:dyDescent="0.25">
      <c r="F65" t="str">
        <v>MS</v>
      </c>
    </row>
    <row r="66" spans="6:6" x14ac:dyDescent="0.25">
      <c r="F66" t="str">
        <v>IL</v>
      </c>
    </row>
    <row r="67" spans="6:6" x14ac:dyDescent="0.25">
      <c r="F67" t="str">
        <v>MT</v>
      </c>
    </row>
    <row r="68" spans="6:6" x14ac:dyDescent="0.25">
      <c r="F68" t="str">
        <v>WI</v>
      </c>
    </row>
    <row r="69" spans="6:6" x14ac:dyDescent="0.25">
      <c r="F69" t="str">
        <v>NY</v>
      </c>
    </row>
    <row r="70" spans="6:6" x14ac:dyDescent="0.25">
      <c r="F70" t="str">
        <v>CA</v>
      </c>
    </row>
    <row r="71" spans="6:6" x14ac:dyDescent="0.25">
      <c r="F71" t="str">
        <v>CO</v>
      </c>
    </row>
    <row r="72" spans="6:6" x14ac:dyDescent="0.25">
      <c r="F72" t="str">
        <v>WV</v>
      </c>
    </row>
    <row r="73" spans="6:6" x14ac:dyDescent="0.25">
      <c r="F73" t="str">
        <v>RI</v>
      </c>
    </row>
    <row r="74" spans="6:6" x14ac:dyDescent="0.25">
      <c r="F74" t="str">
        <v>RI</v>
      </c>
    </row>
    <row r="75" spans="6:6" x14ac:dyDescent="0.25">
      <c r="F75" t="str">
        <v>OR</v>
      </c>
    </row>
    <row r="76" spans="6:6" x14ac:dyDescent="0.25">
      <c r="F76" t="str">
        <v>KY</v>
      </c>
    </row>
    <row r="77" spans="6:6" x14ac:dyDescent="0.25">
      <c r="F77" t="str">
        <v>ND</v>
      </c>
    </row>
    <row r="78" spans="6:6" x14ac:dyDescent="0.25">
      <c r="F78" t="str">
        <v>MN</v>
      </c>
    </row>
    <row r="79" spans="6:6" x14ac:dyDescent="0.25">
      <c r="F79" t="str">
        <v>SC</v>
      </c>
    </row>
    <row r="80" spans="6:6" x14ac:dyDescent="0.25">
      <c r="F80" t="str">
        <v>NJ</v>
      </c>
    </row>
    <row r="81" spans="6:6" x14ac:dyDescent="0.25">
      <c r="F81" t="str">
        <v>NJ</v>
      </c>
    </row>
    <row r="82" spans="6:6" x14ac:dyDescent="0.25">
      <c r="F82" t="str">
        <v>MD</v>
      </c>
    </row>
    <row r="83" spans="6:6" x14ac:dyDescent="0.25">
      <c r="F83" t="str">
        <v>ID</v>
      </c>
    </row>
    <row r="84" spans="6:6" x14ac:dyDescent="0.25">
      <c r="F84" t="str">
        <v>OR</v>
      </c>
    </row>
    <row r="85" spans="6:6" x14ac:dyDescent="0.25">
      <c r="F85" t="str">
        <v>SC</v>
      </c>
    </row>
    <row r="86" spans="6:6" x14ac:dyDescent="0.25">
      <c r="F86" t="str">
        <v>WY</v>
      </c>
    </row>
    <row r="87" spans="6:6" x14ac:dyDescent="0.25">
      <c r="F87" t="str">
        <v>WA</v>
      </c>
    </row>
    <row r="88" spans="6:6" x14ac:dyDescent="0.25">
      <c r="F88" t="str">
        <v>IN</v>
      </c>
    </row>
    <row r="89" spans="6:6" x14ac:dyDescent="0.25">
      <c r="F89" t="str">
        <v>NC</v>
      </c>
    </row>
    <row r="90" spans="6:6" x14ac:dyDescent="0.25">
      <c r="F90" t="str">
        <v>MI</v>
      </c>
    </row>
    <row r="91" spans="6:6" x14ac:dyDescent="0.25">
      <c r="F91" t="str">
        <v>VT</v>
      </c>
    </row>
    <row r="92" spans="6:6" x14ac:dyDescent="0.25">
      <c r="F92" t="str">
        <v>CO</v>
      </c>
    </row>
    <row r="93" spans="6:6" x14ac:dyDescent="0.25">
      <c r="F93" t="str">
        <v>MT</v>
      </c>
    </row>
    <row r="94" spans="6:6" x14ac:dyDescent="0.25">
      <c r="F94" t="str">
        <v>WA</v>
      </c>
    </row>
    <row r="95" spans="6:6" x14ac:dyDescent="0.25">
      <c r="F95" t="str">
        <v>MD</v>
      </c>
    </row>
    <row r="96" spans="6:6" x14ac:dyDescent="0.25">
      <c r="F96" t="str">
        <v>CA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661E-98AC-4080-A6EB-C72348BB83CB}">
  <dimension ref="A1:W51"/>
  <sheetViews>
    <sheetView workbookViewId="0">
      <selection activeCell="C12" sqref="C12"/>
    </sheetView>
  </sheetViews>
  <sheetFormatPr defaultRowHeight="15" x14ac:dyDescent="0.25"/>
  <cols>
    <col min="1" max="1" width="23.140625" bestFit="1" customWidth="1"/>
    <col min="2" max="2" width="16.42578125" bestFit="1" customWidth="1"/>
    <col min="3" max="3" width="7.140625" bestFit="1" customWidth="1"/>
    <col min="4" max="4" width="11.28515625" bestFit="1" customWidth="1"/>
    <col min="5" max="5" width="23.140625" bestFit="1" customWidth="1"/>
    <col min="6" max="6" width="13.140625" bestFit="1" customWidth="1"/>
    <col min="7" max="7" width="22.140625" bestFit="1" customWidth="1"/>
    <col min="8" max="8" width="22.7109375" bestFit="1" customWidth="1"/>
    <col min="9" max="9" width="11.28515625" bestFit="1" customWidth="1"/>
    <col min="10" max="10" width="23.140625" bestFit="1" customWidth="1"/>
    <col min="11" max="11" width="16.42578125" bestFit="1" customWidth="1"/>
    <col min="12" max="12" width="7.140625" bestFit="1" customWidth="1"/>
    <col min="13" max="13" width="11.28515625" bestFit="1" customWidth="1"/>
    <col min="14" max="14" width="23.140625" bestFit="1" customWidth="1"/>
    <col min="15" max="15" width="7.140625" bestFit="1" customWidth="1"/>
    <col min="16" max="16" width="11.28515625" bestFit="1" customWidth="1"/>
    <col min="17" max="17" width="23.140625" bestFit="1" customWidth="1"/>
    <col min="18" max="18" width="16.85546875" bestFit="1" customWidth="1"/>
    <col min="19" max="21" width="11.28515625" bestFit="1" customWidth="1"/>
    <col min="23" max="23" width="13.42578125" bestFit="1" customWidth="1"/>
    <col min="24" max="24" width="23.140625" bestFit="1" customWidth="1"/>
  </cols>
  <sheetData>
    <row r="1" spans="1:23" x14ac:dyDescent="0.25">
      <c r="A1" s="6" t="s">
        <v>105</v>
      </c>
      <c r="B1" s="5"/>
      <c r="C1" s="5"/>
      <c r="D1" s="5"/>
      <c r="E1" s="5"/>
      <c r="F1" s="5"/>
      <c r="G1" s="5"/>
      <c r="H1" s="5"/>
      <c r="J1" s="3" t="s">
        <v>100</v>
      </c>
    </row>
    <row r="2" spans="1:23" x14ac:dyDescent="0.25">
      <c r="A2" s="7" t="s">
        <v>89</v>
      </c>
      <c r="B2" s="7" t="s">
        <v>86</v>
      </c>
      <c r="C2" s="5"/>
      <c r="D2" s="5"/>
      <c r="H2" t="s">
        <v>112</v>
      </c>
      <c r="J2" s="1" t="s">
        <v>82</v>
      </c>
      <c r="K2" t="s">
        <v>89</v>
      </c>
    </row>
    <row r="3" spans="1:23" x14ac:dyDescent="0.25">
      <c r="A3" s="7" t="s">
        <v>82</v>
      </c>
      <c r="B3" s="5" t="s">
        <v>87</v>
      </c>
      <c r="C3" s="5" t="s">
        <v>88</v>
      </c>
      <c r="D3" s="5" t="s">
        <v>85</v>
      </c>
      <c r="F3" s="3" t="s">
        <v>111</v>
      </c>
      <c r="G3" s="3"/>
      <c r="H3" s="10">
        <v>1.5637181409295353</v>
      </c>
      <c r="J3" s="2" t="s">
        <v>87</v>
      </c>
      <c r="K3" s="17">
        <v>572</v>
      </c>
    </row>
    <row r="4" spans="1:23" x14ac:dyDescent="0.25">
      <c r="A4" s="8" t="s">
        <v>93</v>
      </c>
      <c r="B4" s="17">
        <v>28</v>
      </c>
      <c r="C4" s="17">
        <v>23</v>
      </c>
      <c r="D4" s="17">
        <v>51</v>
      </c>
      <c r="E4" s="8" t="s">
        <v>93</v>
      </c>
      <c r="F4" s="15">
        <f>C4/D4</f>
        <v>0.45098039215686275</v>
      </c>
      <c r="G4" s="15"/>
      <c r="H4" s="15"/>
      <c r="J4" s="2" t="s">
        <v>88</v>
      </c>
      <c r="K4" s="17">
        <v>95</v>
      </c>
    </row>
    <row r="5" spans="1:23" x14ac:dyDescent="0.25">
      <c r="A5" s="8" t="s">
        <v>94</v>
      </c>
      <c r="B5" s="17">
        <v>344</v>
      </c>
      <c r="C5" s="17">
        <v>40</v>
      </c>
      <c r="D5" s="17">
        <v>384</v>
      </c>
      <c r="E5" s="8" t="s">
        <v>94</v>
      </c>
      <c r="F5" s="15">
        <f>C5/D5</f>
        <v>0.10416666666666667</v>
      </c>
      <c r="G5" s="15"/>
      <c r="H5" t="s">
        <v>113</v>
      </c>
      <c r="J5" s="2" t="s">
        <v>85</v>
      </c>
      <c r="K5" s="17">
        <v>667</v>
      </c>
    </row>
    <row r="6" spans="1:23" x14ac:dyDescent="0.25">
      <c r="A6" s="8" t="s">
        <v>95</v>
      </c>
      <c r="B6" s="17">
        <v>200</v>
      </c>
      <c r="C6" s="17">
        <v>32</v>
      </c>
      <c r="D6" s="17">
        <v>232</v>
      </c>
      <c r="E6" s="8" t="s">
        <v>95</v>
      </c>
      <c r="F6" s="15">
        <f>C6/D6</f>
        <v>0.13793103448275862</v>
      </c>
      <c r="G6" s="15"/>
      <c r="H6" s="11">
        <v>59.797886056971528</v>
      </c>
    </row>
    <row r="7" spans="1:23" x14ac:dyDescent="0.25">
      <c r="A7" s="8" t="s">
        <v>85</v>
      </c>
      <c r="B7" s="17">
        <v>572</v>
      </c>
      <c r="C7" s="17">
        <v>95</v>
      </c>
      <c r="D7" s="17">
        <v>667</v>
      </c>
      <c r="E7" s="14" t="s">
        <v>127</v>
      </c>
      <c r="F7" s="15">
        <f t="shared" ref="F7" si="0">C7/D7</f>
        <v>0.14242878560719641</v>
      </c>
      <c r="G7" s="15"/>
      <c r="H7" s="15"/>
      <c r="J7" s="3" t="s">
        <v>107</v>
      </c>
    </row>
    <row r="8" spans="1:23" x14ac:dyDescent="0.25">
      <c r="J8" s="1" t="s">
        <v>82</v>
      </c>
      <c r="K8" t="s">
        <v>89</v>
      </c>
    </row>
    <row r="9" spans="1:23" x14ac:dyDescent="0.25">
      <c r="A9" s="4" t="s">
        <v>104</v>
      </c>
      <c r="J9" s="2" t="s">
        <v>94</v>
      </c>
      <c r="K9" s="17">
        <v>384</v>
      </c>
      <c r="W9" s="2" t="s">
        <v>90</v>
      </c>
    </row>
    <row r="10" spans="1:23" x14ac:dyDescent="0.25">
      <c r="A10" s="1" t="s">
        <v>89</v>
      </c>
      <c r="B10" s="1" t="s">
        <v>86</v>
      </c>
      <c r="J10" s="2" t="s">
        <v>95</v>
      </c>
      <c r="K10" s="17">
        <v>232</v>
      </c>
    </row>
    <row r="11" spans="1:23" x14ac:dyDescent="0.25">
      <c r="A11" s="1" t="s">
        <v>82</v>
      </c>
      <c r="B11" t="s">
        <v>88</v>
      </c>
      <c r="C11" t="s">
        <v>85</v>
      </c>
      <c r="F11" s="3" t="s">
        <v>123</v>
      </c>
      <c r="G11" s="3"/>
      <c r="J11" s="2" t="s">
        <v>93</v>
      </c>
      <c r="K11" s="17">
        <v>51</v>
      </c>
    </row>
    <row r="12" spans="1:23" x14ac:dyDescent="0.25">
      <c r="A12" s="2">
        <v>2</v>
      </c>
      <c r="B12" s="17">
        <v>25</v>
      </c>
      <c r="C12" s="17">
        <v>25</v>
      </c>
      <c r="E12" s="14"/>
      <c r="F12" t="s">
        <v>117</v>
      </c>
      <c r="G12" t="s">
        <v>122</v>
      </c>
      <c r="H12" t="s">
        <v>129</v>
      </c>
      <c r="J12" s="2" t="s">
        <v>85</v>
      </c>
      <c r="K12" s="17">
        <v>667</v>
      </c>
    </row>
    <row r="13" spans="1:23" x14ac:dyDescent="0.25">
      <c r="A13" s="2">
        <v>1</v>
      </c>
      <c r="B13" s="17">
        <v>23</v>
      </c>
      <c r="C13" s="17">
        <v>23</v>
      </c>
      <c r="E13" s="14"/>
      <c r="F13" t="s">
        <v>125</v>
      </c>
      <c r="G13">
        <f>COUNTIF('churn-bigml-20'!AA:AA,"Unplanned usage")</f>
        <v>611</v>
      </c>
      <c r="H13" s="14">
        <f>Table4[[#This Row],[customers]]/SUM(Table4[customers])</f>
        <v>0.41283783783783784</v>
      </c>
    </row>
    <row r="14" spans="1:23" x14ac:dyDescent="0.25">
      <c r="A14" s="2">
        <v>0</v>
      </c>
      <c r="B14" s="17">
        <v>13</v>
      </c>
      <c r="C14" s="17">
        <v>13</v>
      </c>
      <c r="E14" s="14"/>
      <c r="F14" t="s">
        <v>126</v>
      </c>
      <c r="G14">
        <f>COUNTIF('churn-bigml-20'!AB:AB,"Inactive")</f>
        <v>478</v>
      </c>
      <c r="H14" s="14">
        <f>Table4[[#This Row],[customers]]/SUM(Table4[customers])</f>
        <v>0.32297297297297295</v>
      </c>
    </row>
    <row r="15" spans="1:23" x14ac:dyDescent="0.25">
      <c r="A15" s="2">
        <v>4</v>
      </c>
      <c r="B15" s="17">
        <v>12</v>
      </c>
      <c r="C15" s="17">
        <v>12</v>
      </c>
      <c r="E15" s="14"/>
      <c r="F15" t="s">
        <v>124</v>
      </c>
      <c r="G15">
        <f>COUNTIF('churn-bigml-20'!Z:Z,"High risk")</f>
        <v>176</v>
      </c>
      <c r="H15" s="14">
        <f>Table4[[#This Row],[customers]]/SUM(Table4[customers])</f>
        <v>0.11891891891891893</v>
      </c>
      <c r="J15" s="3" t="s">
        <v>108</v>
      </c>
    </row>
    <row r="16" spans="1:23" x14ac:dyDescent="0.25">
      <c r="A16" s="2">
        <v>5</v>
      </c>
      <c r="B16" s="17">
        <v>11</v>
      </c>
      <c r="C16" s="17">
        <v>11</v>
      </c>
      <c r="E16" s="14"/>
      <c r="F16" t="s">
        <v>128</v>
      </c>
      <c r="G16">
        <f>COUNTIF('churn-bigml-20'!Y:Y,"High risk")</f>
        <v>158</v>
      </c>
      <c r="H16" s="14">
        <f>Table4[[#This Row],[customers]]/SUM(Table4[customers])</f>
        <v>0.10675675675675676</v>
      </c>
      <c r="J16" s="1" t="s">
        <v>89</v>
      </c>
      <c r="K16" s="1" t="s">
        <v>86</v>
      </c>
    </row>
    <row r="17" spans="1:17" x14ac:dyDescent="0.25">
      <c r="A17" s="2">
        <v>3</v>
      </c>
      <c r="B17" s="17">
        <v>7</v>
      </c>
      <c r="C17" s="17">
        <v>7</v>
      </c>
      <c r="E17" s="14"/>
      <c r="F17" t="s">
        <v>18</v>
      </c>
      <c r="G17">
        <f>COUNTIF('churn-bigml-20'!X:X,"High risk")</f>
        <v>57</v>
      </c>
      <c r="H17" s="14">
        <f>Table4[[#This Row],[customers]]/SUM(Table4[customers])</f>
        <v>3.8513513513513516E-2</v>
      </c>
      <c r="J17" s="1" t="s">
        <v>82</v>
      </c>
      <c r="K17" t="s">
        <v>87</v>
      </c>
      <c r="L17" t="s">
        <v>88</v>
      </c>
      <c r="M17" t="s">
        <v>85</v>
      </c>
    </row>
    <row r="18" spans="1:17" x14ac:dyDescent="0.25">
      <c r="A18" s="2">
        <v>6</v>
      </c>
      <c r="B18" s="17">
        <v>4</v>
      </c>
      <c r="C18" s="17">
        <v>4</v>
      </c>
      <c r="E18" s="14"/>
      <c r="J18" s="2" t="s">
        <v>83</v>
      </c>
      <c r="K18" s="9">
        <v>0.52631578947368418</v>
      </c>
      <c r="L18" s="9">
        <v>0.47368421052631576</v>
      </c>
      <c r="M18" s="9">
        <v>1</v>
      </c>
    </row>
    <row r="19" spans="1:17" x14ac:dyDescent="0.25">
      <c r="A19" s="2" t="s">
        <v>85</v>
      </c>
      <c r="B19" s="17">
        <v>95</v>
      </c>
      <c r="C19" s="17">
        <v>95</v>
      </c>
      <c r="E19" s="14"/>
      <c r="J19" s="2" t="s">
        <v>84</v>
      </c>
      <c r="K19" s="9">
        <v>0.90476190476190477</v>
      </c>
      <c r="L19" s="9">
        <v>9.5238095238095233E-2</v>
      </c>
      <c r="M19" s="9">
        <v>1</v>
      </c>
    </row>
    <row r="20" spans="1:17" x14ac:dyDescent="0.25">
      <c r="E20" s="14"/>
      <c r="F20" s="3" t="s">
        <v>101</v>
      </c>
      <c r="J20" s="2" t="s">
        <v>102</v>
      </c>
      <c r="K20" s="9">
        <v>0.86206896551724133</v>
      </c>
      <c r="L20" s="9">
        <v>0.13793103448275862</v>
      </c>
      <c r="M20" s="9">
        <v>1</v>
      </c>
    </row>
    <row r="21" spans="1:17" x14ac:dyDescent="0.25">
      <c r="E21" s="14"/>
      <c r="F21" s="1" t="s">
        <v>89</v>
      </c>
      <c r="G21" s="1" t="s">
        <v>86</v>
      </c>
      <c r="J21" s="2" t="s">
        <v>85</v>
      </c>
      <c r="K21" s="9">
        <v>0.85757121439280359</v>
      </c>
      <c r="L21" s="9">
        <v>0.14242878560719641</v>
      </c>
      <c r="M21" s="9">
        <v>1</v>
      </c>
    </row>
    <row r="22" spans="1:17" x14ac:dyDescent="0.25">
      <c r="F22" s="1" t="s">
        <v>82</v>
      </c>
      <c r="G22" t="s">
        <v>88</v>
      </c>
      <c r="H22" t="s">
        <v>85</v>
      </c>
    </row>
    <row r="23" spans="1:17" x14ac:dyDescent="0.25">
      <c r="A23" s="3" t="s">
        <v>106</v>
      </c>
      <c r="F23" s="2">
        <v>415</v>
      </c>
      <c r="G23" s="17">
        <v>41</v>
      </c>
      <c r="H23" s="17">
        <v>41</v>
      </c>
      <c r="J23" s="3" t="s">
        <v>119</v>
      </c>
    </row>
    <row r="24" spans="1:17" x14ac:dyDescent="0.25">
      <c r="A24" s="1" t="s">
        <v>89</v>
      </c>
      <c r="B24" s="1" t="s">
        <v>86</v>
      </c>
      <c r="F24" s="2">
        <v>408</v>
      </c>
      <c r="G24" s="17">
        <v>28</v>
      </c>
      <c r="H24" s="17">
        <v>28</v>
      </c>
      <c r="J24" s="1" t="s">
        <v>89</v>
      </c>
      <c r="K24" s="1" t="s">
        <v>86</v>
      </c>
    </row>
    <row r="25" spans="1:17" x14ac:dyDescent="0.25">
      <c r="A25" s="1" t="s">
        <v>82</v>
      </c>
      <c r="B25" t="s">
        <v>87</v>
      </c>
      <c r="C25" t="s">
        <v>88</v>
      </c>
      <c r="D25" t="s">
        <v>85</v>
      </c>
      <c r="F25" s="2">
        <v>510</v>
      </c>
      <c r="G25" s="17">
        <v>26</v>
      </c>
      <c r="H25" s="17">
        <v>26</v>
      </c>
      <c r="J25" s="1" t="s">
        <v>82</v>
      </c>
      <c r="K25" t="s">
        <v>87</v>
      </c>
      <c r="L25" t="s">
        <v>88</v>
      </c>
      <c r="M25" t="s">
        <v>85</v>
      </c>
      <c r="Q25" t="s">
        <v>90</v>
      </c>
    </row>
    <row r="26" spans="1:17" x14ac:dyDescent="0.25">
      <c r="A26" s="2" t="s">
        <v>83</v>
      </c>
      <c r="B26" s="9">
        <v>0.68181818181818177</v>
      </c>
      <c r="C26" s="9">
        <v>0.31818181818181818</v>
      </c>
      <c r="D26" s="9">
        <v>1</v>
      </c>
      <c r="F26" s="2" t="s">
        <v>85</v>
      </c>
      <c r="G26" s="17">
        <v>95</v>
      </c>
      <c r="H26" s="17">
        <v>95</v>
      </c>
      <c r="J26" s="2" t="s">
        <v>83</v>
      </c>
      <c r="K26" s="9">
        <v>0.65189873417721522</v>
      </c>
      <c r="L26" s="9">
        <v>0.34810126582278483</v>
      </c>
      <c r="M26" s="9">
        <v>1</v>
      </c>
    </row>
    <row r="27" spans="1:17" x14ac:dyDescent="0.25">
      <c r="A27" s="2" t="s">
        <v>84</v>
      </c>
      <c r="B27" s="9">
        <v>0.88297872340425532</v>
      </c>
      <c r="C27" s="9">
        <v>0.11702127659574468</v>
      </c>
      <c r="D27" s="9">
        <v>1</v>
      </c>
      <c r="J27" s="2" t="s">
        <v>84</v>
      </c>
      <c r="K27" s="9">
        <v>0.88095238095238093</v>
      </c>
      <c r="L27" s="9">
        <v>0.11904761904761904</v>
      </c>
      <c r="M27" s="9">
        <v>1</v>
      </c>
    </row>
    <row r="28" spans="1:17" x14ac:dyDescent="0.25">
      <c r="A28" s="2" t="s">
        <v>102</v>
      </c>
      <c r="B28" s="9">
        <v>0.94389438943894388</v>
      </c>
      <c r="C28" s="9">
        <v>5.6105610561056105E-2</v>
      </c>
      <c r="D28" s="9">
        <v>1</v>
      </c>
      <c r="F28" s="3" t="s">
        <v>111</v>
      </c>
      <c r="J28" s="2" t="s">
        <v>102</v>
      </c>
      <c r="K28" s="9">
        <v>0.94134897360703818</v>
      </c>
      <c r="L28" s="9">
        <v>5.865102639296188E-2</v>
      </c>
      <c r="M28" s="9">
        <v>1</v>
      </c>
    </row>
    <row r="29" spans="1:17" x14ac:dyDescent="0.25">
      <c r="A29" s="2" t="s">
        <v>85</v>
      </c>
      <c r="B29" s="9">
        <v>0.85757121439280359</v>
      </c>
      <c r="C29" s="9">
        <v>0.14242878560719641</v>
      </c>
      <c r="D29" s="9">
        <v>1</v>
      </c>
      <c r="F29" s="1" t="s">
        <v>82</v>
      </c>
      <c r="G29" t="s">
        <v>89</v>
      </c>
      <c r="J29" s="2" t="s">
        <v>85</v>
      </c>
      <c r="K29" s="9">
        <v>0.85757121439280359</v>
      </c>
      <c r="L29" s="9">
        <v>0.14242878560719641</v>
      </c>
      <c r="M29" s="9">
        <v>1</v>
      </c>
    </row>
    <row r="30" spans="1:17" x14ac:dyDescent="0.25">
      <c r="F30" s="2" t="s">
        <v>87</v>
      </c>
      <c r="G30" s="9">
        <v>0.85757121439280359</v>
      </c>
    </row>
    <row r="31" spans="1:17" x14ac:dyDescent="0.25">
      <c r="A31" s="3" t="s">
        <v>121</v>
      </c>
      <c r="F31" s="2" t="s">
        <v>88</v>
      </c>
      <c r="G31" s="9">
        <v>0.14242878560719641</v>
      </c>
      <c r="J31" s="3" t="s">
        <v>109</v>
      </c>
    </row>
    <row r="32" spans="1:17" x14ac:dyDescent="0.25">
      <c r="A32" s="1" t="s">
        <v>89</v>
      </c>
      <c r="B32" s="1" t="s">
        <v>86</v>
      </c>
      <c r="F32" s="2" t="s">
        <v>85</v>
      </c>
      <c r="G32" s="9">
        <v>1</v>
      </c>
      <c r="J32" s="1" t="s">
        <v>89</v>
      </c>
      <c r="K32" s="1" t="s">
        <v>86</v>
      </c>
    </row>
    <row r="33" spans="1:13" x14ac:dyDescent="0.25">
      <c r="A33" s="1" t="s">
        <v>82</v>
      </c>
      <c r="B33" t="s">
        <v>87</v>
      </c>
      <c r="C33" t="s">
        <v>88</v>
      </c>
      <c r="D33" t="s">
        <v>85</v>
      </c>
      <c r="J33" s="1" t="s">
        <v>82</v>
      </c>
      <c r="K33" t="s">
        <v>87</v>
      </c>
      <c r="L33" t="s">
        <v>88</v>
      </c>
      <c r="M33" t="s">
        <v>85</v>
      </c>
    </row>
    <row r="34" spans="1:13" x14ac:dyDescent="0.25">
      <c r="A34" s="2" t="s">
        <v>91</v>
      </c>
      <c r="B34" s="9">
        <v>1</v>
      </c>
      <c r="C34" s="9">
        <v>0</v>
      </c>
      <c r="D34" s="9">
        <v>1</v>
      </c>
      <c r="F34" s="12" t="s">
        <v>116</v>
      </c>
      <c r="J34" s="2" t="s">
        <v>93</v>
      </c>
      <c r="K34" s="17">
        <v>28</v>
      </c>
      <c r="L34" s="17">
        <v>23</v>
      </c>
      <c r="M34" s="17">
        <v>51</v>
      </c>
    </row>
    <row r="35" spans="1:13" x14ac:dyDescent="0.25">
      <c r="A35" s="2" t="s">
        <v>92</v>
      </c>
      <c r="B35" s="9">
        <v>0.64150943396226412</v>
      </c>
      <c r="C35" s="9">
        <v>0.35849056603773582</v>
      </c>
      <c r="D35" s="9">
        <v>1</v>
      </c>
      <c r="F35" t="s">
        <v>117</v>
      </c>
      <c r="G35" t="s">
        <v>118</v>
      </c>
      <c r="J35" s="2" t="s">
        <v>94</v>
      </c>
      <c r="K35" s="17">
        <v>344</v>
      </c>
      <c r="L35" s="17">
        <v>40</v>
      </c>
      <c r="M35" s="17">
        <v>384</v>
      </c>
    </row>
    <row r="36" spans="1:13" x14ac:dyDescent="0.25">
      <c r="A36" s="2" t="s">
        <v>103</v>
      </c>
      <c r="B36" s="9">
        <v>0.87561374795417346</v>
      </c>
      <c r="C36" s="9">
        <v>0.12438625204582651</v>
      </c>
      <c r="D36" s="9">
        <v>1</v>
      </c>
      <c r="F36" s="13" t="s">
        <v>130</v>
      </c>
      <c r="G36" s="16">
        <f>L20</f>
        <v>0.13793103448275862</v>
      </c>
      <c r="J36" s="2" t="s">
        <v>95</v>
      </c>
      <c r="K36" s="17">
        <v>200</v>
      </c>
      <c r="L36" s="17">
        <v>32</v>
      </c>
      <c r="M36" s="17">
        <v>232</v>
      </c>
    </row>
    <row r="37" spans="1:13" x14ac:dyDescent="0.25">
      <c r="A37" s="2" t="s">
        <v>85</v>
      </c>
      <c r="B37" s="9">
        <v>0.85757121439280359</v>
      </c>
      <c r="C37" s="9">
        <v>0.14242878560719641</v>
      </c>
      <c r="D37" s="9">
        <v>1</v>
      </c>
      <c r="F37" t="s">
        <v>131</v>
      </c>
      <c r="G37" s="10">
        <f>C35</f>
        <v>0.35849056603773582</v>
      </c>
      <c r="J37" s="2" t="s">
        <v>85</v>
      </c>
      <c r="K37" s="17">
        <v>572</v>
      </c>
      <c r="L37" s="17">
        <v>95</v>
      </c>
      <c r="M37" s="17">
        <v>667</v>
      </c>
    </row>
    <row r="38" spans="1:13" x14ac:dyDescent="0.25">
      <c r="F38" t="s">
        <v>132</v>
      </c>
      <c r="G38" s="10">
        <f>L28</f>
        <v>5.865102639296188E-2</v>
      </c>
    </row>
    <row r="39" spans="1:13" x14ac:dyDescent="0.25">
      <c r="A39" s="3" t="s">
        <v>120</v>
      </c>
      <c r="F39" s="13" t="s">
        <v>133</v>
      </c>
      <c r="G39" s="16">
        <f>C28</f>
        <v>5.6105610561056105E-2</v>
      </c>
      <c r="M39" s="3"/>
    </row>
    <row r="40" spans="1:13" x14ac:dyDescent="0.25">
      <c r="A40" s="1" t="s">
        <v>89</v>
      </c>
      <c r="B40" s="1" t="s">
        <v>86</v>
      </c>
      <c r="F40" t="s">
        <v>134</v>
      </c>
      <c r="G40" s="10">
        <f>C42</f>
        <v>0.16736401673640167</v>
      </c>
    </row>
    <row r="41" spans="1:13" x14ac:dyDescent="0.25">
      <c r="A41" s="1" t="s">
        <v>82</v>
      </c>
      <c r="B41" t="s">
        <v>87</v>
      </c>
      <c r="C41" t="s">
        <v>88</v>
      </c>
      <c r="D41" t="s">
        <v>85</v>
      </c>
    </row>
    <row r="42" spans="1:13" x14ac:dyDescent="0.25">
      <c r="A42" s="2" t="s">
        <v>91</v>
      </c>
      <c r="B42" s="9">
        <v>0.83263598326359833</v>
      </c>
      <c r="C42" s="9">
        <v>0.16736401673640167</v>
      </c>
      <c r="D42" s="9">
        <v>1</v>
      </c>
    </row>
    <row r="43" spans="1:13" x14ac:dyDescent="0.25">
      <c r="A43" s="2" t="s">
        <v>110</v>
      </c>
      <c r="B43" s="9">
        <v>0.92063492063492058</v>
      </c>
      <c r="C43" s="9">
        <v>7.9365079365079361E-2</v>
      </c>
      <c r="D43" s="9">
        <v>1</v>
      </c>
      <c r="L43" t="s">
        <v>90</v>
      </c>
    </row>
    <row r="44" spans="1:13" x14ac:dyDescent="0.25">
      <c r="A44" s="2" t="s">
        <v>85</v>
      </c>
      <c r="B44" s="9">
        <v>0.85757121439280359</v>
      </c>
      <c r="C44" s="9">
        <v>0.14242878560719641</v>
      </c>
      <c r="D44" s="9">
        <v>1</v>
      </c>
    </row>
    <row r="46" spans="1:13" x14ac:dyDescent="0.25">
      <c r="A46" s="3" t="s">
        <v>114</v>
      </c>
      <c r="F46" s="3" t="s">
        <v>115</v>
      </c>
    </row>
    <row r="47" spans="1:13" x14ac:dyDescent="0.25">
      <c r="A47" s="1" t="s">
        <v>89</v>
      </c>
      <c r="B47" s="1" t="s">
        <v>86</v>
      </c>
      <c r="F47" s="1" t="s">
        <v>89</v>
      </c>
      <c r="G47" s="1" t="s">
        <v>86</v>
      </c>
    </row>
    <row r="48" spans="1:13" x14ac:dyDescent="0.25">
      <c r="A48" s="1" t="s">
        <v>82</v>
      </c>
      <c r="B48" t="s">
        <v>88</v>
      </c>
      <c r="C48" t="s">
        <v>85</v>
      </c>
      <c r="F48" s="1" t="s">
        <v>82</v>
      </c>
      <c r="G48" t="s">
        <v>88</v>
      </c>
      <c r="H48" t="s">
        <v>85</v>
      </c>
    </row>
    <row r="49" spans="1:8" x14ac:dyDescent="0.25">
      <c r="A49" s="2" t="s">
        <v>103</v>
      </c>
      <c r="B49" s="17">
        <v>76</v>
      </c>
      <c r="C49" s="17">
        <v>76</v>
      </c>
      <c r="F49" s="2" t="s">
        <v>91</v>
      </c>
      <c r="G49" s="17">
        <v>80</v>
      </c>
      <c r="H49" s="17">
        <v>80</v>
      </c>
    </row>
    <row r="50" spans="1:8" x14ac:dyDescent="0.25">
      <c r="A50" s="2" t="s">
        <v>92</v>
      </c>
      <c r="B50" s="17">
        <v>19</v>
      </c>
      <c r="C50" s="17">
        <v>19</v>
      </c>
      <c r="F50" s="2" t="s">
        <v>110</v>
      </c>
      <c r="G50" s="17">
        <v>15</v>
      </c>
      <c r="H50" s="17">
        <v>15</v>
      </c>
    </row>
    <row r="51" spans="1:8" x14ac:dyDescent="0.25">
      <c r="A51" s="2" t="s">
        <v>85</v>
      </c>
      <c r="B51" s="17">
        <v>95</v>
      </c>
      <c r="C51" s="17">
        <v>95</v>
      </c>
      <c r="F51" s="2" t="s">
        <v>85</v>
      </c>
      <c r="G51" s="17">
        <v>95</v>
      </c>
      <c r="H51" s="17">
        <v>95</v>
      </c>
    </row>
  </sheetData>
  <sortState xmlns:xlrd2="http://schemas.microsoft.com/office/spreadsheetml/2017/richdata2" ref="F4:F7">
    <sortCondition descending="1" ref="F4:F7"/>
  </sortState>
  <pageMargins left="0.7" right="0.7" top="0.75" bottom="0.75" header="0.3" footer="0.3"/>
  <tableParts count="2">
    <tablePart r:id="rId17"/>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D9E9F-8885-4F35-8CED-BF0F3B5FCC3F}">
  <dimension ref="A1"/>
  <sheetViews>
    <sheetView showGridLines="0" showRowColHeaders="0" tabSelected="1" zoomScale="32" zoomScaleNormal="32" zoomScaleSheetLayoutView="50" workbookViewId="0">
      <selection activeCell="AU58" sqref="AU5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churn-bigml-20</vt:lpstr>
      <vt:lpstr>Dynamic Array Analysis 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RAYMOND</cp:lastModifiedBy>
  <dcterms:created xsi:type="dcterms:W3CDTF">2026-04-25T02:08:02Z</dcterms:created>
  <dcterms:modified xsi:type="dcterms:W3CDTF">2026-05-22T11:53:20Z</dcterms:modified>
</cp:coreProperties>
</file>